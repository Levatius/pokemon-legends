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Users\Lev\PycharmProjects\pokemon-legends\"/>
    </mc:Choice>
  </mc:AlternateContent>
  <xr:revisionPtr revIDLastSave="0" documentId="13_ncr:1_{175A6393-531B-4FF9-8085-F9303808C0F8}" xr6:coauthVersionLast="47" xr6:coauthVersionMax="47" xr10:uidLastSave="{00000000-0000-0000-0000-000000000000}"/>
  <bookViews>
    <workbookView xWindow="25800" yWindow="0" windowWidth="25800" windowHeight="21150" activeTab="1" xr2:uid="{00000000-000D-0000-FFFF-FFFF00000000}"/>
  </bookViews>
  <sheets>
    <sheet name="pokemon" sheetId="1" r:id="rId1"/>
    <sheet name="moves" sheetId="6" r:id="rId2"/>
    <sheet name="analysis" sheetId="7" r:id="rId3"/>
    <sheet name="trainer_cards" sheetId="8"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63" i="6" l="1"/>
  <c r="AD372" i="1"/>
  <c r="AE372" i="1"/>
  <c r="AF372" i="1"/>
  <c r="AG372" i="1"/>
  <c r="AJ372" i="1" a="1"/>
  <c r="AJ372" i="1" s="1"/>
  <c r="U372" i="1"/>
  <c r="V372" i="1" s="1"/>
  <c r="T372" i="1"/>
  <c r="P372" i="1"/>
  <c r="Q372" i="1"/>
  <c r="C372" i="1"/>
  <c r="AF3" i="1"/>
  <c r="AF4" i="1"/>
  <c r="AF5" i="1"/>
  <c r="AF6" i="1"/>
  <c r="AF7" i="1"/>
  <c r="AF8" i="1"/>
  <c r="AF9" i="1"/>
  <c r="AF10" i="1"/>
  <c r="AF11" i="1"/>
  <c r="AF12" i="1"/>
  <c r="AF13" i="1"/>
  <c r="AF14" i="1"/>
  <c r="AF15" i="1"/>
  <c r="AF16" i="1"/>
  <c r="AF17" i="1"/>
  <c r="AF18" i="1"/>
  <c r="AF19" i="1"/>
  <c r="AF20" i="1"/>
  <c r="AF21" i="1"/>
  <c r="AF22" i="1"/>
  <c r="AF23" i="1"/>
  <c r="AF24" i="1"/>
  <c r="AF25" i="1"/>
  <c r="AF26" i="1"/>
  <c r="AF27" i="1"/>
  <c r="AF28" i="1"/>
  <c r="AF29" i="1"/>
  <c r="AF30" i="1"/>
  <c r="AF31" i="1"/>
  <c r="AF32" i="1"/>
  <c r="AF33" i="1"/>
  <c r="AF34" i="1"/>
  <c r="AF35" i="1"/>
  <c r="AF36" i="1"/>
  <c r="AF37" i="1"/>
  <c r="AF38" i="1"/>
  <c r="AF39" i="1"/>
  <c r="AF40" i="1"/>
  <c r="AF41" i="1"/>
  <c r="AF42" i="1"/>
  <c r="AF43" i="1"/>
  <c r="AF44" i="1"/>
  <c r="AF45" i="1"/>
  <c r="AF46" i="1"/>
  <c r="AF47" i="1"/>
  <c r="AF48" i="1"/>
  <c r="AF49" i="1"/>
  <c r="AF50" i="1"/>
  <c r="AF51" i="1"/>
  <c r="AF52" i="1"/>
  <c r="AF53" i="1"/>
  <c r="AF54" i="1"/>
  <c r="AF55" i="1"/>
  <c r="AF56" i="1"/>
  <c r="AF57" i="1"/>
  <c r="AF58" i="1"/>
  <c r="AF59" i="1"/>
  <c r="AF60" i="1"/>
  <c r="AF61" i="1"/>
  <c r="AF62" i="1"/>
  <c r="AF63" i="1"/>
  <c r="AF64" i="1"/>
  <c r="AF65" i="1"/>
  <c r="AF66" i="1"/>
  <c r="AF67" i="1"/>
  <c r="AF68" i="1"/>
  <c r="AF69" i="1"/>
  <c r="AF70" i="1"/>
  <c r="AF71" i="1"/>
  <c r="AF72" i="1"/>
  <c r="AF73" i="1"/>
  <c r="AF74" i="1"/>
  <c r="AF75" i="1"/>
  <c r="AF76" i="1"/>
  <c r="AF77" i="1"/>
  <c r="AF78" i="1"/>
  <c r="AF79" i="1"/>
  <c r="AF80" i="1"/>
  <c r="AF81" i="1"/>
  <c r="AF82" i="1"/>
  <c r="AF83" i="1"/>
  <c r="AF84" i="1"/>
  <c r="AF85" i="1"/>
  <c r="AF86" i="1"/>
  <c r="AF87" i="1"/>
  <c r="AF88" i="1"/>
  <c r="AF89" i="1"/>
  <c r="AF90" i="1"/>
  <c r="AF91" i="1"/>
  <c r="AF92" i="1"/>
  <c r="AF93" i="1"/>
  <c r="AF94" i="1"/>
  <c r="AF95" i="1"/>
  <c r="AF96" i="1"/>
  <c r="AF97" i="1"/>
  <c r="AF98" i="1"/>
  <c r="AF99" i="1"/>
  <c r="AF100" i="1"/>
  <c r="AF101" i="1"/>
  <c r="AF102" i="1"/>
  <c r="AF103" i="1"/>
  <c r="AF104" i="1"/>
  <c r="AF105" i="1"/>
  <c r="AF106" i="1"/>
  <c r="AF107" i="1"/>
  <c r="AF108" i="1"/>
  <c r="AF109" i="1"/>
  <c r="AF110" i="1"/>
  <c r="AF111" i="1"/>
  <c r="AF112" i="1"/>
  <c r="AF113" i="1"/>
  <c r="AF114" i="1"/>
  <c r="AF115" i="1"/>
  <c r="AF116" i="1"/>
  <c r="AF117" i="1"/>
  <c r="AF118" i="1"/>
  <c r="AF119" i="1"/>
  <c r="AF120" i="1"/>
  <c r="AF121" i="1"/>
  <c r="AF122" i="1"/>
  <c r="AF123" i="1"/>
  <c r="AF124" i="1"/>
  <c r="AF125" i="1"/>
  <c r="AF126" i="1"/>
  <c r="AF127" i="1"/>
  <c r="AF128" i="1"/>
  <c r="AF129" i="1"/>
  <c r="AF130" i="1"/>
  <c r="AF131" i="1"/>
  <c r="AF132" i="1"/>
  <c r="AF133" i="1"/>
  <c r="AF134" i="1"/>
  <c r="AF135" i="1"/>
  <c r="AF136" i="1"/>
  <c r="AF137" i="1"/>
  <c r="AF138" i="1"/>
  <c r="AF139" i="1"/>
  <c r="AF140" i="1"/>
  <c r="AF141" i="1"/>
  <c r="AF142" i="1"/>
  <c r="AF143" i="1"/>
  <c r="AF144" i="1"/>
  <c r="AF145" i="1"/>
  <c r="AF146" i="1"/>
  <c r="AF147" i="1"/>
  <c r="AF148" i="1"/>
  <c r="AF149" i="1"/>
  <c r="AF150" i="1"/>
  <c r="AF151" i="1"/>
  <c r="AF152" i="1"/>
  <c r="AF153" i="1"/>
  <c r="AF154" i="1"/>
  <c r="AF155" i="1"/>
  <c r="AF156" i="1"/>
  <c r="AF157" i="1"/>
  <c r="AF158" i="1"/>
  <c r="AF159" i="1"/>
  <c r="AF160" i="1"/>
  <c r="AF161" i="1"/>
  <c r="AF162" i="1"/>
  <c r="AF163" i="1"/>
  <c r="AF164" i="1"/>
  <c r="AF165" i="1"/>
  <c r="AF166" i="1"/>
  <c r="AF167" i="1"/>
  <c r="AF168" i="1"/>
  <c r="AF169" i="1"/>
  <c r="AF170" i="1"/>
  <c r="AF171" i="1"/>
  <c r="AF172" i="1"/>
  <c r="AF173" i="1"/>
  <c r="AF174" i="1"/>
  <c r="AF175" i="1"/>
  <c r="AF176" i="1"/>
  <c r="AF177" i="1"/>
  <c r="AF178" i="1"/>
  <c r="AF179" i="1"/>
  <c r="AF180" i="1"/>
  <c r="AF181" i="1"/>
  <c r="AF182" i="1"/>
  <c r="AF183" i="1"/>
  <c r="AF184" i="1"/>
  <c r="AF185" i="1"/>
  <c r="AF186" i="1"/>
  <c r="AF187" i="1"/>
  <c r="AF188" i="1"/>
  <c r="AF189" i="1"/>
  <c r="AF190" i="1"/>
  <c r="AF191" i="1"/>
  <c r="AF192" i="1"/>
  <c r="AF193" i="1"/>
  <c r="AF194" i="1"/>
  <c r="AF195" i="1"/>
  <c r="AF196" i="1"/>
  <c r="AF197" i="1"/>
  <c r="AF198" i="1"/>
  <c r="AF199" i="1"/>
  <c r="AF200" i="1"/>
  <c r="AF201" i="1"/>
  <c r="AF202" i="1"/>
  <c r="AF203" i="1"/>
  <c r="AF204" i="1"/>
  <c r="AF205" i="1"/>
  <c r="AF206" i="1"/>
  <c r="AF207" i="1"/>
  <c r="AF208" i="1"/>
  <c r="AF209" i="1"/>
  <c r="AF210" i="1"/>
  <c r="AF211" i="1"/>
  <c r="AF212" i="1"/>
  <c r="AF213" i="1"/>
  <c r="AF214" i="1"/>
  <c r="AF215" i="1"/>
  <c r="AF216" i="1"/>
  <c r="AF217" i="1"/>
  <c r="AF218" i="1"/>
  <c r="AF219" i="1"/>
  <c r="AF220" i="1"/>
  <c r="AF221" i="1"/>
  <c r="AF222" i="1"/>
  <c r="AF223" i="1"/>
  <c r="AF224" i="1"/>
  <c r="AF225" i="1"/>
  <c r="AF226" i="1"/>
  <c r="AF227" i="1"/>
  <c r="AF228" i="1"/>
  <c r="AF229" i="1"/>
  <c r="AF230" i="1"/>
  <c r="AF231" i="1"/>
  <c r="AF232" i="1"/>
  <c r="AF233" i="1"/>
  <c r="AF234" i="1"/>
  <c r="AF235" i="1"/>
  <c r="AF236" i="1"/>
  <c r="AF237" i="1"/>
  <c r="AF238" i="1"/>
  <c r="AF239" i="1"/>
  <c r="AF240" i="1"/>
  <c r="AF241" i="1"/>
  <c r="AF242" i="1"/>
  <c r="AF243" i="1"/>
  <c r="AF244" i="1"/>
  <c r="AF245" i="1"/>
  <c r="AF246" i="1"/>
  <c r="AF247" i="1"/>
  <c r="AF248" i="1"/>
  <c r="AF249" i="1"/>
  <c r="AF250" i="1"/>
  <c r="AF251" i="1"/>
  <c r="AF252" i="1"/>
  <c r="AF253" i="1"/>
  <c r="AF254" i="1"/>
  <c r="AF255" i="1"/>
  <c r="AF256" i="1"/>
  <c r="AF257" i="1"/>
  <c r="AF258" i="1"/>
  <c r="AF259" i="1"/>
  <c r="AF260" i="1"/>
  <c r="AF261" i="1"/>
  <c r="AF262" i="1"/>
  <c r="AF263" i="1"/>
  <c r="AF264" i="1"/>
  <c r="AF265" i="1"/>
  <c r="AF266" i="1"/>
  <c r="AF267" i="1"/>
  <c r="AF268" i="1"/>
  <c r="AF269" i="1"/>
  <c r="AF270" i="1"/>
  <c r="AF271" i="1"/>
  <c r="AF272" i="1"/>
  <c r="AF273" i="1"/>
  <c r="AF274" i="1"/>
  <c r="AF275" i="1"/>
  <c r="AF276" i="1"/>
  <c r="AF277" i="1"/>
  <c r="AF278" i="1"/>
  <c r="AF279" i="1"/>
  <c r="AF280" i="1"/>
  <c r="AF281" i="1"/>
  <c r="AF282" i="1"/>
  <c r="AF283" i="1"/>
  <c r="AF284" i="1"/>
  <c r="AF285" i="1"/>
  <c r="AF286" i="1"/>
  <c r="AF287" i="1"/>
  <c r="AF288" i="1"/>
  <c r="AF289" i="1"/>
  <c r="AF290" i="1"/>
  <c r="AF291" i="1"/>
  <c r="AF292" i="1"/>
  <c r="AF293" i="1"/>
  <c r="AF294" i="1"/>
  <c r="AF295" i="1"/>
  <c r="AF296" i="1"/>
  <c r="AF297" i="1"/>
  <c r="AF298" i="1"/>
  <c r="AF299" i="1"/>
  <c r="AF300" i="1"/>
  <c r="AF301" i="1"/>
  <c r="AF302" i="1"/>
  <c r="AF303" i="1"/>
  <c r="AF304" i="1"/>
  <c r="AF305" i="1"/>
  <c r="AF306" i="1"/>
  <c r="AF307" i="1"/>
  <c r="AF308" i="1"/>
  <c r="AF309" i="1"/>
  <c r="AF310" i="1"/>
  <c r="AF311" i="1"/>
  <c r="AF312" i="1"/>
  <c r="AF313" i="1"/>
  <c r="AF314" i="1"/>
  <c r="AF315" i="1"/>
  <c r="AF316" i="1"/>
  <c r="AF317" i="1"/>
  <c r="AF318" i="1"/>
  <c r="AF319" i="1"/>
  <c r="AF320" i="1"/>
  <c r="AF321" i="1"/>
  <c r="AF322" i="1"/>
  <c r="AF323" i="1"/>
  <c r="AF324" i="1"/>
  <c r="AF325" i="1"/>
  <c r="AF326" i="1"/>
  <c r="AF327" i="1"/>
  <c r="AF328" i="1"/>
  <c r="AF329" i="1"/>
  <c r="AF330" i="1"/>
  <c r="AF331" i="1"/>
  <c r="AF332" i="1"/>
  <c r="AF333" i="1"/>
  <c r="AF334" i="1"/>
  <c r="AF335" i="1"/>
  <c r="AF336" i="1"/>
  <c r="AF337" i="1"/>
  <c r="AF338" i="1"/>
  <c r="AF339" i="1"/>
  <c r="AF340" i="1"/>
  <c r="AF341" i="1"/>
  <c r="AF342" i="1"/>
  <c r="AF343" i="1"/>
  <c r="AF344" i="1"/>
  <c r="AF345" i="1"/>
  <c r="AF346" i="1"/>
  <c r="AF347" i="1"/>
  <c r="AF348" i="1"/>
  <c r="AF349" i="1"/>
  <c r="AF350" i="1"/>
  <c r="AF351" i="1"/>
  <c r="AF352" i="1"/>
  <c r="AF353" i="1"/>
  <c r="AF354" i="1"/>
  <c r="AF355" i="1"/>
  <c r="AF356" i="1"/>
  <c r="AF357" i="1"/>
  <c r="AF358" i="1"/>
  <c r="AF359" i="1"/>
  <c r="AF360" i="1"/>
  <c r="AF361" i="1"/>
  <c r="AF362" i="1"/>
  <c r="AF363" i="1"/>
  <c r="AF364" i="1"/>
  <c r="AF365" i="1"/>
  <c r="AF366" i="1"/>
  <c r="AF367" i="1"/>
  <c r="AF368" i="1"/>
  <c r="AF369" i="1"/>
  <c r="AF370" i="1"/>
  <c r="AF371" i="1"/>
  <c r="AF373" i="1"/>
  <c r="AF374" i="1"/>
  <c r="AF375" i="1"/>
  <c r="AF376" i="1"/>
  <c r="AF377" i="1"/>
  <c r="AF378" i="1"/>
  <c r="AF379" i="1"/>
  <c r="AF380" i="1"/>
  <c r="AF381" i="1"/>
  <c r="AF382" i="1"/>
  <c r="AF383" i="1"/>
  <c r="AF384" i="1"/>
  <c r="AF385" i="1"/>
  <c r="AF2" i="1"/>
  <c r="AB4" i="1"/>
  <c r="AB5" i="1"/>
  <c r="AB8" i="1"/>
  <c r="AB9" i="1"/>
  <c r="AB12" i="1"/>
  <c r="AB13" i="1"/>
  <c r="AB16" i="1"/>
  <c r="AB17" i="1"/>
  <c r="AB19" i="1"/>
  <c r="AB21" i="1"/>
  <c r="AB24" i="1"/>
  <c r="AB25" i="1"/>
  <c r="AB28" i="1"/>
  <c r="D52" i="6"/>
  <c r="AB385" i="1"/>
  <c r="AG3" i="1"/>
  <c r="AG4" i="1"/>
  <c r="AG5" i="1"/>
  <c r="AG6" i="1"/>
  <c r="AG7" i="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0" i="1"/>
  <c r="AG71" i="1"/>
  <c r="AG72" i="1"/>
  <c r="AG73" i="1"/>
  <c r="AG74" i="1"/>
  <c r="AG75" i="1"/>
  <c r="AG76" i="1"/>
  <c r="AG77" i="1"/>
  <c r="AG78" i="1"/>
  <c r="AG79" i="1"/>
  <c r="AG80" i="1"/>
  <c r="AG81" i="1"/>
  <c r="AG82" i="1"/>
  <c r="AG83" i="1"/>
  <c r="AG84" i="1"/>
  <c r="AG85" i="1"/>
  <c r="AG86" i="1"/>
  <c r="AG87" i="1"/>
  <c r="AG88" i="1"/>
  <c r="AG89" i="1"/>
  <c r="AG90" i="1"/>
  <c r="AG91" i="1"/>
  <c r="AG92" i="1"/>
  <c r="AG93" i="1"/>
  <c r="AG94" i="1"/>
  <c r="AG95" i="1"/>
  <c r="AG96" i="1"/>
  <c r="AG97" i="1"/>
  <c r="AG98" i="1"/>
  <c r="AG99" i="1"/>
  <c r="AG100" i="1"/>
  <c r="AG101" i="1"/>
  <c r="AG102" i="1"/>
  <c r="AG103" i="1"/>
  <c r="AG104" i="1"/>
  <c r="AG105" i="1"/>
  <c r="AG106" i="1"/>
  <c r="AG107" i="1"/>
  <c r="AG108" i="1"/>
  <c r="AG109" i="1"/>
  <c r="AG110" i="1"/>
  <c r="AG111" i="1"/>
  <c r="AG112" i="1"/>
  <c r="AG113" i="1"/>
  <c r="AG114" i="1"/>
  <c r="AG115" i="1"/>
  <c r="AG116" i="1"/>
  <c r="AG117" i="1"/>
  <c r="AG118" i="1"/>
  <c r="AG119" i="1"/>
  <c r="AG120" i="1"/>
  <c r="AG121" i="1"/>
  <c r="AG122" i="1"/>
  <c r="AG123" i="1"/>
  <c r="AG124" i="1"/>
  <c r="AG125" i="1"/>
  <c r="AG126" i="1"/>
  <c r="AG127" i="1"/>
  <c r="AG128" i="1"/>
  <c r="AG129" i="1"/>
  <c r="AG130" i="1"/>
  <c r="AG131" i="1"/>
  <c r="AG132" i="1"/>
  <c r="AG133" i="1"/>
  <c r="AG134" i="1"/>
  <c r="AG135" i="1"/>
  <c r="AG136" i="1"/>
  <c r="AG137" i="1"/>
  <c r="AG138" i="1"/>
  <c r="AG139" i="1"/>
  <c r="AG140" i="1"/>
  <c r="AG141" i="1"/>
  <c r="AG142" i="1"/>
  <c r="AG143" i="1"/>
  <c r="AG144" i="1"/>
  <c r="AG145" i="1"/>
  <c r="AG146" i="1"/>
  <c r="AG147" i="1"/>
  <c r="AG148" i="1"/>
  <c r="AG149" i="1"/>
  <c r="AG150" i="1"/>
  <c r="AG151" i="1"/>
  <c r="AG152" i="1"/>
  <c r="AG153" i="1"/>
  <c r="AG154" i="1"/>
  <c r="AG155" i="1"/>
  <c r="AG156" i="1"/>
  <c r="AG157" i="1"/>
  <c r="AG158" i="1"/>
  <c r="AG159" i="1"/>
  <c r="AG160" i="1"/>
  <c r="AG161" i="1"/>
  <c r="AG162" i="1"/>
  <c r="AG163" i="1"/>
  <c r="AG164" i="1"/>
  <c r="AG165" i="1"/>
  <c r="AG166" i="1"/>
  <c r="AG167" i="1"/>
  <c r="AG168" i="1"/>
  <c r="AG169" i="1"/>
  <c r="AG170" i="1"/>
  <c r="AG171" i="1"/>
  <c r="AG172" i="1"/>
  <c r="AG173" i="1"/>
  <c r="AG174" i="1"/>
  <c r="AG175" i="1"/>
  <c r="AG176" i="1"/>
  <c r="AG177" i="1"/>
  <c r="AG178" i="1"/>
  <c r="AG179" i="1"/>
  <c r="AG180" i="1"/>
  <c r="AG181" i="1"/>
  <c r="AG182" i="1"/>
  <c r="AG183" i="1"/>
  <c r="AG184" i="1"/>
  <c r="AG185" i="1"/>
  <c r="AG186" i="1"/>
  <c r="AG187" i="1"/>
  <c r="AG188" i="1"/>
  <c r="AG189" i="1"/>
  <c r="AG190" i="1"/>
  <c r="AG191" i="1"/>
  <c r="AG192" i="1"/>
  <c r="AG193" i="1"/>
  <c r="AG194" i="1"/>
  <c r="AG195" i="1"/>
  <c r="AG196" i="1"/>
  <c r="AG197" i="1"/>
  <c r="AG198" i="1"/>
  <c r="AG199" i="1"/>
  <c r="AG200" i="1"/>
  <c r="AG201" i="1"/>
  <c r="AG202" i="1"/>
  <c r="AG203" i="1"/>
  <c r="AG204" i="1"/>
  <c r="AG205" i="1"/>
  <c r="AG206" i="1"/>
  <c r="AG207" i="1"/>
  <c r="AG208" i="1"/>
  <c r="AG209" i="1"/>
  <c r="AG210" i="1"/>
  <c r="AG211" i="1"/>
  <c r="AG212" i="1"/>
  <c r="AG213" i="1"/>
  <c r="AG214" i="1"/>
  <c r="AG215" i="1"/>
  <c r="AG216" i="1"/>
  <c r="AG217" i="1"/>
  <c r="AG218" i="1"/>
  <c r="AG219" i="1"/>
  <c r="AG220" i="1"/>
  <c r="AG221" i="1"/>
  <c r="AG222" i="1"/>
  <c r="AG223" i="1"/>
  <c r="AG224" i="1"/>
  <c r="AG225" i="1"/>
  <c r="AG226" i="1"/>
  <c r="AG227" i="1"/>
  <c r="AG228" i="1"/>
  <c r="AG229" i="1"/>
  <c r="AG230" i="1"/>
  <c r="AG231" i="1"/>
  <c r="AG232" i="1"/>
  <c r="AG233" i="1"/>
  <c r="AG234" i="1"/>
  <c r="AG235" i="1"/>
  <c r="AG236" i="1"/>
  <c r="AG237" i="1"/>
  <c r="AG238" i="1"/>
  <c r="AG239" i="1"/>
  <c r="AG240" i="1"/>
  <c r="AG241" i="1"/>
  <c r="AG242" i="1"/>
  <c r="AG243" i="1"/>
  <c r="AG244" i="1"/>
  <c r="AG245" i="1"/>
  <c r="AG246" i="1"/>
  <c r="AG247" i="1"/>
  <c r="AG248" i="1"/>
  <c r="AG249" i="1"/>
  <c r="AG250" i="1"/>
  <c r="AG251" i="1"/>
  <c r="AG252" i="1"/>
  <c r="AG253" i="1"/>
  <c r="AG254" i="1"/>
  <c r="AG255" i="1"/>
  <c r="AG256" i="1"/>
  <c r="AG257" i="1"/>
  <c r="AG258" i="1"/>
  <c r="AG259" i="1"/>
  <c r="AG260" i="1"/>
  <c r="AG261" i="1"/>
  <c r="AG262" i="1"/>
  <c r="AG263" i="1"/>
  <c r="AG264" i="1"/>
  <c r="AG265" i="1"/>
  <c r="AG266" i="1"/>
  <c r="AG267" i="1"/>
  <c r="AG268" i="1"/>
  <c r="AG269" i="1"/>
  <c r="AG270" i="1"/>
  <c r="AG271" i="1"/>
  <c r="AG272" i="1"/>
  <c r="AG273" i="1"/>
  <c r="AG274" i="1"/>
  <c r="AG275" i="1"/>
  <c r="AG276" i="1"/>
  <c r="AG277" i="1"/>
  <c r="AG278" i="1"/>
  <c r="AG279" i="1"/>
  <c r="AG280" i="1"/>
  <c r="AG281" i="1"/>
  <c r="AG282" i="1"/>
  <c r="AG283" i="1"/>
  <c r="AG284" i="1"/>
  <c r="AG285" i="1"/>
  <c r="AG286" i="1"/>
  <c r="AG287" i="1"/>
  <c r="AG288" i="1"/>
  <c r="AG289" i="1"/>
  <c r="AG290" i="1"/>
  <c r="AG291" i="1"/>
  <c r="AG292" i="1"/>
  <c r="AG293" i="1"/>
  <c r="AG294" i="1"/>
  <c r="AG295" i="1"/>
  <c r="AG296" i="1"/>
  <c r="AG297" i="1"/>
  <c r="AG298" i="1"/>
  <c r="AG299" i="1"/>
  <c r="AG300" i="1"/>
  <c r="AG301" i="1"/>
  <c r="AG302" i="1"/>
  <c r="AG303" i="1"/>
  <c r="AG304" i="1"/>
  <c r="AG305" i="1"/>
  <c r="AG306" i="1"/>
  <c r="AG307" i="1"/>
  <c r="AG308" i="1"/>
  <c r="AG309" i="1"/>
  <c r="AG310" i="1"/>
  <c r="AG311" i="1"/>
  <c r="AG312" i="1"/>
  <c r="AG313" i="1"/>
  <c r="AG314" i="1"/>
  <c r="AG315" i="1"/>
  <c r="AG316" i="1"/>
  <c r="AG317" i="1"/>
  <c r="AG318" i="1"/>
  <c r="AG319" i="1"/>
  <c r="AG320" i="1"/>
  <c r="AG321" i="1"/>
  <c r="AG322" i="1"/>
  <c r="AG323" i="1"/>
  <c r="AG324" i="1"/>
  <c r="AG325" i="1"/>
  <c r="AG326" i="1"/>
  <c r="AG327" i="1"/>
  <c r="AG328" i="1"/>
  <c r="AG329" i="1"/>
  <c r="AG330" i="1"/>
  <c r="AG331" i="1"/>
  <c r="AG332" i="1"/>
  <c r="AG333" i="1"/>
  <c r="AG334" i="1"/>
  <c r="AG335" i="1"/>
  <c r="AG336" i="1"/>
  <c r="AG337" i="1"/>
  <c r="AG338" i="1"/>
  <c r="AG339" i="1"/>
  <c r="AG340" i="1"/>
  <c r="AG341" i="1"/>
  <c r="AG342" i="1"/>
  <c r="AG343" i="1"/>
  <c r="AG344" i="1"/>
  <c r="AG345" i="1"/>
  <c r="AG346" i="1"/>
  <c r="AG347" i="1"/>
  <c r="AG348" i="1"/>
  <c r="AG349" i="1"/>
  <c r="AG350" i="1"/>
  <c r="AG351" i="1"/>
  <c r="AG352" i="1"/>
  <c r="AG353" i="1"/>
  <c r="AG354" i="1"/>
  <c r="AG355" i="1"/>
  <c r="AG356" i="1"/>
  <c r="AG357" i="1"/>
  <c r="AG358" i="1"/>
  <c r="AG359" i="1"/>
  <c r="AG360" i="1"/>
  <c r="AG361" i="1"/>
  <c r="AG362" i="1"/>
  <c r="AG363" i="1"/>
  <c r="AG364" i="1"/>
  <c r="AG365" i="1"/>
  <c r="AG366" i="1"/>
  <c r="AG367" i="1"/>
  <c r="AG368" i="1"/>
  <c r="AG369" i="1"/>
  <c r="AG370" i="1"/>
  <c r="AG371" i="1"/>
  <c r="AG373" i="1"/>
  <c r="AG374" i="1"/>
  <c r="AG375" i="1"/>
  <c r="AG376" i="1"/>
  <c r="AG377" i="1"/>
  <c r="AG378" i="1"/>
  <c r="AG379" i="1"/>
  <c r="AG380" i="1"/>
  <c r="AG381" i="1"/>
  <c r="AG382" i="1"/>
  <c r="AG383" i="1"/>
  <c r="AG384" i="1"/>
  <c r="AG385" i="1"/>
  <c r="AG2" i="1"/>
  <c r="AB29" i="1"/>
  <c r="AB31" i="1"/>
  <c r="AB33" i="1"/>
  <c r="AB35" i="1"/>
  <c r="AB36" i="1"/>
  <c r="AB37" i="1"/>
  <c r="AB38" i="1"/>
  <c r="AB40" i="1"/>
  <c r="AB41" i="1"/>
  <c r="AB43" i="1"/>
  <c r="AB45" i="1"/>
  <c r="AB46" i="1"/>
  <c r="AB48" i="1"/>
  <c r="AB50" i="1"/>
  <c r="AB52" i="1"/>
  <c r="AB54" i="1"/>
  <c r="AB56" i="1"/>
  <c r="AB58" i="1"/>
  <c r="AB59" i="1"/>
  <c r="AB61" i="1"/>
  <c r="AB63" i="1"/>
  <c r="AB65" i="1"/>
  <c r="AB67" i="1"/>
  <c r="AB69" i="1"/>
  <c r="AB71" i="1"/>
  <c r="AB73" i="1"/>
  <c r="AB76" i="1"/>
  <c r="AB77" i="1"/>
  <c r="AB78" i="1"/>
  <c r="AB81" i="1"/>
  <c r="AB82" i="1"/>
  <c r="AB84" i="1"/>
  <c r="AB85" i="1"/>
  <c r="AB87" i="1"/>
  <c r="AB88" i="1"/>
  <c r="AB90" i="1"/>
  <c r="AB92" i="1"/>
  <c r="AB93" i="1"/>
  <c r="AB95" i="1"/>
  <c r="AB96" i="1"/>
  <c r="AB98" i="1"/>
  <c r="AB100" i="1"/>
  <c r="AB102" i="1"/>
  <c r="AB104" i="1"/>
  <c r="AB105" i="1"/>
  <c r="AB107" i="1"/>
  <c r="AB110" i="1"/>
  <c r="AB112" i="1"/>
  <c r="AB115" i="1"/>
  <c r="AB117" i="1"/>
  <c r="AB120" i="1"/>
  <c r="AB121" i="1"/>
  <c r="AB124" i="1"/>
  <c r="AB125" i="1"/>
  <c r="AB128" i="1"/>
  <c r="AB129" i="1"/>
  <c r="AB131" i="1"/>
  <c r="AB132" i="1"/>
  <c r="AB134" i="1"/>
  <c r="AB135" i="1"/>
  <c r="AB136" i="1"/>
  <c r="AB137" i="1"/>
  <c r="AB138" i="1"/>
  <c r="AB139" i="1"/>
  <c r="AB140" i="1"/>
  <c r="AB141" i="1"/>
  <c r="AB143" i="1"/>
  <c r="AB146" i="1"/>
  <c r="AB147" i="1"/>
  <c r="AB150" i="1"/>
  <c r="AB151" i="1"/>
  <c r="AB153" i="1"/>
  <c r="AB156" i="1"/>
  <c r="AB157" i="1"/>
  <c r="AB159" i="1"/>
  <c r="AB160" i="1"/>
  <c r="AB161" i="1"/>
  <c r="AB162" i="1"/>
  <c r="AB163" i="1"/>
  <c r="AB164" i="1"/>
  <c r="AB165" i="1"/>
  <c r="AB166" i="1"/>
  <c r="AB167" i="1"/>
  <c r="AB168" i="1"/>
  <c r="AB169" i="1"/>
  <c r="AB170" i="1"/>
  <c r="AB171" i="1"/>
  <c r="AB172" i="1"/>
  <c r="AB173" i="1"/>
  <c r="AB174" i="1"/>
  <c r="AB175" i="1"/>
  <c r="AB176" i="1"/>
  <c r="AB177" i="1"/>
  <c r="AB178" i="1"/>
  <c r="AB179" i="1"/>
  <c r="AB180" i="1"/>
  <c r="AB182" i="1"/>
  <c r="AB183" i="1"/>
  <c r="AB184" i="1"/>
  <c r="AB185" i="1"/>
  <c r="AB186" i="1"/>
  <c r="AB187" i="1"/>
  <c r="AB188" i="1"/>
  <c r="AB190" i="1"/>
  <c r="AB193" i="1"/>
  <c r="AB194" i="1"/>
  <c r="AB197" i="1"/>
  <c r="AB200" i="1"/>
  <c r="AB203" i="1"/>
  <c r="AB204" i="1"/>
  <c r="AB206" i="1"/>
  <c r="AB207" i="1"/>
  <c r="AB208" i="1"/>
  <c r="AB209" i="1"/>
  <c r="AB210" i="1"/>
  <c r="AB213" i="1"/>
  <c r="AB214" i="1"/>
  <c r="AB217" i="1"/>
  <c r="AB219" i="1"/>
  <c r="AB222" i="1"/>
  <c r="AB224" i="1"/>
  <c r="AB227" i="1"/>
  <c r="AB229" i="1"/>
  <c r="AB232" i="1"/>
  <c r="AB235" i="1"/>
  <c r="AB237" i="1"/>
  <c r="AB239" i="1"/>
  <c r="AB241" i="1"/>
  <c r="AB243" i="1"/>
  <c r="AB244" i="1"/>
  <c r="AB246" i="1"/>
  <c r="AB249" i="1"/>
  <c r="AB251" i="1"/>
  <c r="AB252" i="1"/>
  <c r="AB253" i="1"/>
  <c r="AB255" i="1"/>
  <c r="AB256" i="1"/>
  <c r="AB257" i="1"/>
  <c r="AB258" i="1"/>
  <c r="AB261" i="1"/>
  <c r="AB263" i="1"/>
  <c r="AB265" i="1"/>
  <c r="AB266" i="1"/>
  <c r="AB268" i="1"/>
  <c r="AB270" i="1"/>
  <c r="AB272" i="1"/>
  <c r="AB274" i="1"/>
  <c r="AB275" i="1"/>
  <c r="AB277" i="1"/>
  <c r="AB279" i="1"/>
  <c r="AB281" i="1"/>
  <c r="AB283" i="1"/>
  <c r="AB284" i="1"/>
  <c r="AB285" i="1"/>
  <c r="AB287" i="1"/>
  <c r="AB288" i="1"/>
  <c r="AB289" i="1"/>
  <c r="AB292" i="1"/>
  <c r="AB293" i="1"/>
  <c r="AB296" i="1"/>
  <c r="AB297" i="1"/>
  <c r="AB298" i="1"/>
  <c r="AB300" i="1"/>
  <c r="AB303" i="1"/>
  <c r="AB305" i="1"/>
  <c r="AB306" i="1"/>
  <c r="AB309" i="1"/>
  <c r="AB310" i="1"/>
  <c r="AB313" i="1"/>
  <c r="AB314" i="1"/>
  <c r="AB317" i="1"/>
  <c r="AB318" i="1"/>
  <c r="AB321" i="1"/>
  <c r="AB322" i="1"/>
  <c r="AB324" i="1"/>
  <c r="AB325" i="1"/>
  <c r="AB327" i="1"/>
  <c r="AB330" i="1"/>
  <c r="AB332" i="1"/>
  <c r="AB334" i="1"/>
  <c r="AB336" i="1"/>
  <c r="AB339" i="1"/>
  <c r="AB340" i="1"/>
  <c r="AB342" i="1"/>
  <c r="AB343" i="1"/>
  <c r="AB344" i="1"/>
  <c r="AB345" i="1"/>
  <c r="AB347" i="1"/>
  <c r="AB350" i="1"/>
  <c r="AB352" i="1"/>
  <c r="AB353" i="1"/>
  <c r="AB354" i="1"/>
  <c r="AB356" i="1"/>
  <c r="AB359" i="1"/>
  <c r="AB360" i="1"/>
  <c r="AB361" i="1"/>
  <c r="AB363" i="1"/>
  <c r="AB364" i="1"/>
  <c r="AB365" i="1"/>
  <c r="AB366" i="1"/>
  <c r="AB367" i="1"/>
  <c r="AB368" i="1"/>
  <c r="AB369" i="1"/>
  <c r="AB370" i="1"/>
  <c r="AB371" i="1"/>
  <c r="AB373" i="1"/>
  <c r="AB374" i="1"/>
  <c r="AB375" i="1"/>
  <c r="AB376" i="1"/>
  <c r="AB377" i="1"/>
  <c r="AB378" i="1"/>
  <c r="AB379" i="1"/>
  <c r="AB380" i="1"/>
  <c r="AB381" i="1"/>
  <c r="AB382" i="1"/>
  <c r="AB383" i="1"/>
  <c r="AB384" i="1"/>
  <c r="D239" i="6"/>
  <c r="AE257" i="1"/>
  <c r="AD257" i="1"/>
  <c r="C257" i="1"/>
  <c r="X257" i="1"/>
  <c r="W257" i="1"/>
  <c r="Q257" i="1"/>
  <c r="U257" i="1" s="1"/>
  <c r="P257" i="1"/>
  <c r="T257" i="1" s="1"/>
  <c r="X371" i="1"/>
  <c r="W371" i="1"/>
  <c r="AD371" i="1"/>
  <c r="C371" i="1"/>
  <c r="Q371" i="1"/>
  <c r="U371" i="1" s="1"/>
  <c r="P371" i="1"/>
  <c r="T371" i="1" s="1"/>
  <c r="D262" i="6"/>
  <c r="AE371" i="1" s="1"/>
  <c r="C392" i="1"/>
  <c r="C393" i="1"/>
  <c r="C394" i="1"/>
  <c r="C395" i="1"/>
  <c r="C396" i="1"/>
  <c r="C398" i="1"/>
  <c r="C399" i="1"/>
  <c r="C400" i="1"/>
  <c r="D209" i="6"/>
  <c r="D148" i="6"/>
  <c r="D152" i="6"/>
  <c r="D130" i="6"/>
  <c r="D24" i="6"/>
  <c r="D208" i="6"/>
  <c r="D220" i="6"/>
  <c r="D100" i="6"/>
  <c r="D207" i="6"/>
  <c r="AD364" i="1"/>
  <c r="AD365" i="1"/>
  <c r="C365" i="1"/>
  <c r="X365" i="1"/>
  <c r="W365" i="1"/>
  <c r="Q365" i="1"/>
  <c r="U365" i="1" s="1"/>
  <c r="P365" i="1"/>
  <c r="T365" i="1" s="1"/>
  <c r="P364" i="1"/>
  <c r="T364" i="1" s="1"/>
  <c r="Q364" i="1"/>
  <c r="U364" i="1" s="1"/>
  <c r="X364" i="1"/>
  <c r="W364" i="1"/>
  <c r="C364" i="1"/>
  <c r="AD66" i="1"/>
  <c r="D179" i="6"/>
  <c r="AE362" i="1" s="1"/>
  <c r="AD363" i="1"/>
  <c r="C363" i="1"/>
  <c r="X363" i="1"/>
  <c r="W363" i="1"/>
  <c r="Q363" i="1"/>
  <c r="U363" i="1" s="1"/>
  <c r="P363" i="1"/>
  <c r="T363" i="1" s="1"/>
  <c r="AD362" i="1"/>
  <c r="C362" i="1"/>
  <c r="W362" i="1"/>
  <c r="Q362" i="1"/>
  <c r="U362" i="1" s="1"/>
  <c r="P362" i="1"/>
  <c r="T362" i="1" s="1"/>
  <c r="D221" i="6"/>
  <c r="D222" i="6"/>
  <c r="AE361" i="1" s="1"/>
  <c r="AD361" i="1"/>
  <c r="X361" i="1"/>
  <c r="W361" i="1"/>
  <c r="Q361" i="1"/>
  <c r="U361" i="1" s="1"/>
  <c r="P361" i="1"/>
  <c r="T361" i="1" s="1"/>
  <c r="AD360" i="1"/>
  <c r="C360" i="1"/>
  <c r="X360" i="1"/>
  <c r="W360" i="1"/>
  <c r="Q360" i="1"/>
  <c r="U360" i="1" s="1"/>
  <c r="P360" i="1"/>
  <c r="T360" i="1" s="1"/>
  <c r="D238" i="6"/>
  <c r="AE359" i="1" s="1"/>
  <c r="AD359" i="1"/>
  <c r="C359" i="1"/>
  <c r="X359" i="1"/>
  <c r="W359" i="1"/>
  <c r="Q359" i="1"/>
  <c r="U359" i="1" s="1"/>
  <c r="P359" i="1"/>
  <c r="T359" i="1" s="1"/>
  <c r="AD358" i="1"/>
  <c r="C358" i="1"/>
  <c r="X358" i="1"/>
  <c r="W358" i="1"/>
  <c r="Q358" i="1"/>
  <c r="U358" i="1" s="1"/>
  <c r="P358" i="1"/>
  <c r="T358" i="1" s="1"/>
  <c r="X357" i="1"/>
  <c r="W357" i="1"/>
  <c r="C357" i="1"/>
  <c r="AD357" i="1"/>
  <c r="P357" i="1"/>
  <c r="T357" i="1" s="1"/>
  <c r="Q357" i="1"/>
  <c r="U357" i="1" s="1"/>
  <c r="D11" i="6"/>
  <c r="P298" i="1"/>
  <c r="T298" i="1" s="1"/>
  <c r="Q298" i="1"/>
  <c r="U298" i="1" s="1"/>
  <c r="C298" i="1"/>
  <c r="AD298" i="1"/>
  <c r="AD187" i="1"/>
  <c r="AD188" i="1"/>
  <c r="D36" i="6"/>
  <c r="AE188" i="1" s="1"/>
  <c r="D51" i="6"/>
  <c r="AE187" i="1" s="1"/>
  <c r="P188" i="1"/>
  <c r="T188" i="1" s="1"/>
  <c r="Q188" i="1"/>
  <c r="U188" i="1" s="1"/>
  <c r="W188" i="1"/>
  <c r="C188" i="1"/>
  <c r="P187" i="1"/>
  <c r="T187" i="1" s="1"/>
  <c r="Q187" i="1"/>
  <c r="U187" i="1" s="1"/>
  <c r="W187" i="1"/>
  <c r="C187" i="1"/>
  <c r="D206" i="6"/>
  <c r="D35" i="6"/>
  <c r="D219" i="6"/>
  <c r="D131" i="6"/>
  <c r="D103" i="6"/>
  <c r="D237" i="6"/>
  <c r="D23" i="6"/>
  <c r="D61" i="6"/>
  <c r="AE85" i="1" s="1"/>
  <c r="D261" i="6"/>
  <c r="AE82" i="1" s="1"/>
  <c r="C58" i="1"/>
  <c r="X125" i="1"/>
  <c r="X121" i="1"/>
  <c r="X85" i="1"/>
  <c r="X59" i="1"/>
  <c r="AD59" i="1"/>
  <c r="W59" i="1"/>
  <c r="Q59" i="1"/>
  <c r="U59" i="1" s="1"/>
  <c r="P59" i="1"/>
  <c r="T59" i="1" s="1"/>
  <c r="C81" i="1"/>
  <c r="AD93" i="1"/>
  <c r="X93" i="1"/>
  <c r="W93" i="1"/>
  <c r="Q93" i="1"/>
  <c r="U93" i="1" s="1"/>
  <c r="P93" i="1"/>
  <c r="T93" i="1" s="1"/>
  <c r="AD132" i="1"/>
  <c r="X132" i="1"/>
  <c r="W132" i="1"/>
  <c r="Q132" i="1"/>
  <c r="U132" i="1" s="1"/>
  <c r="P132" i="1"/>
  <c r="T132" i="1" s="1"/>
  <c r="C119" i="1"/>
  <c r="AD125" i="1"/>
  <c r="W125" i="1"/>
  <c r="Q125" i="1"/>
  <c r="U125" i="1" s="1"/>
  <c r="P125" i="1"/>
  <c r="T125" i="1" s="1"/>
  <c r="AD121" i="1"/>
  <c r="W121" i="1"/>
  <c r="Q121" i="1"/>
  <c r="U121" i="1" s="1"/>
  <c r="P121" i="1"/>
  <c r="T121" i="1" s="1"/>
  <c r="AD105" i="1"/>
  <c r="X105" i="1"/>
  <c r="W105" i="1"/>
  <c r="Q105" i="1"/>
  <c r="U105" i="1" s="1"/>
  <c r="P105" i="1"/>
  <c r="T105" i="1" s="1"/>
  <c r="AD82" i="1"/>
  <c r="X82" i="1"/>
  <c r="W82" i="1"/>
  <c r="Q82" i="1"/>
  <c r="U82" i="1" s="1"/>
  <c r="P82" i="1"/>
  <c r="T82" i="1" s="1"/>
  <c r="AD85" i="1"/>
  <c r="W85" i="1"/>
  <c r="Q85" i="1"/>
  <c r="U85" i="1" s="1"/>
  <c r="P85" i="1"/>
  <c r="T85" i="1" s="1"/>
  <c r="AD88" i="1"/>
  <c r="X88" i="1"/>
  <c r="W88" i="1"/>
  <c r="Q88" i="1"/>
  <c r="U88" i="1" s="1"/>
  <c r="P88" i="1"/>
  <c r="T88" i="1" s="1"/>
  <c r="D26" i="6"/>
  <c r="AD355" i="1"/>
  <c r="AD356" i="1"/>
  <c r="D139" i="6"/>
  <c r="D166" i="6"/>
  <c r="D133" i="6"/>
  <c r="AE356" i="1" s="1"/>
  <c r="D138" i="6"/>
  <c r="AE355" i="1" s="1"/>
  <c r="AA355" i="1"/>
  <c r="C356" i="1"/>
  <c r="W356" i="1"/>
  <c r="Q356" i="1"/>
  <c r="U356" i="1" s="1"/>
  <c r="P356" i="1"/>
  <c r="T356" i="1" s="1"/>
  <c r="P355" i="1"/>
  <c r="T355" i="1" s="1"/>
  <c r="Q355" i="1"/>
  <c r="U355" i="1" s="1"/>
  <c r="W355" i="1"/>
  <c r="C355" i="1"/>
  <c r="AD354" i="1"/>
  <c r="D214" i="6"/>
  <c r="AE354" i="1" s="1"/>
  <c r="P354" i="1"/>
  <c r="T354" i="1" s="1"/>
  <c r="Q354" i="1"/>
  <c r="U354" i="1" s="1"/>
  <c r="X354" i="1"/>
  <c r="W354" i="1"/>
  <c r="C354" i="1"/>
  <c r="D47" i="6"/>
  <c r="D149" i="6"/>
  <c r="D87" i="6"/>
  <c r="D57" i="6"/>
  <c r="AE353" i="1" s="1"/>
  <c r="AD353" i="1"/>
  <c r="P353" i="1"/>
  <c r="T353" i="1" s="1"/>
  <c r="Q353" i="1"/>
  <c r="U353" i="1" s="1"/>
  <c r="X353" i="1"/>
  <c r="W353" i="1"/>
  <c r="C353" i="1"/>
  <c r="D97" i="6"/>
  <c r="V257" i="1" l="1"/>
  <c r="AJ257" i="1" s="1" a="1"/>
  <c r="AJ257" i="1" s="1"/>
  <c r="V371" i="1"/>
  <c r="AJ371" i="1" s="1" a="1"/>
  <c r="AJ371" i="1" s="1"/>
  <c r="V364" i="1"/>
  <c r="AJ364" i="1" s="1" a="1"/>
  <c r="AJ364" i="1" s="1"/>
  <c r="V365" i="1"/>
  <c r="AJ365" i="1" s="1" a="1"/>
  <c r="AJ365" i="1" s="1"/>
  <c r="AE360" i="1"/>
  <c r="V363" i="1"/>
  <c r="V362" i="1"/>
  <c r="AJ362" i="1" s="1" a="1"/>
  <c r="AJ362" i="1" s="1"/>
  <c r="V361" i="1"/>
  <c r="AJ361" i="1" s="1" a="1"/>
  <c r="AJ361" i="1" s="1"/>
  <c r="V360" i="1"/>
  <c r="AJ360" i="1" s="1" a="1"/>
  <c r="AJ360" i="1" s="1"/>
  <c r="V359" i="1"/>
  <c r="AB358" i="1" s="1"/>
  <c r="V358" i="1"/>
  <c r="V357" i="1"/>
  <c r="AJ357" i="1" s="1" a="1"/>
  <c r="AJ357" i="1" s="1"/>
  <c r="V298" i="1"/>
  <c r="AJ298" i="1" s="1" a="1"/>
  <c r="AJ298" i="1" s="1"/>
  <c r="V188" i="1"/>
  <c r="AJ188" i="1" s="1" a="1"/>
  <c r="AJ188" i="1" s="1"/>
  <c r="V187" i="1"/>
  <c r="AJ187" i="1" s="1" a="1"/>
  <c r="AJ187" i="1" s="1"/>
  <c r="V59" i="1"/>
  <c r="AJ59" i="1" s="1" a="1"/>
  <c r="AJ59" i="1" s="1"/>
  <c r="V93" i="1"/>
  <c r="AJ93" i="1" s="1" a="1"/>
  <c r="AJ93" i="1" s="1"/>
  <c r="V121" i="1"/>
  <c r="AJ121" i="1" s="1" a="1"/>
  <c r="AJ121" i="1" s="1"/>
  <c r="V132" i="1"/>
  <c r="AJ132" i="1" s="1" a="1"/>
  <c r="AJ132" i="1" s="1"/>
  <c r="V125" i="1"/>
  <c r="AJ125" i="1" s="1" a="1"/>
  <c r="AJ125" i="1" s="1"/>
  <c r="V105" i="1"/>
  <c r="AJ105" i="1" s="1" a="1"/>
  <c r="AJ105" i="1" s="1"/>
  <c r="V82" i="1"/>
  <c r="V85" i="1"/>
  <c r="AJ85" i="1" s="1" a="1"/>
  <c r="AJ85" i="1" s="1"/>
  <c r="V88" i="1"/>
  <c r="AJ88" i="1" s="1" a="1"/>
  <c r="AJ88" i="1" s="1"/>
  <c r="V355" i="1"/>
  <c r="AJ355" i="1" s="1" a="1"/>
  <c r="AJ355" i="1" s="1"/>
  <c r="V356" i="1"/>
  <c r="V354" i="1"/>
  <c r="AJ354" i="1" s="1" a="1"/>
  <c r="AJ354" i="1" s="1"/>
  <c r="V353" i="1"/>
  <c r="AJ353" i="1" s="1" a="1"/>
  <c r="AJ353" i="1" s="1"/>
  <c r="D128" i="6"/>
  <c r="D127" i="6"/>
  <c r="D6" i="6"/>
  <c r="D84" i="6"/>
  <c r="AE352" i="1" s="1"/>
  <c r="AD351" i="1"/>
  <c r="AD352" i="1"/>
  <c r="AA351" i="1"/>
  <c r="X352" i="1"/>
  <c r="W352" i="1"/>
  <c r="P352" i="1"/>
  <c r="T352" i="1" s="1"/>
  <c r="Q352" i="1"/>
  <c r="U352" i="1" s="1"/>
  <c r="C352" i="1"/>
  <c r="P351" i="1"/>
  <c r="T351" i="1" s="1"/>
  <c r="Q351" i="1"/>
  <c r="U351" i="1" s="1"/>
  <c r="X351" i="1"/>
  <c r="W351" i="1"/>
  <c r="C351" i="1"/>
  <c r="D233" i="6"/>
  <c r="D260" i="6"/>
  <c r="D32" i="6"/>
  <c r="AA348" i="1"/>
  <c r="AA349" i="1"/>
  <c r="C348" i="1"/>
  <c r="C349" i="1"/>
  <c r="C350" i="1"/>
  <c r="D27" i="6"/>
  <c r="D30" i="6"/>
  <c r="AE350" i="1" s="1"/>
  <c r="AD348" i="1"/>
  <c r="AD349" i="1"/>
  <c r="AD350" i="1"/>
  <c r="P349" i="1"/>
  <c r="T349" i="1" s="1"/>
  <c r="Q349" i="1"/>
  <c r="U349" i="1" s="1"/>
  <c r="W349" i="1"/>
  <c r="X349" i="1"/>
  <c r="P350" i="1"/>
  <c r="T350" i="1" s="1"/>
  <c r="Q350" i="1"/>
  <c r="U350" i="1" s="1"/>
  <c r="W350" i="1"/>
  <c r="X350" i="1"/>
  <c r="P348" i="1"/>
  <c r="T348" i="1" s="1"/>
  <c r="Q348" i="1"/>
  <c r="U348" i="1" s="1"/>
  <c r="X348" i="1"/>
  <c r="W348" i="1"/>
  <c r="L172" i="1"/>
  <c r="AD346" i="1"/>
  <c r="AD347" i="1"/>
  <c r="C347" i="1"/>
  <c r="AA346" i="1"/>
  <c r="W347" i="1"/>
  <c r="X347" i="1"/>
  <c r="P347" i="1"/>
  <c r="T347" i="1" s="1"/>
  <c r="Q347" i="1"/>
  <c r="U347" i="1" s="1"/>
  <c r="C346" i="1"/>
  <c r="X346" i="1"/>
  <c r="P346" i="1"/>
  <c r="T346" i="1" s="1"/>
  <c r="Q346" i="1"/>
  <c r="U346" i="1" s="1"/>
  <c r="W346" i="1"/>
  <c r="D74" i="6"/>
  <c r="AE347" i="1" s="1"/>
  <c r="D19" i="6"/>
  <c r="AE345" i="1" s="1"/>
  <c r="D41" i="6"/>
  <c r="AE344" i="1" s="1"/>
  <c r="AD344" i="1"/>
  <c r="AD345" i="1"/>
  <c r="C344" i="1"/>
  <c r="X345" i="1"/>
  <c r="W345" i="1"/>
  <c r="Q345" i="1"/>
  <c r="U345" i="1" s="1"/>
  <c r="P345" i="1"/>
  <c r="T345" i="1" s="1"/>
  <c r="X344" i="1"/>
  <c r="P344" i="1"/>
  <c r="T344" i="1" s="1"/>
  <c r="Q344" i="1"/>
  <c r="U344" i="1" s="1"/>
  <c r="W344" i="1"/>
  <c r="AD331" i="1"/>
  <c r="AD332" i="1"/>
  <c r="D184" i="6"/>
  <c r="AE331" i="1" s="1"/>
  <c r="AA331" i="1"/>
  <c r="P332" i="1"/>
  <c r="T332" i="1" s="1"/>
  <c r="Q332" i="1"/>
  <c r="U332" i="1" s="1"/>
  <c r="P331" i="1"/>
  <c r="T331" i="1" s="1"/>
  <c r="Q331" i="1"/>
  <c r="U331" i="1" s="1"/>
  <c r="W332" i="1"/>
  <c r="C332" i="1"/>
  <c r="W331" i="1"/>
  <c r="C331" i="1"/>
  <c r="D167" i="6"/>
  <c r="AE341" i="1" s="1"/>
  <c r="D192" i="6"/>
  <c r="AE343" i="1" s="1"/>
  <c r="D92" i="6"/>
  <c r="AE342" i="1" s="1"/>
  <c r="AD341" i="1"/>
  <c r="AD342" i="1"/>
  <c r="AD343" i="1"/>
  <c r="C342" i="1"/>
  <c r="AA341" i="1"/>
  <c r="W343" i="1"/>
  <c r="P343" i="1"/>
  <c r="T343" i="1" s="1"/>
  <c r="Q343" i="1"/>
  <c r="U343" i="1" s="1"/>
  <c r="P342" i="1"/>
  <c r="T342" i="1" s="1"/>
  <c r="Q342" i="1"/>
  <c r="U342" i="1" s="1"/>
  <c r="W342" i="1"/>
  <c r="C341" i="1"/>
  <c r="P341" i="1"/>
  <c r="T341" i="1" s="1"/>
  <c r="Q341" i="1"/>
  <c r="U341" i="1" s="1"/>
  <c r="W341" i="1"/>
  <c r="D178" i="6"/>
  <c r="AE298" i="1" s="1"/>
  <c r="D64" i="6"/>
  <c r="AB355" i="1" l="1"/>
  <c r="AB357" i="1"/>
  <c r="AJ363" i="1" a="1"/>
  <c r="AJ363" i="1" s="1"/>
  <c r="AB362" i="1"/>
  <c r="AJ358" i="1" a="1"/>
  <c r="AJ358" i="1" s="1"/>
  <c r="AJ359" i="1" a="1"/>
  <c r="AJ359" i="1" s="1"/>
  <c r="AJ82" i="1" a="1"/>
  <c r="AJ82" i="1" s="1"/>
  <c r="AJ356" i="1" a="1"/>
  <c r="AJ356" i="1" s="1"/>
  <c r="V351" i="1"/>
  <c r="AJ351" i="1" s="1" a="1"/>
  <c r="AJ351" i="1" s="1"/>
  <c r="V352" i="1"/>
  <c r="AJ352" i="1" s="1" a="1"/>
  <c r="AJ352" i="1" s="1"/>
  <c r="V348" i="1"/>
  <c r="AJ348" i="1" s="1" a="1"/>
  <c r="AJ348" i="1" s="1"/>
  <c r="V350" i="1"/>
  <c r="AJ350" i="1" s="1" a="1"/>
  <c r="AJ350" i="1" s="1"/>
  <c r="V349" i="1"/>
  <c r="AB348" i="1" s="1"/>
  <c r="V347" i="1"/>
  <c r="AJ347" i="1" s="1" a="1"/>
  <c r="AJ347" i="1" s="1"/>
  <c r="V346" i="1"/>
  <c r="AJ346" i="1" s="1" a="1"/>
  <c r="AJ346" i="1" s="1"/>
  <c r="V344" i="1"/>
  <c r="AJ344" i="1" s="1" a="1"/>
  <c r="AJ344" i="1" s="1"/>
  <c r="V345" i="1"/>
  <c r="AJ345" i="1" s="1" a="1"/>
  <c r="AJ345" i="1" s="1"/>
  <c r="V331" i="1"/>
  <c r="AJ331" i="1" s="1" a="1"/>
  <c r="AJ331" i="1" s="1"/>
  <c r="V332" i="1"/>
  <c r="AJ332" i="1" s="1" a="1"/>
  <c r="AJ332" i="1" s="1"/>
  <c r="V342" i="1"/>
  <c r="AJ342" i="1" s="1" a="1"/>
  <c r="AJ342" i="1" s="1"/>
  <c r="V343" i="1"/>
  <c r="AJ343" i="1" s="1" a="1"/>
  <c r="AJ343" i="1" s="1"/>
  <c r="V341" i="1"/>
  <c r="AJ341" i="1" s="1" a="1"/>
  <c r="AJ341" i="1" s="1"/>
  <c r="AE202" i="1"/>
  <c r="AD325" i="1"/>
  <c r="C325" i="1"/>
  <c r="X325" i="1"/>
  <c r="W325" i="1"/>
  <c r="Q325" i="1"/>
  <c r="U325" i="1" s="1"/>
  <c r="P325" i="1"/>
  <c r="T325" i="1" s="1"/>
  <c r="AD322" i="1"/>
  <c r="C322" i="1"/>
  <c r="W322" i="1"/>
  <c r="Q322" i="1"/>
  <c r="U322" i="1" s="1"/>
  <c r="P322" i="1"/>
  <c r="T322" i="1" s="1"/>
  <c r="AD318" i="1"/>
  <c r="C318" i="1"/>
  <c r="W318" i="1"/>
  <c r="Q318" i="1"/>
  <c r="U318" i="1" s="1"/>
  <c r="P318" i="1"/>
  <c r="T318" i="1" s="1"/>
  <c r="AD314" i="1"/>
  <c r="C314" i="1"/>
  <c r="X314" i="1"/>
  <c r="W314" i="1"/>
  <c r="Q314" i="1"/>
  <c r="U314" i="1" s="1"/>
  <c r="P314" i="1"/>
  <c r="T314" i="1" s="1"/>
  <c r="AD310" i="1"/>
  <c r="C310" i="1"/>
  <c r="X310" i="1"/>
  <c r="W310" i="1"/>
  <c r="Q310" i="1"/>
  <c r="U310" i="1" s="1"/>
  <c r="P310" i="1"/>
  <c r="T310" i="1" s="1"/>
  <c r="AD297" i="1"/>
  <c r="C297" i="1"/>
  <c r="W297" i="1"/>
  <c r="Q297" i="1"/>
  <c r="U297" i="1" s="1"/>
  <c r="P297" i="1"/>
  <c r="T297" i="1" s="1"/>
  <c r="AD293" i="1"/>
  <c r="C293" i="1"/>
  <c r="X293" i="1"/>
  <c r="W293" i="1"/>
  <c r="Q293" i="1"/>
  <c r="U293" i="1" s="1"/>
  <c r="P293" i="1"/>
  <c r="T293" i="1" s="1"/>
  <c r="AD204" i="1"/>
  <c r="C204" i="1"/>
  <c r="W204" i="1"/>
  <c r="Q204" i="1"/>
  <c r="U204" i="1" s="1"/>
  <c r="P204" i="1"/>
  <c r="T204" i="1" s="1"/>
  <c r="AD194" i="1"/>
  <c r="C194" i="1"/>
  <c r="W194" i="1"/>
  <c r="Q194" i="1"/>
  <c r="U194" i="1" s="1"/>
  <c r="P194" i="1"/>
  <c r="T194" i="1" s="1"/>
  <c r="AD157" i="1"/>
  <c r="C157" i="1"/>
  <c r="W157" i="1"/>
  <c r="Q157" i="1"/>
  <c r="U157" i="1" s="1"/>
  <c r="P157" i="1"/>
  <c r="T157" i="1" s="1"/>
  <c r="AD147" i="1"/>
  <c r="C147" i="1"/>
  <c r="X147" i="1"/>
  <c r="W147" i="1"/>
  <c r="Q147" i="1"/>
  <c r="U147" i="1" s="1"/>
  <c r="P147" i="1"/>
  <c r="T147" i="1" s="1"/>
  <c r="AD129" i="1"/>
  <c r="C129" i="1"/>
  <c r="X129" i="1"/>
  <c r="W129" i="1"/>
  <c r="Q129" i="1"/>
  <c r="U129" i="1" s="1"/>
  <c r="P129" i="1"/>
  <c r="T129" i="1" s="1"/>
  <c r="AD29" i="1"/>
  <c r="C29" i="1"/>
  <c r="X29" i="1"/>
  <c r="W29" i="1"/>
  <c r="Q29" i="1"/>
  <c r="U29" i="1" s="1"/>
  <c r="P29" i="1"/>
  <c r="T29" i="1" s="1"/>
  <c r="AD25" i="1"/>
  <c r="C25" i="1"/>
  <c r="W25" i="1"/>
  <c r="Q25" i="1"/>
  <c r="U25" i="1" s="1"/>
  <c r="P25" i="1"/>
  <c r="T25" i="1" s="1"/>
  <c r="AD17" i="1"/>
  <c r="C17" i="1"/>
  <c r="X17" i="1"/>
  <c r="W17" i="1"/>
  <c r="Q17" i="1"/>
  <c r="U17" i="1" s="1"/>
  <c r="P17" i="1"/>
  <c r="T17" i="1" s="1"/>
  <c r="AD13" i="1"/>
  <c r="C13" i="1"/>
  <c r="W13" i="1"/>
  <c r="Q13" i="1"/>
  <c r="U13" i="1" s="1"/>
  <c r="P13" i="1"/>
  <c r="T13" i="1" s="1"/>
  <c r="AD9" i="1"/>
  <c r="C9" i="1"/>
  <c r="X9" i="1"/>
  <c r="W9" i="1"/>
  <c r="Q9" i="1"/>
  <c r="U9" i="1" s="1"/>
  <c r="P9" i="1"/>
  <c r="T9" i="1" s="1"/>
  <c r="D116" i="6"/>
  <c r="AE45" i="1" s="1"/>
  <c r="W45" i="1"/>
  <c r="AD45" i="1"/>
  <c r="C45" i="1"/>
  <c r="Q45" i="1"/>
  <c r="U45" i="1" s="1"/>
  <c r="P45" i="1"/>
  <c r="T45" i="1" s="1"/>
  <c r="D12" i="6"/>
  <c r="AE36" i="1" s="1"/>
  <c r="AD37" i="1"/>
  <c r="W37" i="1"/>
  <c r="Q37" i="1"/>
  <c r="U37" i="1" s="1"/>
  <c r="P37" i="1"/>
  <c r="T37" i="1" s="1"/>
  <c r="AD36" i="1"/>
  <c r="W36" i="1"/>
  <c r="Q36" i="1"/>
  <c r="U36" i="1" s="1"/>
  <c r="P36" i="1"/>
  <c r="T36" i="1" s="1"/>
  <c r="D228" i="6"/>
  <c r="D143" i="6"/>
  <c r="D213" i="6"/>
  <c r="AA337" i="1"/>
  <c r="AA338" i="1"/>
  <c r="D69" i="6"/>
  <c r="AE338" i="1" s="1"/>
  <c r="D224" i="6"/>
  <c r="D28" i="6"/>
  <c r="AE169" i="1" s="1"/>
  <c r="D234" i="6"/>
  <c r="AD340" i="1"/>
  <c r="X340" i="1"/>
  <c r="W340" i="1"/>
  <c r="Q340" i="1"/>
  <c r="U340" i="1" s="1"/>
  <c r="P340" i="1"/>
  <c r="T340" i="1" s="1"/>
  <c r="AD339" i="1"/>
  <c r="X339" i="1"/>
  <c r="W339" i="1"/>
  <c r="Q339" i="1"/>
  <c r="U339" i="1" s="1"/>
  <c r="P339" i="1"/>
  <c r="T339" i="1" s="1"/>
  <c r="AD338" i="1"/>
  <c r="C338" i="1"/>
  <c r="X338" i="1"/>
  <c r="W338" i="1"/>
  <c r="Q338" i="1"/>
  <c r="U338" i="1" s="1"/>
  <c r="P338" i="1"/>
  <c r="T338" i="1" s="1"/>
  <c r="AD337" i="1"/>
  <c r="X337" i="1"/>
  <c r="P337" i="1"/>
  <c r="T337" i="1" s="1"/>
  <c r="Q337" i="1"/>
  <c r="U337" i="1" s="1"/>
  <c r="W337" i="1"/>
  <c r="C337" i="1"/>
  <c r="X180" i="1"/>
  <c r="AD180" i="1"/>
  <c r="W180" i="1"/>
  <c r="Q180" i="1"/>
  <c r="U180" i="1" s="1"/>
  <c r="P180" i="1"/>
  <c r="T180" i="1" s="1"/>
  <c r="D86" i="6"/>
  <c r="AE164" i="1" s="1"/>
  <c r="AD166" i="1"/>
  <c r="X166" i="1"/>
  <c r="W166" i="1"/>
  <c r="Q166" i="1"/>
  <c r="U166" i="1" s="1"/>
  <c r="P166" i="1"/>
  <c r="T166" i="1" s="1"/>
  <c r="AD165" i="1"/>
  <c r="X165" i="1"/>
  <c r="W165" i="1"/>
  <c r="Q165" i="1"/>
  <c r="U165" i="1" s="1"/>
  <c r="P165" i="1"/>
  <c r="T165" i="1" s="1"/>
  <c r="AD164" i="1"/>
  <c r="X164" i="1"/>
  <c r="W164" i="1"/>
  <c r="Q164" i="1"/>
  <c r="U164" i="1" s="1"/>
  <c r="P164" i="1"/>
  <c r="T164" i="1" s="1"/>
  <c r="AD163" i="1"/>
  <c r="X163" i="1"/>
  <c r="W163" i="1"/>
  <c r="Q163" i="1"/>
  <c r="U163" i="1" s="1"/>
  <c r="P163" i="1"/>
  <c r="T163" i="1" s="1"/>
  <c r="AD162" i="1"/>
  <c r="X162" i="1"/>
  <c r="W162" i="1"/>
  <c r="Q162" i="1"/>
  <c r="U162" i="1" s="1"/>
  <c r="P162" i="1"/>
  <c r="T162" i="1" s="1"/>
  <c r="AE74" i="1"/>
  <c r="AD3" i="1"/>
  <c r="AD4" i="1"/>
  <c r="AD6" i="1"/>
  <c r="AD7" i="1"/>
  <c r="AD8" i="1"/>
  <c r="AD10" i="1"/>
  <c r="AD11" i="1"/>
  <c r="AD12" i="1"/>
  <c r="AD14" i="1"/>
  <c r="AD15" i="1"/>
  <c r="AD16" i="1"/>
  <c r="AD18" i="1"/>
  <c r="AD19" i="1"/>
  <c r="AD20" i="1"/>
  <c r="AD21" i="1"/>
  <c r="AD22" i="1"/>
  <c r="AD23" i="1"/>
  <c r="AD24" i="1"/>
  <c r="AD26" i="1"/>
  <c r="AD27" i="1"/>
  <c r="AD28" i="1"/>
  <c r="AD30" i="1"/>
  <c r="AD31" i="1"/>
  <c r="AD32" i="1"/>
  <c r="AD33" i="1"/>
  <c r="AD34" i="1"/>
  <c r="AD35" i="1"/>
  <c r="AD38" i="1"/>
  <c r="AD39" i="1"/>
  <c r="AD40" i="1"/>
  <c r="AD41" i="1"/>
  <c r="AD42" i="1"/>
  <c r="AD43" i="1"/>
  <c r="AD44" i="1"/>
  <c r="AD46" i="1"/>
  <c r="AD47" i="1"/>
  <c r="AD48" i="1"/>
  <c r="AD49" i="1"/>
  <c r="AD50" i="1"/>
  <c r="AD51" i="1"/>
  <c r="AD52" i="1"/>
  <c r="AD53" i="1"/>
  <c r="AD54" i="1"/>
  <c r="AD55" i="1"/>
  <c r="AD56" i="1"/>
  <c r="AD57" i="1"/>
  <c r="AD58" i="1"/>
  <c r="AD60" i="1"/>
  <c r="AD61" i="1"/>
  <c r="AD62" i="1"/>
  <c r="AD63" i="1"/>
  <c r="AD64" i="1"/>
  <c r="AD65" i="1"/>
  <c r="AD67" i="1"/>
  <c r="AD68" i="1"/>
  <c r="AD69" i="1"/>
  <c r="AD70" i="1"/>
  <c r="AD71" i="1"/>
  <c r="AD72" i="1"/>
  <c r="AD73" i="1"/>
  <c r="AD74" i="1"/>
  <c r="AD75" i="1"/>
  <c r="AD76" i="1"/>
  <c r="AD77" i="1"/>
  <c r="AD78" i="1"/>
  <c r="AD79" i="1"/>
  <c r="AD80" i="1"/>
  <c r="AD81" i="1"/>
  <c r="AD83" i="1"/>
  <c r="AD84" i="1"/>
  <c r="AD86" i="1"/>
  <c r="AD87" i="1"/>
  <c r="AD89" i="1"/>
  <c r="AD90" i="1"/>
  <c r="AD91" i="1"/>
  <c r="AD92" i="1"/>
  <c r="AD94" i="1"/>
  <c r="AD95" i="1"/>
  <c r="AD96" i="1"/>
  <c r="AD97" i="1"/>
  <c r="AD98" i="1"/>
  <c r="AD99" i="1"/>
  <c r="AD100" i="1"/>
  <c r="AD101" i="1"/>
  <c r="AD102" i="1"/>
  <c r="AD103" i="1"/>
  <c r="AD104" i="1"/>
  <c r="AD106" i="1"/>
  <c r="AD107" i="1"/>
  <c r="AD108" i="1"/>
  <c r="AD109" i="1"/>
  <c r="AD110" i="1"/>
  <c r="AD111" i="1"/>
  <c r="AD112" i="1"/>
  <c r="AD113" i="1"/>
  <c r="AD114" i="1"/>
  <c r="AD115" i="1"/>
  <c r="AD116" i="1"/>
  <c r="AD117" i="1"/>
  <c r="AD118" i="1"/>
  <c r="AD119" i="1"/>
  <c r="AD120" i="1"/>
  <c r="AD122" i="1"/>
  <c r="AD123" i="1"/>
  <c r="AD124" i="1"/>
  <c r="AD126" i="1"/>
  <c r="AD127" i="1"/>
  <c r="AD128" i="1"/>
  <c r="AD130" i="1"/>
  <c r="AD131" i="1"/>
  <c r="AD133" i="1"/>
  <c r="AD134" i="1"/>
  <c r="AD135" i="1"/>
  <c r="AD136" i="1"/>
  <c r="AD137" i="1"/>
  <c r="AD138" i="1"/>
  <c r="AD139" i="1"/>
  <c r="AD140" i="1"/>
  <c r="AD141" i="1"/>
  <c r="AD142" i="1"/>
  <c r="AD143" i="1"/>
  <c r="AD144" i="1"/>
  <c r="AD145" i="1"/>
  <c r="AD146" i="1"/>
  <c r="AD148" i="1"/>
  <c r="AD149" i="1"/>
  <c r="AD150" i="1"/>
  <c r="AD151" i="1"/>
  <c r="AD152" i="1"/>
  <c r="AD153" i="1"/>
  <c r="AD154" i="1"/>
  <c r="AD155" i="1"/>
  <c r="AD156" i="1"/>
  <c r="AD158" i="1"/>
  <c r="AD159" i="1"/>
  <c r="AD160" i="1"/>
  <c r="AD161" i="1"/>
  <c r="AD167" i="1"/>
  <c r="AD168" i="1"/>
  <c r="AD169" i="1"/>
  <c r="AD170" i="1"/>
  <c r="AD171" i="1"/>
  <c r="AD172" i="1"/>
  <c r="AD173" i="1"/>
  <c r="AD174" i="1"/>
  <c r="AD175" i="1"/>
  <c r="AD176" i="1"/>
  <c r="AD177" i="1"/>
  <c r="AD178" i="1"/>
  <c r="AD179" i="1"/>
  <c r="AD181" i="1"/>
  <c r="AD182" i="1"/>
  <c r="AD183" i="1"/>
  <c r="AD184" i="1"/>
  <c r="AD185" i="1"/>
  <c r="AD186" i="1"/>
  <c r="AD189" i="1"/>
  <c r="AD190" i="1"/>
  <c r="AD191" i="1"/>
  <c r="AD192" i="1"/>
  <c r="AD193" i="1"/>
  <c r="AD195" i="1"/>
  <c r="AD196" i="1"/>
  <c r="AD197" i="1"/>
  <c r="AD198" i="1"/>
  <c r="AD199" i="1"/>
  <c r="AD200" i="1"/>
  <c r="AD201" i="1"/>
  <c r="AD202" i="1"/>
  <c r="AD203"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4" i="1"/>
  <c r="AD295" i="1"/>
  <c r="AD296" i="1"/>
  <c r="AD299" i="1"/>
  <c r="AD300" i="1"/>
  <c r="AD301" i="1"/>
  <c r="AD302" i="1"/>
  <c r="AD303" i="1"/>
  <c r="AD304" i="1"/>
  <c r="AD305" i="1"/>
  <c r="AD306" i="1"/>
  <c r="AD307" i="1"/>
  <c r="AD308" i="1"/>
  <c r="AD309" i="1"/>
  <c r="AD311" i="1"/>
  <c r="AD312" i="1"/>
  <c r="AD313" i="1"/>
  <c r="AD315" i="1"/>
  <c r="AD316" i="1"/>
  <c r="AD317" i="1"/>
  <c r="AD319" i="1"/>
  <c r="AD320" i="1"/>
  <c r="AD321" i="1"/>
  <c r="AD323" i="1"/>
  <c r="AD324" i="1"/>
  <c r="AD326" i="1"/>
  <c r="AD327" i="1"/>
  <c r="AD328" i="1"/>
  <c r="AD329" i="1"/>
  <c r="AD330" i="1"/>
  <c r="AD333" i="1"/>
  <c r="AD334" i="1"/>
  <c r="AD335" i="1"/>
  <c r="AD336" i="1"/>
  <c r="AD366" i="1"/>
  <c r="AD367" i="1"/>
  <c r="AD368" i="1"/>
  <c r="AD370" i="1"/>
  <c r="AD373" i="1"/>
  <c r="AD374" i="1"/>
  <c r="AD375" i="1"/>
  <c r="AD376" i="1"/>
  <c r="AD377" i="1"/>
  <c r="AD378" i="1"/>
  <c r="AD379" i="1"/>
  <c r="AD380" i="1"/>
  <c r="AD381" i="1"/>
  <c r="AD382" i="1"/>
  <c r="AD383" i="1"/>
  <c r="AD384" i="1"/>
  <c r="AD385" i="1"/>
  <c r="AD5" i="1"/>
  <c r="AD2" i="1"/>
  <c r="X174" i="1"/>
  <c r="W174" i="1"/>
  <c r="Q174" i="1"/>
  <c r="U174" i="1" s="1"/>
  <c r="P174" i="1"/>
  <c r="T174" i="1" s="1"/>
  <c r="X170" i="1"/>
  <c r="W170" i="1"/>
  <c r="Q170" i="1"/>
  <c r="U170" i="1" s="1"/>
  <c r="P170" i="1"/>
  <c r="T170" i="1" s="1"/>
  <c r="X168" i="1"/>
  <c r="W168" i="1"/>
  <c r="Q168" i="1"/>
  <c r="U168" i="1" s="1"/>
  <c r="P168" i="1"/>
  <c r="T168" i="1" s="1"/>
  <c r="P373" i="1"/>
  <c r="Q373" i="1"/>
  <c r="R373" i="1"/>
  <c r="S373" i="1"/>
  <c r="W373" i="1"/>
  <c r="X373" i="1"/>
  <c r="C373" i="1"/>
  <c r="P374" i="1"/>
  <c r="Q374" i="1"/>
  <c r="R374" i="1"/>
  <c r="S374" i="1"/>
  <c r="W374" i="1"/>
  <c r="X374" i="1"/>
  <c r="C374" i="1"/>
  <c r="P375" i="1"/>
  <c r="Q375" i="1"/>
  <c r="R375" i="1"/>
  <c r="S375" i="1"/>
  <c r="W375" i="1"/>
  <c r="X375" i="1"/>
  <c r="C375" i="1"/>
  <c r="D54" i="6"/>
  <c r="AE126" i="1" s="1"/>
  <c r="D122" i="6"/>
  <c r="AE256" i="1" s="1"/>
  <c r="D106" i="6"/>
  <c r="AE215" i="1" s="1"/>
  <c r="C407" i="1"/>
  <c r="C402" i="1"/>
  <c r="D163" i="6"/>
  <c r="D256" i="6"/>
  <c r="D194" i="6"/>
  <c r="D181" i="6"/>
  <c r="D49" i="6"/>
  <c r="D120" i="6"/>
  <c r="D153" i="6"/>
  <c r="D190" i="6"/>
  <c r="D56" i="6"/>
  <c r="D129" i="6"/>
  <c r="D159" i="6"/>
  <c r="D2" i="6"/>
  <c r="D199" i="6"/>
  <c r="D55" i="6"/>
  <c r="C335" i="1"/>
  <c r="C336" i="1"/>
  <c r="AA335" i="1"/>
  <c r="X335" i="1"/>
  <c r="X336" i="1"/>
  <c r="W335" i="1"/>
  <c r="W336" i="1"/>
  <c r="P336" i="1"/>
  <c r="T336" i="1" s="1"/>
  <c r="Q336" i="1"/>
  <c r="U336" i="1" s="1"/>
  <c r="P335" i="1"/>
  <c r="T335" i="1" s="1"/>
  <c r="Q335" i="1"/>
  <c r="U335" i="1" s="1"/>
  <c r="D205" i="6"/>
  <c r="D196" i="6"/>
  <c r="AA333" i="1"/>
  <c r="C333" i="1"/>
  <c r="C334" i="1"/>
  <c r="W334" i="1"/>
  <c r="P334" i="1"/>
  <c r="T334" i="1" s="1"/>
  <c r="Q334" i="1"/>
  <c r="U334" i="1" s="1"/>
  <c r="P333" i="1"/>
  <c r="T333" i="1" s="1"/>
  <c r="Q333" i="1"/>
  <c r="U333" i="1" s="1"/>
  <c r="W333" i="1"/>
  <c r="C328" i="1"/>
  <c r="C329" i="1"/>
  <c r="C330" i="1"/>
  <c r="D38" i="6"/>
  <c r="D182" i="6"/>
  <c r="D40" i="6"/>
  <c r="AA328" i="1"/>
  <c r="AA329" i="1"/>
  <c r="W329" i="1"/>
  <c r="W330" i="1"/>
  <c r="P330" i="1"/>
  <c r="T330" i="1" s="1"/>
  <c r="Q330" i="1"/>
  <c r="U330" i="1" s="1"/>
  <c r="P329" i="1"/>
  <c r="T329" i="1" s="1"/>
  <c r="Q329" i="1"/>
  <c r="U329" i="1" s="1"/>
  <c r="P328" i="1"/>
  <c r="T328" i="1" s="1"/>
  <c r="Q328" i="1"/>
  <c r="U328" i="1" s="1"/>
  <c r="W328" i="1"/>
  <c r="D200" i="6"/>
  <c r="D13" i="6"/>
  <c r="AA326" i="1"/>
  <c r="W327" i="1"/>
  <c r="X327" i="1"/>
  <c r="P327" i="1"/>
  <c r="T327" i="1" s="1"/>
  <c r="Q327" i="1"/>
  <c r="U327" i="1" s="1"/>
  <c r="C327" i="1"/>
  <c r="X326" i="1"/>
  <c r="P326" i="1"/>
  <c r="T326" i="1" s="1"/>
  <c r="Q326" i="1"/>
  <c r="U326" i="1" s="1"/>
  <c r="W326" i="1"/>
  <c r="C326" i="1"/>
  <c r="D105" i="6"/>
  <c r="D201" i="6"/>
  <c r="D229" i="6"/>
  <c r="D257" i="6"/>
  <c r="D252" i="6"/>
  <c r="AE10" i="1" s="1"/>
  <c r="D82" i="6"/>
  <c r="AE125" i="1" s="1"/>
  <c r="D75" i="6"/>
  <c r="D113" i="6"/>
  <c r="D235" i="6"/>
  <c r="D204" i="6"/>
  <c r="X383" i="1"/>
  <c r="X384" i="1"/>
  <c r="W382" i="1"/>
  <c r="W383" i="1"/>
  <c r="W384" i="1"/>
  <c r="P384" i="1"/>
  <c r="T384" i="1" s="1"/>
  <c r="Q384" i="1"/>
  <c r="U384" i="1" s="1"/>
  <c r="P383" i="1"/>
  <c r="T383" i="1" s="1"/>
  <c r="Q383" i="1"/>
  <c r="U383" i="1" s="1"/>
  <c r="P382" i="1"/>
  <c r="T382" i="1" s="1"/>
  <c r="Q382" i="1"/>
  <c r="U382" i="1" s="1"/>
  <c r="C382" i="1"/>
  <c r="AA311" i="1"/>
  <c r="AA312" i="1"/>
  <c r="R376" i="1"/>
  <c r="R381" i="1"/>
  <c r="R380" i="1"/>
  <c r="R379" i="1"/>
  <c r="R378" i="1"/>
  <c r="R377" i="1"/>
  <c r="S381" i="1"/>
  <c r="S380" i="1"/>
  <c r="S379" i="1"/>
  <c r="S378" i="1"/>
  <c r="S377" i="1"/>
  <c r="S376" i="1"/>
  <c r="AA323" i="1"/>
  <c r="X324" i="1"/>
  <c r="P324" i="1"/>
  <c r="T324" i="1" s="1"/>
  <c r="Q324" i="1"/>
  <c r="U324" i="1" s="1"/>
  <c r="W324" i="1"/>
  <c r="C324" i="1"/>
  <c r="P323" i="1"/>
  <c r="T323" i="1" s="1"/>
  <c r="Q323" i="1"/>
  <c r="U323" i="1" s="1"/>
  <c r="W323" i="1"/>
  <c r="C323" i="1"/>
  <c r="X5" i="1"/>
  <c r="W5" i="1"/>
  <c r="Q5" i="1"/>
  <c r="U5" i="1" s="1"/>
  <c r="P5" i="1"/>
  <c r="T5" i="1" s="1"/>
  <c r="C5" i="1"/>
  <c r="X367" i="1"/>
  <c r="X368" i="1"/>
  <c r="X366" i="1"/>
  <c r="W366" i="1"/>
  <c r="W367" i="1"/>
  <c r="W368" i="1"/>
  <c r="C368" i="1"/>
  <c r="Q368" i="1"/>
  <c r="U368" i="1" s="1"/>
  <c r="P368" i="1"/>
  <c r="T368" i="1" s="1"/>
  <c r="C367" i="1"/>
  <c r="Q367" i="1"/>
  <c r="U367" i="1" s="1"/>
  <c r="P367" i="1"/>
  <c r="T367" i="1" s="1"/>
  <c r="P366" i="1"/>
  <c r="T366" i="1" s="1"/>
  <c r="Q366" i="1"/>
  <c r="U366" i="1" s="1"/>
  <c r="C366" i="1"/>
  <c r="D242" i="6"/>
  <c r="P370" i="1"/>
  <c r="T370" i="1" s="1"/>
  <c r="Q370" i="1"/>
  <c r="U370" i="1" s="1"/>
  <c r="C370" i="1"/>
  <c r="D259" i="6"/>
  <c r="D37" i="6"/>
  <c r="D39" i="6"/>
  <c r="D50" i="6"/>
  <c r="D42" i="6"/>
  <c r="D43" i="6"/>
  <c r="D45" i="6"/>
  <c r="D46" i="6"/>
  <c r="AE121" i="1" s="1"/>
  <c r="D44" i="6"/>
  <c r="D48" i="6"/>
  <c r="D114" i="6"/>
  <c r="D115" i="6"/>
  <c r="D117" i="6"/>
  <c r="D118" i="6"/>
  <c r="D121" i="6"/>
  <c r="D126" i="6"/>
  <c r="D119" i="6"/>
  <c r="D125" i="6"/>
  <c r="D123" i="6"/>
  <c r="AE105" i="1" s="1"/>
  <c r="D124" i="6"/>
  <c r="D141" i="6"/>
  <c r="D140" i="6"/>
  <c r="D144" i="6"/>
  <c r="D142" i="6"/>
  <c r="D147" i="6"/>
  <c r="D146" i="6"/>
  <c r="D145" i="6"/>
  <c r="D150" i="6"/>
  <c r="D151" i="6"/>
  <c r="D66" i="6"/>
  <c r="D62" i="6"/>
  <c r="D63" i="6"/>
  <c r="D65" i="6"/>
  <c r="D67" i="6"/>
  <c r="D68" i="6"/>
  <c r="AE88" i="1" s="1"/>
  <c r="D71" i="6"/>
  <c r="D70" i="6"/>
  <c r="D72" i="6"/>
  <c r="D180" i="6"/>
  <c r="D183" i="6"/>
  <c r="D187" i="6"/>
  <c r="D186" i="6"/>
  <c r="D185" i="6"/>
  <c r="D188" i="6"/>
  <c r="AE93" i="1" s="1"/>
  <c r="D189" i="6"/>
  <c r="D191" i="6"/>
  <c r="D132" i="6"/>
  <c r="D134" i="6"/>
  <c r="D135" i="6"/>
  <c r="D137" i="6"/>
  <c r="D136" i="6"/>
  <c r="D94" i="6"/>
  <c r="D96" i="6"/>
  <c r="D98" i="6"/>
  <c r="D95" i="6"/>
  <c r="D99" i="6"/>
  <c r="D101" i="6"/>
  <c r="D102" i="6"/>
  <c r="D193" i="6"/>
  <c r="D195" i="6"/>
  <c r="D197" i="6"/>
  <c r="D198" i="6"/>
  <c r="AE175" i="1" s="1"/>
  <c r="D203" i="6"/>
  <c r="D202" i="6"/>
  <c r="AE177" i="1" s="1"/>
  <c r="D244" i="6"/>
  <c r="D3" i="6"/>
  <c r="D4" i="6"/>
  <c r="D5" i="6"/>
  <c r="D7" i="6"/>
  <c r="D9" i="6"/>
  <c r="D8" i="6"/>
  <c r="AE132" i="1" s="1"/>
  <c r="D10" i="6"/>
  <c r="D212" i="6"/>
  <c r="D216" i="6"/>
  <c r="D210" i="6"/>
  <c r="D211" i="6"/>
  <c r="D215" i="6"/>
  <c r="D218" i="6"/>
  <c r="D217" i="6"/>
  <c r="D104" i="6"/>
  <c r="D107" i="6"/>
  <c r="D108" i="6"/>
  <c r="D111" i="6"/>
  <c r="D110" i="6"/>
  <c r="D112" i="6"/>
  <c r="D25" i="6"/>
  <c r="D29" i="6"/>
  <c r="D31" i="6"/>
  <c r="D33" i="6"/>
  <c r="D34" i="6"/>
  <c r="D22" i="6"/>
  <c r="D16" i="6"/>
  <c r="AE348" i="1" s="1"/>
  <c r="D15" i="6"/>
  <c r="D17" i="6"/>
  <c r="D18" i="6"/>
  <c r="D20" i="6"/>
  <c r="D14" i="6"/>
  <c r="D21" i="6"/>
  <c r="D223" i="6"/>
  <c r="D225" i="6"/>
  <c r="D226" i="6"/>
  <c r="D227" i="6"/>
  <c r="D232" i="6"/>
  <c r="D230" i="6"/>
  <c r="D231" i="6"/>
  <c r="D236" i="6"/>
  <c r="D109" i="6"/>
  <c r="D58" i="6"/>
  <c r="D59" i="6"/>
  <c r="D60" i="6"/>
  <c r="D90" i="6"/>
  <c r="D258" i="6"/>
  <c r="AA304" i="1"/>
  <c r="W305" i="1"/>
  <c r="P305" i="1"/>
  <c r="T305" i="1" s="1"/>
  <c r="Q305" i="1"/>
  <c r="U305" i="1" s="1"/>
  <c r="C305" i="1"/>
  <c r="P304" i="1"/>
  <c r="T304" i="1" s="1"/>
  <c r="Q304" i="1"/>
  <c r="U304" i="1" s="1"/>
  <c r="W304" i="1"/>
  <c r="C304" i="1"/>
  <c r="AA301" i="1"/>
  <c r="AA302" i="1"/>
  <c r="W302" i="1"/>
  <c r="W303" i="1"/>
  <c r="P303" i="1"/>
  <c r="T303" i="1" s="1"/>
  <c r="Q303" i="1"/>
  <c r="U303" i="1" s="1"/>
  <c r="P302" i="1"/>
  <c r="T302" i="1" s="1"/>
  <c r="Q302" i="1"/>
  <c r="U302" i="1" s="1"/>
  <c r="C303" i="1"/>
  <c r="C302" i="1"/>
  <c r="P301" i="1"/>
  <c r="T301" i="1" s="1"/>
  <c r="Q301" i="1"/>
  <c r="U301" i="1" s="1"/>
  <c r="W301" i="1"/>
  <c r="C301" i="1"/>
  <c r="X306" i="1"/>
  <c r="P306" i="1"/>
  <c r="T306" i="1" s="1"/>
  <c r="Q306" i="1"/>
  <c r="U306" i="1" s="1"/>
  <c r="W306" i="1"/>
  <c r="C306" i="1"/>
  <c r="AA299" i="1"/>
  <c r="W300" i="1"/>
  <c r="X300" i="1"/>
  <c r="P300" i="1"/>
  <c r="T300" i="1" s="1"/>
  <c r="Q300" i="1"/>
  <c r="U300" i="1" s="1"/>
  <c r="C300" i="1"/>
  <c r="X299" i="1"/>
  <c r="P299" i="1"/>
  <c r="T299" i="1" s="1"/>
  <c r="Q299" i="1"/>
  <c r="U299" i="1" s="1"/>
  <c r="W299" i="1"/>
  <c r="C299" i="1"/>
  <c r="AA294" i="1"/>
  <c r="AA295" i="1"/>
  <c r="W296" i="1"/>
  <c r="W295" i="1"/>
  <c r="P295" i="1"/>
  <c r="T295" i="1" s="1"/>
  <c r="Q295" i="1"/>
  <c r="U295" i="1" s="1"/>
  <c r="P296" i="1"/>
  <c r="T296" i="1" s="1"/>
  <c r="Q296" i="1"/>
  <c r="U296" i="1" s="1"/>
  <c r="C295" i="1"/>
  <c r="C296" i="1"/>
  <c r="D168" i="6"/>
  <c r="D161" i="6"/>
  <c r="P294" i="1"/>
  <c r="T294" i="1" s="1"/>
  <c r="Q294" i="1"/>
  <c r="U294" i="1" s="1"/>
  <c r="W294" i="1"/>
  <c r="C294" i="1"/>
  <c r="P385" i="1"/>
  <c r="T385" i="1" s="1"/>
  <c r="Q385" i="1"/>
  <c r="U385" i="1" s="1"/>
  <c r="W385" i="1"/>
  <c r="AA51" i="1"/>
  <c r="AA53" i="1"/>
  <c r="D249" i="6"/>
  <c r="AA319" i="1"/>
  <c r="AA320" i="1"/>
  <c r="W321" i="1"/>
  <c r="P321" i="1"/>
  <c r="T321" i="1" s="1"/>
  <c r="Q321" i="1"/>
  <c r="U321" i="1" s="1"/>
  <c r="C321" i="1"/>
  <c r="P320" i="1"/>
  <c r="T320" i="1" s="1"/>
  <c r="Q320" i="1"/>
  <c r="U320" i="1" s="1"/>
  <c r="W320" i="1"/>
  <c r="C320" i="1"/>
  <c r="P319" i="1"/>
  <c r="T319" i="1" s="1"/>
  <c r="Q319" i="1"/>
  <c r="U319" i="1" s="1"/>
  <c r="W319" i="1"/>
  <c r="C319" i="1"/>
  <c r="P312" i="1"/>
  <c r="T312" i="1" s="1"/>
  <c r="Q312" i="1"/>
  <c r="U312" i="1" s="1"/>
  <c r="P313" i="1"/>
  <c r="T313" i="1" s="1"/>
  <c r="Q313" i="1"/>
  <c r="U313" i="1" s="1"/>
  <c r="C313" i="1"/>
  <c r="X313" i="1"/>
  <c r="W313" i="1"/>
  <c r="X312" i="1"/>
  <c r="W312" i="1"/>
  <c r="C312" i="1"/>
  <c r="P311" i="1"/>
  <c r="T311" i="1" s="1"/>
  <c r="Q311" i="1"/>
  <c r="U311" i="1" s="1"/>
  <c r="X311" i="1"/>
  <c r="W311" i="1"/>
  <c r="C311" i="1"/>
  <c r="AA315" i="1"/>
  <c r="AA316" i="1"/>
  <c r="D93" i="6"/>
  <c r="W317" i="1"/>
  <c r="C317" i="1"/>
  <c r="P317" i="1"/>
  <c r="T317" i="1" s="1"/>
  <c r="Q317" i="1"/>
  <c r="U317" i="1" s="1"/>
  <c r="D89" i="6"/>
  <c r="D157" i="6"/>
  <c r="D78" i="6"/>
  <c r="W316" i="1"/>
  <c r="P316" i="1"/>
  <c r="T316" i="1" s="1"/>
  <c r="Q316" i="1"/>
  <c r="U316" i="1" s="1"/>
  <c r="C316" i="1"/>
  <c r="P315" i="1"/>
  <c r="T315" i="1" s="1"/>
  <c r="Q315" i="1"/>
  <c r="U315" i="1" s="1"/>
  <c r="W315" i="1"/>
  <c r="C315" i="1"/>
  <c r="D241" i="6"/>
  <c r="D73" i="6"/>
  <c r="Q3" i="1"/>
  <c r="U3" i="1" s="1"/>
  <c r="Q4" i="1"/>
  <c r="U4" i="1" s="1"/>
  <c r="Q6" i="1"/>
  <c r="U6" i="1" s="1"/>
  <c r="Q7" i="1"/>
  <c r="U7" i="1" s="1"/>
  <c r="Q8" i="1"/>
  <c r="U8" i="1" s="1"/>
  <c r="Q10" i="1"/>
  <c r="U10" i="1" s="1"/>
  <c r="Q11" i="1"/>
  <c r="U11" i="1" s="1"/>
  <c r="Q12" i="1"/>
  <c r="U12" i="1" s="1"/>
  <c r="Q14" i="1"/>
  <c r="U14" i="1" s="1"/>
  <c r="Q15" i="1"/>
  <c r="U15" i="1" s="1"/>
  <c r="Q16" i="1"/>
  <c r="U16" i="1" s="1"/>
  <c r="Q18" i="1"/>
  <c r="U18" i="1" s="1"/>
  <c r="Q19" i="1"/>
  <c r="U19" i="1" s="1"/>
  <c r="Q20" i="1"/>
  <c r="U20" i="1" s="1"/>
  <c r="Q21" i="1"/>
  <c r="U21" i="1" s="1"/>
  <c r="Q22" i="1"/>
  <c r="U22" i="1" s="1"/>
  <c r="Q23" i="1"/>
  <c r="U23" i="1" s="1"/>
  <c r="Q24" i="1"/>
  <c r="U24" i="1" s="1"/>
  <c r="Q26" i="1"/>
  <c r="U26" i="1" s="1"/>
  <c r="Q27" i="1"/>
  <c r="U27" i="1" s="1"/>
  <c r="Q28" i="1"/>
  <c r="U28" i="1" s="1"/>
  <c r="Q30" i="1"/>
  <c r="U30" i="1" s="1"/>
  <c r="Q31" i="1"/>
  <c r="U31" i="1" s="1"/>
  <c r="Q32" i="1"/>
  <c r="U32" i="1" s="1"/>
  <c r="Q33" i="1"/>
  <c r="U33" i="1" s="1"/>
  <c r="Q34" i="1"/>
  <c r="U34" i="1" s="1"/>
  <c r="Q35" i="1"/>
  <c r="U35" i="1" s="1"/>
  <c r="Q38" i="1"/>
  <c r="U38" i="1" s="1"/>
  <c r="Q39" i="1"/>
  <c r="U39" i="1" s="1"/>
  <c r="Q40" i="1"/>
  <c r="U40" i="1" s="1"/>
  <c r="Q41" i="1"/>
  <c r="U41" i="1" s="1"/>
  <c r="Q42" i="1"/>
  <c r="U42" i="1" s="1"/>
  <c r="Q43" i="1"/>
  <c r="U43" i="1" s="1"/>
  <c r="Q44" i="1"/>
  <c r="U44" i="1" s="1"/>
  <c r="Q46" i="1"/>
  <c r="U46" i="1" s="1"/>
  <c r="Q47" i="1"/>
  <c r="U47" i="1" s="1"/>
  <c r="Q48" i="1"/>
  <c r="U48" i="1" s="1"/>
  <c r="Q49" i="1"/>
  <c r="U49" i="1" s="1"/>
  <c r="Q50" i="1"/>
  <c r="U50" i="1" s="1"/>
  <c r="Q51" i="1"/>
  <c r="U51" i="1" s="1"/>
  <c r="Q52" i="1"/>
  <c r="U52" i="1" s="1"/>
  <c r="Q53" i="1"/>
  <c r="U53" i="1" s="1"/>
  <c r="Q54" i="1"/>
  <c r="U54" i="1" s="1"/>
  <c r="Q55" i="1"/>
  <c r="U55" i="1" s="1"/>
  <c r="Q56" i="1"/>
  <c r="U56" i="1" s="1"/>
  <c r="Q57" i="1"/>
  <c r="U57" i="1" s="1"/>
  <c r="Q58" i="1"/>
  <c r="U58" i="1" s="1"/>
  <c r="Q60" i="1"/>
  <c r="U60" i="1" s="1"/>
  <c r="Q61" i="1"/>
  <c r="U61" i="1" s="1"/>
  <c r="Q62" i="1"/>
  <c r="U62" i="1" s="1"/>
  <c r="Q63" i="1"/>
  <c r="U63" i="1" s="1"/>
  <c r="Q64" i="1"/>
  <c r="U64" i="1" s="1"/>
  <c r="Q65" i="1"/>
  <c r="U65" i="1" s="1"/>
  <c r="Q66" i="1"/>
  <c r="U66" i="1" s="1"/>
  <c r="Q67" i="1"/>
  <c r="U67" i="1" s="1"/>
  <c r="Q68" i="1"/>
  <c r="U68" i="1" s="1"/>
  <c r="Q69" i="1"/>
  <c r="U69" i="1" s="1"/>
  <c r="Q70" i="1"/>
  <c r="U70" i="1" s="1"/>
  <c r="Q71" i="1"/>
  <c r="U71" i="1" s="1"/>
  <c r="Q72" i="1"/>
  <c r="U72" i="1" s="1"/>
  <c r="Q73" i="1"/>
  <c r="U73" i="1" s="1"/>
  <c r="Q74" i="1"/>
  <c r="U74" i="1" s="1"/>
  <c r="Q75" i="1"/>
  <c r="U75" i="1" s="1"/>
  <c r="Q76" i="1"/>
  <c r="U76" i="1" s="1"/>
  <c r="Q77" i="1"/>
  <c r="U77" i="1" s="1"/>
  <c r="Q78" i="1"/>
  <c r="U78" i="1" s="1"/>
  <c r="Q79" i="1"/>
  <c r="U79" i="1" s="1"/>
  <c r="Q80" i="1"/>
  <c r="U80" i="1" s="1"/>
  <c r="Q81" i="1"/>
  <c r="U81" i="1" s="1"/>
  <c r="Q83" i="1"/>
  <c r="U83" i="1" s="1"/>
  <c r="Q84" i="1"/>
  <c r="U84" i="1" s="1"/>
  <c r="Q86" i="1"/>
  <c r="U86" i="1" s="1"/>
  <c r="Q87" i="1"/>
  <c r="U87" i="1" s="1"/>
  <c r="Q89" i="1"/>
  <c r="U89" i="1" s="1"/>
  <c r="Q90" i="1"/>
  <c r="U90" i="1" s="1"/>
  <c r="Q91" i="1"/>
  <c r="U91" i="1" s="1"/>
  <c r="Q92" i="1"/>
  <c r="U92" i="1" s="1"/>
  <c r="Q94" i="1"/>
  <c r="U94" i="1" s="1"/>
  <c r="Q95" i="1"/>
  <c r="U95" i="1" s="1"/>
  <c r="Q96" i="1"/>
  <c r="U96" i="1" s="1"/>
  <c r="Q97" i="1"/>
  <c r="U97" i="1" s="1"/>
  <c r="Q98" i="1"/>
  <c r="U98" i="1" s="1"/>
  <c r="Q99" i="1"/>
  <c r="U99" i="1" s="1"/>
  <c r="Q100" i="1"/>
  <c r="U100" i="1" s="1"/>
  <c r="Q101" i="1"/>
  <c r="U101" i="1" s="1"/>
  <c r="Q102" i="1"/>
  <c r="U102" i="1" s="1"/>
  <c r="Q103" i="1"/>
  <c r="U103" i="1" s="1"/>
  <c r="Q104" i="1"/>
  <c r="U104" i="1" s="1"/>
  <c r="Q106" i="1"/>
  <c r="U106" i="1" s="1"/>
  <c r="Q107" i="1"/>
  <c r="U107" i="1" s="1"/>
  <c r="Q108" i="1"/>
  <c r="U108" i="1" s="1"/>
  <c r="Q109" i="1"/>
  <c r="U109" i="1" s="1"/>
  <c r="Q110" i="1"/>
  <c r="U110" i="1" s="1"/>
  <c r="Q111" i="1"/>
  <c r="U111" i="1" s="1"/>
  <c r="Q112" i="1"/>
  <c r="U112" i="1" s="1"/>
  <c r="Q113" i="1"/>
  <c r="U113" i="1" s="1"/>
  <c r="Q114" i="1"/>
  <c r="U114" i="1" s="1"/>
  <c r="Q115" i="1"/>
  <c r="U115" i="1" s="1"/>
  <c r="Q116" i="1"/>
  <c r="U116" i="1" s="1"/>
  <c r="Q117" i="1"/>
  <c r="U117" i="1" s="1"/>
  <c r="Q118" i="1"/>
  <c r="U118" i="1" s="1"/>
  <c r="Q119" i="1"/>
  <c r="U119" i="1" s="1"/>
  <c r="Q120" i="1"/>
  <c r="U120" i="1" s="1"/>
  <c r="Q122" i="1"/>
  <c r="U122" i="1" s="1"/>
  <c r="Q123" i="1"/>
  <c r="U123" i="1" s="1"/>
  <c r="Q124" i="1"/>
  <c r="U124" i="1" s="1"/>
  <c r="Q126" i="1"/>
  <c r="U126" i="1" s="1"/>
  <c r="Q127" i="1"/>
  <c r="U127" i="1" s="1"/>
  <c r="Q128" i="1"/>
  <c r="U128" i="1" s="1"/>
  <c r="Q130" i="1"/>
  <c r="U130" i="1" s="1"/>
  <c r="Q131" i="1"/>
  <c r="U131" i="1" s="1"/>
  <c r="Q133" i="1"/>
  <c r="U133" i="1" s="1"/>
  <c r="Q134" i="1"/>
  <c r="U134" i="1" s="1"/>
  <c r="Q135" i="1"/>
  <c r="U135" i="1" s="1"/>
  <c r="Q136" i="1"/>
  <c r="U136" i="1" s="1"/>
  <c r="Q137" i="1"/>
  <c r="U137" i="1" s="1"/>
  <c r="Q138" i="1"/>
  <c r="U138" i="1" s="1"/>
  <c r="Q139" i="1"/>
  <c r="U139" i="1" s="1"/>
  <c r="Q140" i="1"/>
  <c r="U140" i="1" s="1"/>
  <c r="Q141" i="1"/>
  <c r="U141" i="1" s="1"/>
  <c r="Q142" i="1"/>
  <c r="U142" i="1" s="1"/>
  <c r="Q143" i="1"/>
  <c r="U143" i="1" s="1"/>
  <c r="Q144" i="1"/>
  <c r="U144" i="1" s="1"/>
  <c r="Q145" i="1"/>
  <c r="U145" i="1" s="1"/>
  <c r="Q146" i="1"/>
  <c r="U146" i="1" s="1"/>
  <c r="Q148" i="1"/>
  <c r="U148" i="1" s="1"/>
  <c r="Q149" i="1"/>
  <c r="U149" i="1" s="1"/>
  <c r="Q150" i="1"/>
  <c r="U150" i="1" s="1"/>
  <c r="Q151" i="1"/>
  <c r="U151" i="1" s="1"/>
  <c r="Q152" i="1"/>
  <c r="U152" i="1" s="1"/>
  <c r="Q153" i="1"/>
  <c r="U153" i="1" s="1"/>
  <c r="Q154" i="1"/>
  <c r="U154" i="1" s="1"/>
  <c r="Q155" i="1"/>
  <c r="U155" i="1" s="1"/>
  <c r="Q156" i="1"/>
  <c r="U156" i="1" s="1"/>
  <c r="Q158" i="1"/>
  <c r="U158" i="1" s="1"/>
  <c r="Q159" i="1"/>
  <c r="U159" i="1" s="1"/>
  <c r="Q160" i="1"/>
  <c r="U160" i="1" s="1"/>
  <c r="Q161" i="1"/>
  <c r="U161" i="1" s="1"/>
  <c r="Q167" i="1"/>
  <c r="U167" i="1" s="1"/>
  <c r="Q169" i="1"/>
  <c r="U169" i="1" s="1"/>
  <c r="Q171" i="1"/>
  <c r="U171" i="1" s="1"/>
  <c r="Q172" i="1"/>
  <c r="U172" i="1" s="1"/>
  <c r="Q173" i="1"/>
  <c r="U173" i="1" s="1"/>
  <c r="Q175" i="1"/>
  <c r="U175" i="1" s="1"/>
  <c r="Q176" i="1"/>
  <c r="U176" i="1" s="1"/>
  <c r="Q177" i="1"/>
  <c r="U177" i="1" s="1"/>
  <c r="Q178" i="1"/>
  <c r="U178" i="1" s="1"/>
  <c r="Q179" i="1"/>
  <c r="U179" i="1" s="1"/>
  <c r="Q181" i="1"/>
  <c r="U181" i="1" s="1"/>
  <c r="Q182" i="1"/>
  <c r="U182" i="1" s="1"/>
  <c r="Q183" i="1"/>
  <c r="U183" i="1" s="1"/>
  <c r="Q184" i="1"/>
  <c r="U184" i="1" s="1"/>
  <c r="Q185" i="1"/>
  <c r="U185" i="1" s="1"/>
  <c r="Q186" i="1"/>
  <c r="U186" i="1" s="1"/>
  <c r="Q189" i="1"/>
  <c r="U189" i="1" s="1"/>
  <c r="Q190" i="1"/>
  <c r="U190" i="1" s="1"/>
  <c r="Q191" i="1"/>
  <c r="U191" i="1" s="1"/>
  <c r="Q192" i="1"/>
  <c r="U192" i="1" s="1"/>
  <c r="Q193" i="1"/>
  <c r="U193" i="1" s="1"/>
  <c r="Q195" i="1"/>
  <c r="U195" i="1" s="1"/>
  <c r="Q196" i="1"/>
  <c r="U196" i="1" s="1"/>
  <c r="Q197" i="1"/>
  <c r="U197" i="1" s="1"/>
  <c r="Q198" i="1"/>
  <c r="U198" i="1" s="1"/>
  <c r="Q199" i="1"/>
  <c r="U199" i="1" s="1"/>
  <c r="Q200" i="1"/>
  <c r="U200" i="1" s="1"/>
  <c r="Q201" i="1"/>
  <c r="U201" i="1" s="1"/>
  <c r="Q202" i="1"/>
  <c r="U202" i="1" s="1"/>
  <c r="Q203" i="1"/>
  <c r="U203" i="1" s="1"/>
  <c r="Q205" i="1"/>
  <c r="U205" i="1" s="1"/>
  <c r="Q206" i="1"/>
  <c r="U206" i="1" s="1"/>
  <c r="Q207" i="1"/>
  <c r="U207" i="1" s="1"/>
  <c r="Q208" i="1"/>
  <c r="U208" i="1" s="1"/>
  <c r="Q209" i="1"/>
  <c r="U209" i="1" s="1"/>
  <c r="Q210" i="1"/>
  <c r="U210" i="1" s="1"/>
  <c r="Q211" i="1"/>
  <c r="U211" i="1" s="1"/>
  <c r="Q212" i="1"/>
  <c r="U212" i="1" s="1"/>
  <c r="Q213" i="1"/>
  <c r="U213" i="1" s="1"/>
  <c r="Q214" i="1"/>
  <c r="U214" i="1" s="1"/>
  <c r="Q215" i="1"/>
  <c r="U215" i="1" s="1"/>
  <c r="Q216" i="1"/>
  <c r="U216" i="1" s="1"/>
  <c r="Q217" i="1"/>
  <c r="U217" i="1" s="1"/>
  <c r="Q218" i="1"/>
  <c r="U218" i="1" s="1"/>
  <c r="Q219" i="1"/>
  <c r="U219" i="1" s="1"/>
  <c r="Q220" i="1"/>
  <c r="U220" i="1" s="1"/>
  <c r="Q221" i="1"/>
  <c r="U221" i="1" s="1"/>
  <c r="Q222" i="1"/>
  <c r="U222" i="1" s="1"/>
  <c r="Q223" i="1"/>
  <c r="U223" i="1" s="1"/>
  <c r="Q224" i="1"/>
  <c r="U224" i="1" s="1"/>
  <c r="Q225" i="1"/>
  <c r="U225" i="1" s="1"/>
  <c r="Q226" i="1"/>
  <c r="U226" i="1" s="1"/>
  <c r="Q227" i="1"/>
  <c r="U227" i="1" s="1"/>
  <c r="Q228" i="1"/>
  <c r="U228" i="1" s="1"/>
  <c r="Q229" i="1"/>
  <c r="U229" i="1" s="1"/>
  <c r="Q230" i="1"/>
  <c r="U230" i="1" s="1"/>
  <c r="Q231" i="1"/>
  <c r="U231" i="1" s="1"/>
  <c r="Q232" i="1"/>
  <c r="U232" i="1" s="1"/>
  <c r="Q233" i="1"/>
  <c r="U233" i="1" s="1"/>
  <c r="Q234" i="1"/>
  <c r="U234" i="1" s="1"/>
  <c r="Q235" i="1"/>
  <c r="U235" i="1" s="1"/>
  <c r="Q236" i="1"/>
  <c r="U236" i="1" s="1"/>
  <c r="Q237" i="1"/>
  <c r="U237" i="1" s="1"/>
  <c r="Q238" i="1"/>
  <c r="U238" i="1" s="1"/>
  <c r="Q239" i="1"/>
  <c r="U239" i="1" s="1"/>
  <c r="Q240" i="1"/>
  <c r="U240" i="1" s="1"/>
  <c r="Q241" i="1"/>
  <c r="U241" i="1" s="1"/>
  <c r="Q242" i="1"/>
  <c r="U242" i="1" s="1"/>
  <c r="Q243" i="1"/>
  <c r="U243" i="1" s="1"/>
  <c r="Q244" i="1"/>
  <c r="U244" i="1" s="1"/>
  <c r="Q245" i="1"/>
  <c r="U245" i="1" s="1"/>
  <c r="Q246" i="1"/>
  <c r="U246" i="1" s="1"/>
  <c r="Q247" i="1"/>
  <c r="U247" i="1" s="1"/>
  <c r="Q248" i="1"/>
  <c r="U248" i="1" s="1"/>
  <c r="Q249" i="1"/>
  <c r="U249" i="1" s="1"/>
  <c r="Q250" i="1"/>
  <c r="U250" i="1" s="1"/>
  <c r="Q251" i="1"/>
  <c r="U251" i="1" s="1"/>
  <c r="Q252" i="1"/>
  <c r="U252" i="1" s="1"/>
  <c r="Q253" i="1"/>
  <c r="U253" i="1" s="1"/>
  <c r="Q254" i="1"/>
  <c r="U254" i="1" s="1"/>
  <c r="Q255" i="1"/>
  <c r="U255" i="1" s="1"/>
  <c r="Q256" i="1"/>
  <c r="U256" i="1" s="1"/>
  <c r="Q258" i="1"/>
  <c r="U258" i="1" s="1"/>
  <c r="Q259" i="1"/>
  <c r="U259" i="1" s="1"/>
  <c r="Q260" i="1"/>
  <c r="U260" i="1" s="1"/>
  <c r="Q261" i="1"/>
  <c r="U261" i="1" s="1"/>
  <c r="Q262" i="1"/>
  <c r="U262" i="1" s="1"/>
  <c r="Q263" i="1"/>
  <c r="U263" i="1" s="1"/>
  <c r="Q264" i="1"/>
  <c r="U264" i="1" s="1"/>
  <c r="Q265" i="1"/>
  <c r="U265" i="1" s="1"/>
  <c r="Q266" i="1"/>
  <c r="U266" i="1" s="1"/>
  <c r="Q267" i="1"/>
  <c r="U267" i="1" s="1"/>
  <c r="Q268" i="1"/>
  <c r="U268" i="1" s="1"/>
  <c r="Q269" i="1"/>
  <c r="U269" i="1" s="1"/>
  <c r="Q270" i="1"/>
  <c r="U270" i="1" s="1"/>
  <c r="Q271" i="1"/>
  <c r="U271" i="1" s="1"/>
  <c r="Q272" i="1"/>
  <c r="U272" i="1" s="1"/>
  <c r="Q273" i="1"/>
  <c r="U273" i="1" s="1"/>
  <c r="Q274" i="1"/>
  <c r="U274" i="1" s="1"/>
  <c r="Q275" i="1"/>
  <c r="U275" i="1" s="1"/>
  <c r="Q276" i="1"/>
  <c r="U276" i="1" s="1"/>
  <c r="Q277" i="1"/>
  <c r="U277" i="1" s="1"/>
  <c r="Q278" i="1"/>
  <c r="U278" i="1" s="1"/>
  <c r="Q279" i="1"/>
  <c r="U279" i="1" s="1"/>
  <c r="Q280" i="1"/>
  <c r="U280" i="1" s="1"/>
  <c r="Q281" i="1"/>
  <c r="U281" i="1" s="1"/>
  <c r="Q282" i="1"/>
  <c r="U282" i="1" s="1"/>
  <c r="Q283" i="1"/>
  <c r="U283" i="1" s="1"/>
  <c r="Q284" i="1"/>
  <c r="U284" i="1" s="1"/>
  <c r="Q285" i="1"/>
  <c r="U285" i="1" s="1"/>
  <c r="Q286" i="1"/>
  <c r="U286" i="1" s="1"/>
  <c r="Q287" i="1"/>
  <c r="U287" i="1" s="1"/>
  <c r="Q288" i="1"/>
  <c r="U288" i="1" s="1"/>
  <c r="Q289" i="1"/>
  <c r="U289" i="1" s="1"/>
  <c r="Q290" i="1"/>
  <c r="U290" i="1" s="1"/>
  <c r="Q291" i="1"/>
  <c r="U291" i="1" s="1"/>
  <c r="Q292" i="1"/>
  <c r="U292" i="1" s="1"/>
  <c r="Q307" i="1"/>
  <c r="U307" i="1" s="1"/>
  <c r="Q308" i="1"/>
  <c r="U308" i="1" s="1"/>
  <c r="Q309" i="1"/>
  <c r="U309" i="1" s="1"/>
  <c r="Q376" i="1"/>
  <c r="Q377" i="1"/>
  <c r="Q378" i="1"/>
  <c r="Q379" i="1"/>
  <c r="Q380" i="1"/>
  <c r="Q381" i="1"/>
  <c r="Q369" i="1"/>
  <c r="U369" i="1" s="1"/>
  <c r="P3" i="1"/>
  <c r="T3" i="1" s="1"/>
  <c r="P4" i="1"/>
  <c r="T4" i="1" s="1"/>
  <c r="P6" i="1"/>
  <c r="T6" i="1" s="1"/>
  <c r="P7" i="1"/>
  <c r="T7" i="1" s="1"/>
  <c r="P8" i="1"/>
  <c r="T8" i="1" s="1"/>
  <c r="P10" i="1"/>
  <c r="T10" i="1" s="1"/>
  <c r="P11" i="1"/>
  <c r="T11" i="1" s="1"/>
  <c r="P12" i="1"/>
  <c r="T12" i="1" s="1"/>
  <c r="P14" i="1"/>
  <c r="T14" i="1" s="1"/>
  <c r="P15" i="1"/>
  <c r="T15" i="1" s="1"/>
  <c r="P16" i="1"/>
  <c r="T16" i="1" s="1"/>
  <c r="P18" i="1"/>
  <c r="T18" i="1" s="1"/>
  <c r="P19" i="1"/>
  <c r="T19" i="1" s="1"/>
  <c r="P20" i="1"/>
  <c r="T20" i="1" s="1"/>
  <c r="P21" i="1"/>
  <c r="T21" i="1" s="1"/>
  <c r="P22" i="1"/>
  <c r="T22" i="1" s="1"/>
  <c r="P23" i="1"/>
  <c r="T23" i="1" s="1"/>
  <c r="P24" i="1"/>
  <c r="T24" i="1" s="1"/>
  <c r="P26" i="1"/>
  <c r="T26" i="1" s="1"/>
  <c r="P27" i="1"/>
  <c r="T27" i="1" s="1"/>
  <c r="P28" i="1"/>
  <c r="T28" i="1" s="1"/>
  <c r="P30" i="1"/>
  <c r="T30" i="1" s="1"/>
  <c r="P31" i="1"/>
  <c r="T31" i="1" s="1"/>
  <c r="P32" i="1"/>
  <c r="T32" i="1" s="1"/>
  <c r="P33" i="1"/>
  <c r="T33" i="1" s="1"/>
  <c r="P34" i="1"/>
  <c r="T34" i="1" s="1"/>
  <c r="P35" i="1"/>
  <c r="T35" i="1" s="1"/>
  <c r="P38" i="1"/>
  <c r="T38" i="1" s="1"/>
  <c r="P39" i="1"/>
  <c r="T39" i="1" s="1"/>
  <c r="P40" i="1"/>
  <c r="T40" i="1" s="1"/>
  <c r="P41" i="1"/>
  <c r="T41" i="1" s="1"/>
  <c r="P42" i="1"/>
  <c r="T42" i="1" s="1"/>
  <c r="P43" i="1"/>
  <c r="T43" i="1" s="1"/>
  <c r="P44" i="1"/>
  <c r="T44" i="1" s="1"/>
  <c r="P46" i="1"/>
  <c r="T46" i="1" s="1"/>
  <c r="P47" i="1"/>
  <c r="T47" i="1" s="1"/>
  <c r="P48" i="1"/>
  <c r="T48" i="1" s="1"/>
  <c r="P49" i="1"/>
  <c r="T49" i="1" s="1"/>
  <c r="P50" i="1"/>
  <c r="T50" i="1" s="1"/>
  <c r="P51" i="1"/>
  <c r="T51" i="1" s="1"/>
  <c r="P52" i="1"/>
  <c r="T52" i="1" s="1"/>
  <c r="P53" i="1"/>
  <c r="T53" i="1" s="1"/>
  <c r="P54" i="1"/>
  <c r="T54" i="1" s="1"/>
  <c r="P55" i="1"/>
  <c r="T55" i="1" s="1"/>
  <c r="P56" i="1"/>
  <c r="T56" i="1" s="1"/>
  <c r="P57" i="1"/>
  <c r="T57" i="1" s="1"/>
  <c r="P58" i="1"/>
  <c r="T58" i="1" s="1"/>
  <c r="P60" i="1"/>
  <c r="T60" i="1" s="1"/>
  <c r="P61" i="1"/>
  <c r="T61" i="1" s="1"/>
  <c r="P62" i="1"/>
  <c r="T62" i="1" s="1"/>
  <c r="P63" i="1"/>
  <c r="T63" i="1" s="1"/>
  <c r="P64" i="1"/>
  <c r="T64" i="1" s="1"/>
  <c r="P65" i="1"/>
  <c r="T65" i="1" s="1"/>
  <c r="P66" i="1"/>
  <c r="T66" i="1" s="1"/>
  <c r="P67" i="1"/>
  <c r="T67" i="1" s="1"/>
  <c r="P68" i="1"/>
  <c r="T68" i="1" s="1"/>
  <c r="P69" i="1"/>
  <c r="T69" i="1" s="1"/>
  <c r="P70" i="1"/>
  <c r="T70" i="1" s="1"/>
  <c r="P71" i="1"/>
  <c r="T71" i="1" s="1"/>
  <c r="P72" i="1"/>
  <c r="T72" i="1" s="1"/>
  <c r="P73" i="1"/>
  <c r="T73" i="1" s="1"/>
  <c r="P74" i="1"/>
  <c r="T74" i="1" s="1"/>
  <c r="P75" i="1"/>
  <c r="T75" i="1" s="1"/>
  <c r="P76" i="1"/>
  <c r="T76" i="1" s="1"/>
  <c r="P77" i="1"/>
  <c r="T77" i="1" s="1"/>
  <c r="P78" i="1"/>
  <c r="T78" i="1" s="1"/>
  <c r="P79" i="1"/>
  <c r="T79" i="1" s="1"/>
  <c r="P80" i="1"/>
  <c r="T80" i="1" s="1"/>
  <c r="P81" i="1"/>
  <c r="T81" i="1" s="1"/>
  <c r="P83" i="1"/>
  <c r="T83" i="1" s="1"/>
  <c r="P84" i="1"/>
  <c r="T84" i="1" s="1"/>
  <c r="P86" i="1"/>
  <c r="T86" i="1" s="1"/>
  <c r="P87" i="1"/>
  <c r="T87" i="1" s="1"/>
  <c r="P89" i="1"/>
  <c r="T89" i="1" s="1"/>
  <c r="P90" i="1"/>
  <c r="T90" i="1" s="1"/>
  <c r="P91" i="1"/>
  <c r="T91" i="1" s="1"/>
  <c r="P92" i="1"/>
  <c r="T92" i="1" s="1"/>
  <c r="P94" i="1"/>
  <c r="T94" i="1" s="1"/>
  <c r="P95" i="1"/>
  <c r="T95" i="1" s="1"/>
  <c r="P96" i="1"/>
  <c r="T96" i="1" s="1"/>
  <c r="P97" i="1"/>
  <c r="T97" i="1" s="1"/>
  <c r="P98" i="1"/>
  <c r="T98" i="1" s="1"/>
  <c r="P99" i="1"/>
  <c r="T99" i="1" s="1"/>
  <c r="P100" i="1"/>
  <c r="T100" i="1" s="1"/>
  <c r="P101" i="1"/>
  <c r="T101" i="1" s="1"/>
  <c r="P102" i="1"/>
  <c r="T102" i="1" s="1"/>
  <c r="P103" i="1"/>
  <c r="T103" i="1" s="1"/>
  <c r="P104" i="1"/>
  <c r="T104" i="1" s="1"/>
  <c r="P106" i="1"/>
  <c r="T106" i="1" s="1"/>
  <c r="P107" i="1"/>
  <c r="T107" i="1" s="1"/>
  <c r="P108" i="1"/>
  <c r="T108" i="1" s="1"/>
  <c r="P109" i="1"/>
  <c r="T109" i="1" s="1"/>
  <c r="P110" i="1"/>
  <c r="T110" i="1" s="1"/>
  <c r="P111" i="1"/>
  <c r="T111" i="1" s="1"/>
  <c r="P112" i="1"/>
  <c r="T112" i="1" s="1"/>
  <c r="P113" i="1"/>
  <c r="T113" i="1" s="1"/>
  <c r="P114" i="1"/>
  <c r="T114" i="1" s="1"/>
  <c r="P115" i="1"/>
  <c r="T115" i="1" s="1"/>
  <c r="P116" i="1"/>
  <c r="T116" i="1" s="1"/>
  <c r="P117" i="1"/>
  <c r="T117" i="1" s="1"/>
  <c r="P118" i="1"/>
  <c r="T118" i="1" s="1"/>
  <c r="P119" i="1"/>
  <c r="T119" i="1" s="1"/>
  <c r="P120" i="1"/>
  <c r="T120" i="1" s="1"/>
  <c r="P122" i="1"/>
  <c r="T122" i="1" s="1"/>
  <c r="P123" i="1"/>
  <c r="T123" i="1" s="1"/>
  <c r="P124" i="1"/>
  <c r="T124" i="1" s="1"/>
  <c r="P126" i="1"/>
  <c r="T126" i="1" s="1"/>
  <c r="P127" i="1"/>
  <c r="T127" i="1" s="1"/>
  <c r="P128" i="1"/>
  <c r="T128" i="1" s="1"/>
  <c r="P130" i="1"/>
  <c r="T130" i="1" s="1"/>
  <c r="P131" i="1"/>
  <c r="T131" i="1" s="1"/>
  <c r="P133" i="1"/>
  <c r="T133" i="1" s="1"/>
  <c r="P134" i="1"/>
  <c r="T134" i="1" s="1"/>
  <c r="P135" i="1"/>
  <c r="T135" i="1" s="1"/>
  <c r="P136" i="1"/>
  <c r="T136" i="1" s="1"/>
  <c r="P137" i="1"/>
  <c r="T137" i="1" s="1"/>
  <c r="P138" i="1"/>
  <c r="T138" i="1" s="1"/>
  <c r="P139" i="1"/>
  <c r="T139" i="1" s="1"/>
  <c r="P140" i="1"/>
  <c r="T140" i="1" s="1"/>
  <c r="P141" i="1"/>
  <c r="T141" i="1" s="1"/>
  <c r="P142" i="1"/>
  <c r="T142" i="1" s="1"/>
  <c r="P143" i="1"/>
  <c r="T143" i="1" s="1"/>
  <c r="P144" i="1"/>
  <c r="T144" i="1" s="1"/>
  <c r="P145" i="1"/>
  <c r="T145" i="1" s="1"/>
  <c r="P146" i="1"/>
  <c r="T146" i="1" s="1"/>
  <c r="P148" i="1"/>
  <c r="T148" i="1" s="1"/>
  <c r="P149" i="1"/>
  <c r="T149" i="1" s="1"/>
  <c r="P150" i="1"/>
  <c r="T150" i="1" s="1"/>
  <c r="P151" i="1"/>
  <c r="T151" i="1" s="1"/>
  <c r="P152" i="1"/>
  <c r="T152" i="1" s="1"/>
  <c r="P153" i="1"/>
  <c r="T153" i="1" s="1"/>
  <c r="P154" i="1"/>
  <c r="T154" i="1" s="1"/>
  <c r="P155" i="1"/>
  <c r="T155" i="1" s="1"/>
  <c r="P156" i="1"/>
  <c r="T156" i="1" s="1"/>
  <c r="P158" i="1"/>
  <c r="T158" i="1" s="1"/>
  <c r="P159" i="1"/>
  <c r="T159" i="1" s="1"/>
  <c r="P160" i="1"/>
  <c r="T160" i="1" s="1"/>
  <c r="P161" i="1"/>
  <c r="T161" i="1" s="1"/>
  <c r="P167" i="1"/>
  <c r="T167" i="1" s="1"/>
  <c r="P169" i="1"/>
  <c r="T169" i="1" s="1"/>
  <c r="P171" i="1"/>
  <c r="T171" i="1" s="1"/>
  <c r="P173" i="1"/>
  <c r="T173" i="1" s="1"/>
  <c r="P175" i="1"/>
  <c r="T175" i="1" s="1"/>
  <c r="P176" i="1"/>
  <c r="T176" i="1" s="1"/>
  <c r="P177" i="1"/>
  <c r="T177" i="1" s="1"/>
  <c r="P178" i="1"/>
  <c r="T178" i="1" s="1"/>
  <c r="P179" i="1"/>
  <c r="T179" i="1" s="1"/>
  <c r="P181" i="1"/>
  <c r="T181" i="1" s="1"/>
  <c r="P182" i="1"/>
  <c r="T182" i="1" s="1"/>
  <c r="P183" i="1"/>
  <c r="T183" i="1" s="1"/>
  <c r="P184" i="1"/>
  <c r="T184" i="1" s="1"/>
  <c r="P185" i="1"/>
  <c r="T185" i="1" s="1"/>
  <c r="P186" i="1"/>
  <c r="T186" i="1" s="1"/>
  <c r="P189" i="1"/>
  <c r="T189" i="1" s="1"/>
  <c r="P190" i="1"/>
  <c r="T190" i="1" s="1"/>
  <c r="P191" i="1"/>
  <c r="T191" i="1" s="1"/>
  <c r="P192" i="1"/>
  <c r="T192" i="1" s="1"/>
  <c r="P193" i="1"/>
  <c r="T193" i="1" s="1"/>
  <c r="P198" i="1"/>
  <c r="T198" i="1" s="1"/>
  <c r="P199" i="1"/>
  <c r="T199" i="1" s="1"/>
  <c r="P200" i="1"/>
  <c r="T200" i="1" s="1"/>
  <c r="P201" i="1"/>
  <c r="T201" i="1" s="1"/>
  <c r="P202" i="1"/>
  <c r="T202" i="1" s="1"/>
  <c r="P203" i="1"/>
  <c r="T203" i="1" s="1"/>
  <c r="P205" i="1"/>
  <c r="T205" i="1" s="1"/>
  <c r="P206" i="1"/>
  <c r="T206" i="1" s="1"/>
  <c r="P207" i="1"/>
  <c r="T207" i="1" s="1"/>
  <c r="P208" i="1"/>
  <c r="T208" i="1" s="1"/>
  <c r="P209" i="1"/>
  <c r="T209" i="1" s="1"/>
  <c r="P210" i="1"/>
  <c r="T210" i="1" s="1"/>
  <c r="P211" i="1"/>
  <c r="T211" i="1" s="1"/>
  <c r="P212" i="1"/>
  <c r="T212" i="1" s="1"/>
  <c r="P213" i="1"/>
  <c r="T213" i="1" s="1"/>
  <c r="P214" i="1"/>
  <c r="T214" i="1" s="1"/>
  <c r="P215" i="1"/>
  <c r="T215" i="1" s="1"/>
  <c r="P216" i="1"/>
  <c r="T216" i="1" s="1"/>
  <c r="P217" i="1"/>
  <c r="T217" i="1" s="1"/>
  <c r="P218" i="1"/>
  <c r="T218" i="1" s="1"/>
  <c r="P219" i="1"/>
  <c r="T219" i="1" s="1"/>
  <c r="P220" i="1"/>
  <c r="T220" i="1" s="1"/>
  <c r="P221" i="1"/>
  <c r="T221" i="1" s="1"/>
  <c r="P222" i="1"/>
  <c r="T222" i="1" s="1"/>
  <c r="P223" i="1"/>
  <c r="T223" i="1" s="1"/>
  <c r="P224" i="1"/>
  <c r="T224" i="1" s="1"/>
  <c r="P225" i="1"/>
  <c r="T225" i="1" s="1"/>
  <c r="P226" i="1"/>
  <c r="T226" i="1" s="1"/>
  <c r="P227" i="1"/>
  <c r="T227" i="1" s="1"/>
  <c r="P228" i="1"/>
  <c r="T228" i="1" s="1"/>
  <c r="P229" i="1"/>
  <c r="T229" i="1" s="1"/>
  <c r="P230" i="1"/>
  <c r="T230" i="1" s="1"/>
  <c r="P231" i="1"/>
  <c r="T231" i="1" s="1"/>
  <c r="P232" i="1"/>
  <c r="T232" i="1" s="1"/>
  <c r="P233" i="1"/>
  <c r="T233" i="1" s="1"/>
  <c r="P234" i="1"/>
  <c r="T234" i="1" s="1"/>
  <c r="P235" i="1"/>
  <c r="T235" i="1" s="1"/>
  <c r="P236" i="1"/>
  <c r="T236" i="1" s="1"/>
  <c r="P237" i="1"/>
  <c r="T237" i="1" s="1"/>
  <c r="P238" i="1"/>
  <c r="T238" i="1" s="1"/>
  <c r="P239" i="1"/>
  <c r="T239" i="1" s="1"/>
  <c r="P240" i="1"/>
  <c r="T240" i="1" s="1"/>
  <c r="P241" i="1"/>
  <c r="T241" i="1" s="1"/>
  <c r="P242" i="1"/>
  <c r="T242" i="1" s="1"/>
  <c r="P243" i="1"/>
  <c r="T243" i="1" s="1"/>
  <c r="P244" i="1"/>
  <c r="T244" i="1" s="1"/>
  <c r="P247" i="1"/>
  <c r="T247" i="1" s="1"/>
  <c r="P248" i="1"/>
  <c r="T248" i="1" s="1"/>
  <c r="P249" i="1"/>
  <c r="T249" i="1" s="1"/>
  <c r="P250" i="1"/>
  <c r="T250" i="1" s="1"/>
  <c r="P251" i="1"/>
  <c r="T251" i="1" s="1"/>
  <c r="P252" i="1"/>
  <c r="T252" i="1" s="1"/>
  <c r="P253" i="1"/>
  <c r="T253" i="1" s="1"/>
  <c r="P254" i="1"/>
  <c r="T254" i="1" s="1"/>
  <c r="P255" i="1"/>
  <c r="T255" i="1" s="1"/>
  <c r="P256" i="1"/>
  <c r="T256" i="1" s="1"/>
  <c r="P258" i="1"/>
  <c r="T258" i="1" s="1"/>
  <c r="P259" i="1"/>
  <c r="T259" i="1" s="1"/>
  <c r="P260" i="1"/>
  <c r="T260" i="1" s="1"/>
  <c r="P261" i="1"/>
  <c r="T261" i="1" s="1"/>
  <c r="P262" i="1"/>
  <c r="T262" i="1" s="1"/>
  <c r="P263" i="1"/>
  <c r="T263" i="1" s="1"/>
  <c r="P264" i="1"/>
  <c r="T264" i="1" s="1"/>
  <c r="P265" i="1"/>
  <c r="T265" i="1" s="1"/>
  <c r="P266" i="1"/>
  <c r="T266" i="1" s="1"/>
  <c r="P267" i="1"/>
  <c r="T267" i="1" s="1"/>
  <c r="P268" i="1"/>
  <c r="T268" i="1" s="1"/>
  <c r="P269" i="1"/>
  <c r="T269" i="1" s="1"/>
  <c r="P270" i="1"/>
  <c r="T270" i="1" s="1"/>
  <c r="P271" i="1"/>
  <c r="T271" i="1" s="1"/>
  <c r="P272" i="1"/>
  <c r="T272" i="1" s="1"/>
  <c r="P273" i="1"/>
  <c r="T273" i="1" s="1"/>
  <c r="P274" i="1"/>
  <c r="T274" i="1" s="1"/>
  <c r="P275" i="1"/>
  <c r="T275" i="1" s="1"/>
  <c r="P276" i="1"/>
  <c r="T276" i="1" s="1"/>
  <c r="P277" i="1"/>
  <c r="T277" i="1" s="1"/>
  <c r="P278" i="1"/>
  <c r="T278" i="1" s="1"/>
  <c r="P279" i="1"/>
  <c r="T279" i="1" s="1"/>
  <c r="P280" i="1"/>
  <c r="T280" i="1" s="1"/>
  <c r="P281" i="1"/>
  <c r="T281" i="1" s="1"/>
  <c r="P282" i="1"/>
  <c r="T282" i="1" s="1"/>
  <c r="P283" i="1"/>
  <c r="T283" i="1" s="1"/>
  <c r="P284" i="1"/>
  <c r="T284" i="1" s="1"/>
  <c r="P285" i="1"/>
  <c r="T285" i="1" s="1"/>
  <c r="P286" i="1"/>
  <c r="T286" i="1" s="1"/>
  <c r="P287" i="1"/>
  <c r="T287" i="1" s="1"/>
  <c r="P288" i="1"/>
  <c r="T288" i="1" s="1"/>
  <c r="P289" i="1"/>
  <c r="T289" i="1" s="1"/>
  <c r="P290" i="1"/>
  <c r="T290" i="1" s="1"/>
  <c r="P291" i="1"/>
  <c r="T291" i="1" s="1"/>
  <c r="P292" i="1"/>
  <c r="T292" i="1" s="1"/>
  <c r="P307" i="1"/>
  <c r="T307" i="1" s="1"/>
  <c r="P308" i="1"/>
  <c r="T308" i="1" s="1"/>
  <c r="P309" i="1"/>
  <c r="T309" i="1" s="1"/>
  <c r="P376" i="1"/>
  <c r="P377" i="1"/>
  <c r="P378" i="1"/>
  <c r="P379" i="1"/>
  <c r="P380" i="1"/>
  <c r="P381" i="1"/>
  <c r="P369" i="1"/>
  <c r="T369" i="1" s="1"/>
  <c r="Q2" i="1"/>
  <c r="U2" i="1" s="1"/>
  <c r="P2" i="1"/>
  <c r="T2" i="1" s="1"/>
  <c r="AA307" i="1"/>
  <c r="AA308" i="1"/>
  <c r="X308" i="1"/>
  <c r="X309" i="1"/>
  <c r="W308" i="1"/>
  <c r="W309" i="1"/>
  <c r="C309" i="1"/>
  <c r="C308" i="1"/>
  <c r="X307" i="1"/>
  <c r="W307" i="1"/>
  <c r="C307" i="1"/>
  <c r="D91" i="6"/>
  <c r="C381" i="1"/>
  <c r="X381" i="1"/>
  <c r="W381" i="1"/>
  <c r="C380" i="1"/>
  <c r="X380" i="1"/>
  <c r="W380" i="1"/>
  <c r="C379" i="1"/>
  <c r="X379" i="1"/>
  <c r="W379" i="1"/>
  <c r="C378" i="1"/>
  <c r="X378" i="1"/>
  <c r="W378" i="1"/>
  <c r="C377" i="1"/>
  <c r="X377" i="1"/>
  <c r="W377" i="1"/>
  <c r="C376" i="1"/>
  <c r="W376" i="1"/>
  <c r="C386" i="1"/>
  <c r="X289" i="1"/>
  <c r="W289" i="1"/>
  <c r="C289" i="1"/>
  <c r="D76" i="6"/>
  <c r="D158" i="6"/>
  <c r="X288" i="1"/>
  <c r="W288" i="1"/>
  <c r="C288" i="1"/>
  <c r="D85" i="6"/>
  <c r="D77" i="6"/>
  <c r="C287" i="1"/>
  <c r="W287" i="1"/>
  <c r="W286" i="1"/>
  <c r="C286" i="1"/>
  <c r="C285" i="1"/>
  <c r="W285" i="1"/>
  <c r="X284" i="1"/>
  <c r="W284" i="1"/>
  <c r="C284" i="1"/>
  <c r="D247" i="6"/>
  <c r="C282" i="1"/>
  <c r="C283" i="1"/>
  <c r="X282" i="1"/>
  <c r="X283" i="1"/>
  <c r="W283" i="1"/>
  <c r="W282" i="1"/>
  <c r="C281" i="1"/>
  <c r="W281" i="1"/>
  <c r="W280" i="1"/>
  <c r="C280" i="1"/>
  <c r="W279" i="1"/>
  <c r="W278" i="1"/>
  <c r="C279" i="1"/>
  <c r="C278" i="1"/>
  <c r="C141" i="1"/>
  <c r="W141" i="1"/>
  <c r="X277" i="1"/>
  <c r="W277" i="1"/>
  <c r="C277" i="1"/>
  <c r="X276" i="1"/>
  <c r="W276" i="1"/>
  <c r="C276" i="1"/>
  <c r="C275" i="1"/>
  <c r="W275" i="1"/>
  <c r="C414" i="1"/>
  <c r="C413" i="1"/>
  <c r="D251" i="6"/>
  <c r="AA273" i="1"/>
  <c r="W273" i="1"/>
  <c r="W274" i="1"/>
  <c r="C274" i="1"/>
  <c r="C273" i="1"/>
  <c r="AA271" i="1"/>
  <c r="W272" i="1"/>
  <c r="W271" i="1"/>
  <c r="C272" i="1"/>
  <c r="C271" i="1"/>
  <c r="AA269" i="1"/>
  <c r="X270" i="1"/>
  <c r="W269" i="1"/>
  <c r="W270" i="1"/>
  <c r="C270" i="1"/>
  <c r="X269" i="1"/>
  <c r="C269" i="1"/>
  <c r="AA267" i="1"/>
  <c r="X268" i="1"/>
  <c r="W268" i="1"/>
  <c r="X267" i="1"/>
  <c r="W267" i="1"/>
  <c r="C268" i="1"/>
  <c r="C267" i="1"/>
  <c r="C266" i="1"/>
  <c r="X266" i="1"/>
  <c r="W266" i="1"/>
  <c r="D171" i="6"/>
  <c r="AA264" i="1"/>
  <c r="X264" i="1"/>
  <c r="X265" i="1"/>
  <c r="W264" i="1"/>
  <c r="W265" i="1"/>
  <c r="C265" i="1"/>
  <c r="C264" i="1"/>
  <c r="AA262" i="1"/>
  <c r="X262" i="1"/>
  <c r="X263" i="1"/>
  <c r="W263" i="1"/>
  <c r="C263" i="1"/>
  <c r="W262" i="1"/>
  <c r="C262" i="1"/>
  <c r="AB351" i="1" l="1"/>
  <c r="AB346" i="1"/>
  <c r="AB349" i="1"/>
  <c r="AB331" i="1"/>
  <c r="AB341" i="1"/>
  <c r="AE364" i="1"/>
  <c r="AE365" i="1"/>
  <c r="AE349" i="1"/>
  <c r="AE363" i="1"/>
  <c r="AE358" i="1"/>
  <c r="AE351" i="1"/>
  <c r="AE346" i="1"/>
  <c r="AE332" i="1"/>
  <c r="AJ349" i="1" a="1"/>
  <c r="AJ349" i="1" s="1"/>
  <c r="AE35" i="1"/>
  <c r="AE11" i="1"/>
  <c r="AE303" i="1"/>
  <c r="AE111" i="1"/>
  <c r="AE283" i="1"/>
  <c r="AE306" i="1"/>
  <c r="AE48" i="1"/>
  <c r="AE26" i="1"/>
  <c r="AE321" i="1"/>
  <c r="AE317" i="1"/>
  <c r="AE377" i="1"/>
  <c r="AE259" i="1"/>
  <c r="AE263" i="1"/>
  <c r="AE198" i="1"/>
  <c r="AE107" i="1"/>
  <c r="AE209" i="1"/>
  <c r="AE39" i="1"/>
  <c r="AE277" i="1"/>
  <c r="AE173" i="1"/>
  <c r="AE237" i="1"/>
  <c r="AE77" i="1"/>
  <c r="AE323" i="1"/>
  <c r="AE145" i="1"/>
  <c r="AE367" i="1"/>
  <c r="AE6" i="1"/>
  <c r="AE46" i="1"/>
  <c r="AE328" i="1"/>
  <c r="AE96" i="1"/>
  <c r="AE220" i="1"/>
  <c r="AE43" i="1"/>
  <c r="AE289" i="1"/>
  <c r="AE316" i="1"/>
  <c r="AE301" i="1"/>
  <c r="AE40" i="1"/>
  <c r="AE99" i="1"/>
  <c r="AE203" i="1"/>
  <c r="AE101" i="1"/>
  <c r="AE24" i="1"/>
  <c r="AE44" i="1"/>
  <c r="AE153" i="1"/>
  <c r="AE252" i="1"/>
  <c r="AE79" i="1"/>
  <c r="AE133" i="1"/>
  <c r="AE379" i="1"/>
  <c r="AE313" i="1"/>
  <c r="AE276" i="1"/>
  <c r="AE142" i="1"/>
  <c r="AE251" i="1"/>
  <c r="AE287" i="1"/>
  <c r="AE119" i="1"/>
  <c r="AE315" i="1"/>
  <c r="AE234" i="1"/>
  <c r="AE320" i="1"/>
  <c r="AE160" i="1"/>
  <c r="AE16" i="1"/>
  <c r="AE124" i="1"/>
  <c r="AE12" i="1"/>
  <c r="AE281" i="1"/>
  <c r="AE155" i="1"/>
  <c r="AE375" i="1"/>
  <c r="AE4" i="1"/>
  <c r="AE87" i="1"/>
  <c r="AE305" i="1"/>
  <c r="AE22" i="1"/>
  <c r="AE286" i="1"/>
  <c r="AE196" i="1"/>
  <c r="AE78" i="1"/>
  <c r="AE311" i="1"/>
  <c r="AE376" i="1"/>
  <c r="AE8" i="1"/>
  <c r="AE138" i="1"/>
  <c r="AE53" i="1"/>
  <c r="AE34" i="1"/>
  <c r="AE143" i="1"/>
  <c r="AE374" i="1"/>
  <c r="AE104" i="1"/>
  <c r="AE278" i="1"/>
  <c r="AE224" i="1"/>
  <c r="AE309" i="1"/>
  <c r="AE97" i="1"/>
  <c r="AE103" i="1"/>
  <c r="AE42" i="1"/>
  <c r="AE222" i="1"/>
  <c r="AE183" i="1"/>
  <c r="AE154" i="1"/>
  <c r="AE385" i="1"/>
  <c r="AE223" i="1"/>
  <c r="AE179" i="1"/>
  <c r="AE118" i="1"/>
  <c r="AE245" i="1"/>
  <c r="AE307" i="1"/>
  <c r="AE127" i="1"/>
  <c r="AE178" i="1"/>
  <c r="AE31" i="1"/>
  <c r="AE80" i="1"/>
  <c r="AE246" i="1"/>
  <c r="AE312" i="1"/>
  <c r="AE41" i="1"/>
  <c r="AE15" i="1"/>
  <c r="AE381" i="1"/>
  <c r="AE201" i="1"/>
  <c r="AE333" i="1"/>
  <c r="AE89" i="1"/>
  <c r="AE284" i="1"/>
  <c r="AE213" i="1"/>
  <c r="AE7" i="1"/>
  <c r="AE98" i="1"/>
  <c r="AE265" i="1"/>
  <c r="AE33" i="1"/>
  <c r="AE167" i="1"/>
  <c r="AE380" i="1"/>
  <c r="AE226" i="1"/>
  <c r="AE95" i="1"/>
  <c r="AE253" i="1"/>
  <c r="AE117" i="1"/>
  <c r="AE382" i="1"/>
  <c r="AE330" i="1"/>
  <c r="AE334" i="1"/>
  <c r="AE336" i="1"/>
  <c r="AE67" i="1"/>
  <c r="AE255" i="1"/>
  <c r="AE378" i="1"/>
  <c r="AE326" i="1"/>
  <c r="AE329" i="1"/>
  <c r="AE249" i="1"/>
  <c r="AE68" i="1"/>
  <c r="AE285" i="1"/>
  <c r="AE2" i="1"/>
  <c r="AE383" i="1"/>
  <c r="AE327" i="1"/>
  <c r="AE73" i="1"/>
  <c r="AE241" i="1"/>
  <c r="AE115" i="1"/>
  <c r="AE280" i="1"/>
  <c r="AE268" i="1"/>
  <c r="AE244" i="1"/>
  <c r="AE240" i="1"/>
  <c r="AE294" i="1"/>
  <c r="AE219" i="1"/>
  <c r="AE116" i="1"/>
  <c r="AE200" i="1"/>
  <c r="AE206" i="1"/>
  <c r="AE295" i="1"/>
  <c r="AE288" i="1"/>
  <c r="AE230" i="1"/>
  <c r="AE148" i="1"/>
  <c r="AE27" i="1"/>
  <c r="AE185" i="1"/>
  <c r="AE335" i="1"/>
  <c r="AE384" i="1"/>
  <c r="AE57" i="1"/>
  <c r="AE137" i="1"/>
  <c r="AE110" i="1"/>
  <c r="AE261" i="1"/>
  <c r="AE218" i="1"/>
  <c r="AE239" i="1"/>
  <c r="AE373" i="1"/>
  <c r="AE366" i="1"/>
  <c r="AE304" i="1"/>
  <c r="AE370" i="1"/>
  <c r="AE20" i="1"/>
  <c r="AE83" i="1"/>
  <c r="AE340" i="1"/>
  <c r="AE204" i="1"/>
  <c r="AE129" i="1"/>
  <c r="AE157" i="1"/>
  <c r="AE5" i="1"/>
  <c r="AE314" i="1"/>
  <c r="AE9" i="1"/>
  <c r="AE322" i="1"/>
  <c r="AE17" i="1"/>
  <c r="AE29" i="1"/>
  <c r="AE147" i="1"/>
  <c r="AE194" i="1"/>
  <c r="AE293" i="1"/>
  <c r="AE310" i="1"/>
  <c r="AE318" i="1"/>
  <c r="AE13" i="1"/>
  <c r="AE25" i="1"/>
  <c r="AE325" i="1"/>
  <c r="V322" i="1"/>
  <c r="AJ322" i="1" s="1" a="1"/>
  <c r="AJ322" i="1" s="1"/>
  <c r="V325" i="1"/>
  <c r="AJ325" i="1" s="1" a="1"/>
  <c r="AJ325" i="1" s="1"/>
  <c r="V318" i="1"/>
  <c r="AJ318" i="1" s="1" a="1"/>
  <c r="AJ318" i="1" s="1"/>
  <c r="V314" i="1"/>
  <c r="AJ314" i="1" s="1" a="1"/>
  <c r="AJ314" i="1" s="1"/>
  <c r="V310" i="1"/>
  <c r="AJ310" i="1" s="1" a="1"/>
  <c r="AJ310" i="1" s="1"/>
  <c r="V297" i="1"/>
  <c r="AJ297" i="1" s="1" a="1"/>
  <c r="AJ297" i="1" s="1"/>
  <c r="V293" i="1"/>
  <c r="AJ293" i="1" s="1" a="1"/>
  <c r="AJ293" i="1" s="1"/>
  <c r="V204" i="1"/>
  <c r="V194" i="1"/>
  <c r="AJ194" i="1" s="1" a="1"/>
  <c r="AJ194" i="1" s="1"/>
  <c r="V157" i="1"/>
  <c r="AJ157" i="1" s="1" a="1"/>
  <c r="AJ157" i="1" s="1"/>
  <c r="V147" i="1"/>
  <c r="AJ147" i="1" s="1" a="1"/>
  <c r="AJ147" i="1" s="1"/>
  <c r="V129" i="1"/>
  <c r="AJ129" i="1" s="1" a="1"/>
  <c r="AJ129" i="1" s="1"/>
  <c r="V29" i="1"/>
  <c r="AJ29" i="1" s="1" a="1"/>
  <c r="AJ29" i="1" s="1"/>
  <c r="V25" i="1"/>
  <c r="AJ25" i="1" s="1" a="1"/>
  <c r="AJ25" i="1" s="1"/>
  <c r="V17" i="1"/>
  <c r="AJ17" i="1" s="1" a="1"/>
  <c r="AJ17" i="1" s="1"/>
  <c r="V13" i="1"/>
  <c r="AJ13" i="1" s="1" a="1"/>
  <c r="AJ13" i="1" s="1"/>
  <c r="V9" i="1"/>
  <c r="AJ9" i="1" s="1" a="1"/>
  <c r="AJ9" i="1" s="1"/>
  <c r="V45" i="1"/>
  <c r="AJ45" i="1" s="1" a="1"/>
  <c r="AJ45" i="1" s="1"/>
  <c r="AE339" i="1"/>
  <c r="V37" i="1"/>
  <c r="AJ37" i="1" s="1" a="1"/>
  <c r="AJ37" i="1" s="1"/>
  <c r="AE37" i="1"/>
  <c r="V36" i="1"/>
  <c r="AJ36" i="1" s="1" a="1"/>
  <c r="AJ36" i="1" s="1"/>
  <c r="V340" i="1"/>
  <c r="AE159" i="1"/>
  <c r="AE141" i="1"/>
  <c r="AE139" i="1"/>
  <c r="AE86" i="1"/>
  <c r="AE49" i="1"/>
  <c r="AE319" i="1"/>
  <c r="AE236" i="1"/>
  <c r="AE199" i="1"/>
  <c r="AE300" i="1"/>
  <c r="AE282" i="1"/>
  <c r="AE158" i="1"/>
  <c r="AE156" i="1"/>
  <c r="AE337" i="1"/>
  <c r="AE181" i="1"/>
  <c r="AE233" i="1"/>
  <c r="AE120" i="1"/>
  <c r="AE166" i="1"/>
  <c r="AE266" i="1"/>
  <c r="AE122" i="1"/>
  <c r="AE231" i="1"/>
  <c r="AE217" i="1"/>
  <c r="AE216" i="1"/>
  <c r="AE180" i="1"/>
  <c r="V163" i="1"/>
  <c r="AJ163" i="1" s="1" a="1"/>
  <c r="AJ163" i="1" s="1"/>
  <c r="V339" i="1"/>
  <c r="AJ339" i="1" s="1" a="1"/>
  <c r="AJ339" i="1" s="1"/>
  <c r="V338" i="1"/>
  <c r="AJ338" i="1" s="1" a="1"/>
  <c r="AJ338" i="1" s="1"/>
  <c r="V337" i="1"/>
  <c r="AJ337" i="1" s="1" a="1"/>
  <c r="AJ337" i="1" s="1"/>
  <c r="V164" i="1"/>
  <c r="AJ164" i="1" s="1" a="1"/>
  <c r="AJ164" i="1" s="1"/>
  <c r="V180" i="1"/>
  <c r="V165" i="1"/>
  <c r="AJ165" i="1" s="1" a="1"/>
  <c r="AJ165" i="1" s="1"/>
  <c r="V162" i="1"/>
  <c r="AJ162" i="1" s="1" a="1"/>
  <c r="AJ162" i="1" s="1"/>
  <c r="AE32" i="1"/>
  <c r="AE292" i="1"/>
  <c r="AE227" i="1"/>
  <c r="AE211" i="1"/>
  <c r="AE193" i="1"/>
  <c r="AE174" i="1"/>
  <c r="AE152" i="1"/>
  <c r="AE135" i="1"/>
  <c r="AE62" i="1"/>
  <c r="AE66" i="1"/>
  <c r="AE275" i="1"/>
  <c r="AE242" i="1"/>
  <c r="AE192" i="1"/>
  <c r="AE151" i="1"/>
  <c r="AE134" i="1"/>
  <c r="AE114" i="1"/>
  <c r="AE61" i="1"/>
  <c r="AE23" i="1"/>
  <c r="AE3" i="1"/>
  <c r="AE140" i="1"/>
  <c r="AE290" i="1"/>
  <c r="AE274" i="1"/>
  <c r="AE258" i="1"/>
  <c r="AE225" i="1"/>
  <c r="AE191" i="1"/>
  <c r="AE150" i="1"/>
  <c r="AE113" i="1"/>
  <c r="AE60" i="1"/>
  <c r="AE163" i="1"/>
  <c r="AE247" i="1"/>
  <c r="AE308" i="1"/>
  <c r="AE208" i="1"/>
  <c r="AE190" i="1"/>
  <c r="AE149" i="1"/>
  <c r="AE131" i="1"/>
  <c r="AE272" i="1"/>
  <c r="AE207" i="1"/>
  <c r="AE170" i="1"/>
  <c r="AE130" i="1"/>
  <c r="AE94" i="1"/>
  <c r="AE271" i="1"/>
  <c r="AE186" i="1"/>
  <c r="AE146" i="1"/>
  <c r="AE128" i="1"/>
  <c r="AE92" i="1"/>
  <c r="AE56" i="1"/>
  <c r="AE165" i="1"/>
  <c r="AE270" i="1"/>
  <c r="AE168" i="1"/>
  <c r="AE91" i="1"/>
  <c r="AE38" i="1"/>
  <c r="AE324" i="1"/>
  <c r="AE184" i="1"/>
  <c r="AE144" i="1"/>
  <c r="AE108" i="1"/>
  <c r="AE90" i="1"/>
  <c r="AE71" i="1"/>
  <c r="AE235" i="1"/>
  <c r="AE161" i="1"/>
  <c r="AE69" i="1"/>
  <c r="AE14" i="1"/>
  <c r="AE162" i="1"/>
  <c r="AE81" i="1"/>
  <c r="AE28" i="1"/>
  <c r="AE299" i="1"/>
  <c r="AE262" i="1"/>
  <c r="AE64" i="1"/>
  <c r="AE228" i="1"/>
  <c r="AE212" i="1"/>
  <c r="V166" i="1"/>
  <c r="AJ166" i="1" s="1" a="1"/>
  <c r="AJ166" i="1" s="1"/>
  <c r="U373" i="1"/>
  <c r="V174" i="1"/>
  <c r="AJ174" i="1" s="1" a="1"/>
  <c r="AJ174" i="1" s="1"/>
  <c r="T375" i="1"/>
  <c r="V170" i="1"/>
  <c r="T374" i="1"/>
  <c r="U375" i="1"/>
  <c r="V168" i="1"/>
  <c r="AJ168" i="1" s="1" a="1"/>
  <c r="AJ168" i="1" s="1"/>
  <c r="T373" i="1"/>
  <c r="U374" i="1"/>
  <c r="V335" i="1"/>
  <c r="AJ335" i="1" s="1" a="1"/>
  <c r="AJ335" i="1" s="1"/>
  <c r="T377" i="1"/>
  <c r="U377" i="1"/>
  <c r="V334" i="1"/>
  <c r="AJ334" i="1" s="1" a="1"/>
  <c r="AJ334" i="1" s="1"/>
  <c r="V336" i="1"/>
  <c r="AB335" i="1" s="1"/>
  <c r="U376" i="1"/>
  <c r="V333" i="1"/>
  <c r="AJ333" i="1" s="1" a="1"/>
  <c r="AJ333" i="1" s="1"/>
  <c r="T378" i="1"/>
  <c r="T380" i="1"/>
  <c r="V329" i="1"/>
  <c r="AJ329" i="1" s="1" a="1"/>
  <c r="AJ329" i="1" s="1"/>
  <c r="V330" i="1"/>
  <c r="AJ330" i="1" s="1" a="1"/>
  <c r="AJ330" i="1" s="1"/>
  <c r="T379" i="1"/>
  <c r="V328" i="1"/>
  <c r="AJ328" i="1" s="1" a="1"/>
  <c r="AJ328" i="1" s="1"/>
  <c r="U381" i="1"/>
  <c r="V382" i="1"/>
  <c r="V326" i="1"/>
  <c r="AJ326" i="1" s="1" a="1"/>
  <c r="AJ326" i="1" s="1"/>
  <c r="U379" i="1"/>
  <c r="V327" i="1"/>
  <c r="AJ327" i="1" s="1" a="1"/>
  <c r="AJ327" i="1" s="1"/>
  <c r="T381" i="1"/>
  <c r="V384" i="1"/>
  <c r="U380" i="1"/>
  <c r="T376" i="1"/>
  <c r="V383" i="1"/>
  <c r="U378" i="1"/>
  <c r="V385" i="1"/>
  <c r="V324" i="1"/>
  <c r="AJ324" i="1" s="1" a="1"/>
  <c r="AJ324" i="1" s="1"/>
  <c r="V323" i="1"/>
  <c r="AJ323" i="1" s="1" a="1"/>
  <c r="AJ323" i="1" s="1"/>
  <c r="V5" i="1"/>
  <c r="AJ5" i="1" s="1" a="1"/>
  <c r="AJ5" i="1" s="1"/>
  <c r="V370" i="1"/>
  <c r="AJ370" i="1" s="1" a="1"/>
  <c r="AJ370" i="1" s="1"/>
  <c r="V366" i="1"/>
  <c r="V367" i="1"/>
  <c r="AJ367" i="1" s="1" a="1"/>
  <c r="AJ367" i="1" s="1"/>
  <c r="V368" i="1"/>
  <c r="AJ368" i="1" s="1" a="1"/>
  <c r="AJ368" i="1" s="1"/>
  <c r="V301" i="1"/>
  <c r="AJ301" i="1" s="1" a="1"/>
  <c r="AJ301" i="1" s="1"/>
  <c r="V304" i="1"/>
  <c r="AJ304" i="1" s="1" a="1"/>
  <c r="AJ304" i="1" s="1"/>
  <c r="V305" i="1"/>
  <c r="AJ305" i="1" s="1" a="1"/>
  <c r="AJ305" i="1" s="1"/>
  <c r="V302" i="1"/>
  <c r="AJ302" i="1" s="1" a="1"/>
  <c r="AJ302" i="1" s="1"/>
  <c r="V299" i="1"/>
  <c r="AJ299" i="1" s="1" a="1"/>
  <c r="AJ299" i="1" s="1"/>
  <c r="V303" i="1"/>
  <c r="AB302" i="1" s="1"/>
  <c r="V300" i="1"/>
  <c r="AJ300" i="1" s="1" a="1"/>
  <c r="AJ300" i="1" s="1"/>
  <c r="V306" i="1"/>
  <c r="AJ306" i="1" s="1" a="1"/>
  <c r="AJ306" i="1" s="1"/>
  <c r="V295" i="1"/>
  <c r="AB294" i="1" s="1"/>
  <c r="V296" i="1"/>
  <c r="AJ296" i="1" s="1" a="1"/>
  <c r="AJ296" i="1" s="1"/>
  <c r="V294" i="1"/>
  <c r="AJ294" i="1" s="1" a="1"/>
  <c r="AJ294" i="1" s="1"/>
  <c r="V321" i="1"/>
  <c r="V320" i="1"/>
  <c r="V312" i="1"/>
  <c r="V319" i="1"/>
  <c r="AJ319" i="1" s="1" a="1"/>
  <c r="AJ319" i="1" s="1"/>
  <c r="V313" i="1"/>
  <c r="V315" i="1"/>
  <c r="AJ315" i="1" s="1" a="1"/>
  <c r="AJ315" i="1" s="1"/>
  <c r="V311" i="1"/>
  <c r="AJ311" i="1" s="1" a="1"/>
  <c r="AJ311" i="1" s="1"/>
  <c r="V316" i="1"/>
  <c r="V317" i="1"/>
  <c r="V309" i="1"/>
  <c r="V308" i="1"/>
  <c r="V307" i="1"/>
  <c r="V268" i="1"/>
  <c r="AB267" i="1" s="1"/>
  <c r="V289" i="1"/>
  <c r="AJ289" i="1" s="1" a="1"/>
  <c r="AJ289" i="1" s="1"/>
  <c r="V270" i="1"/>
  <c r="V285" i="1"/>
  <c r="AJ285" i="1" s="1" a="1"/>
  <c r="AJ285" i="1" s="1"/>
  <c r="V141" i="1"/>
  <c r="AJ141" i="1" s="1" a="1"/>
  <c r="AJ141" i="1" s="1"/>
  <c r="V284" i="1"/>
  <c r="AJ284" i="1" s="1" a="1"/>
  <c r="AJ284" i="1" s="1"/>
  <c r="V262" i="1"/>
  <c r="AJ262" i="1" s="1" a="1"/>
  <c r="AJ262" i="1" s="1"/>
  <c r="V283" i="1"/>
  <c r="V269" i="1"/>
  <c r="AJ269" i="1" s="1" a="1"/>
  <c r="AJ269" i="1" s="1"/>
  <c r="V264" i="1"/>
  <c r="AJ264" i="1" s="1" a="1"/>
  <c r="AJ264" i="1" s="1"/>
  <c r="V267" i="1"/>
  <c r="AJ267" i="1" s="1" a="1"/>
  <c r="AJ267" i="1" s="1"/>
  <c r="V273" i="1"/>
  <c r="AJ273" i="1" s="1" a="1"/>
  <c r="AJ273" i="1" s="1"/>
  <c r="V274" i="1"/>
  <c r="V288" i="1"/>
  <c r="AJ288" i="1" s="1" a="1"/>
  <c r="AJ288" i="1" s="1"/>
  <c r="V287" i="1"/>
  <c r="V265" i="1"/>
  <c r="AB264" i="1" s="1"/>
  <c r="V277" i="1"/>
  <c r="V286" i="1"/>
  <c r="AJ286" i="1" s="1" a="1"/>
  <c r="AJ286" i="1" s="1"/>
  <c r="V272" i="1"/>
  <c r="V281" i="1"/>
  <c r="V276" i="1"/>
  <c r="AJ276" i="1" s="1" a="1"/>
  <c r="AJ276" i="1" s="1"/>
  <c r="V279" i="1"/>
  <c r="V263" i="1"/>
  <c r="AB262" i="1" s="1"/>
  <c r="V282" i="1"/>
  <c r="AJ282" i="1" s="1" a="1"/>
  <c r="AJ282" i="1" s="1"/>
  <c r="V275" i="1"/>
  <c r="AJ275" i="1" s="1" a="1"/>
  <c r="AJ275" i="1" s="1"/>
  <c r="V266" i="1"/>
  <c r="AJ266" i="1" s="1" a="1"/>
  <c r="AJ266" i="1" s="1"/>
  <c r="V271" i="1"/>
  <c r="AJ271" i="1" s="1" a="1"/>
  <c r="AJ271" i="1" s="1"/>
  <c r="V280" i="1"/>
  <c r="AJ280" i="1" s="1" a="1"/>
  <c r="AJ280" i="1" s="1"/>
  <c r="AB312" i="1" l="1"/>
  <c r="AB273" i="1"/>
  <c r="AB320" i="1"/>
  <c r="AB269" i="1"/>
  <c r="AB315" i="1"/>
  <c r="AB286" i="1"/>
  <c r="AB307" i="1"/>
  <c r="AB308" i="1"/>
  <c r="AB316" i="1"/>
  <c r="AB295" i="1"/>
  <c r="AB282" i="1"/>
  <c r="AB311" i="1"/>
  <c r="AB319" i="1"/>
  <c r="AB271" i="1"/>
  <c r="AB338" i="1"/>
  <c r="AB280" i="1"/>
  <c r="AB301" i="1"/>
  <c r="AB328" i="1"/>
  <c r="AB323" i="1"/>
  <c r="AB333" i="1"/>
  <c r="AB329" i="1"/>
  <c r="AB337" i="1"/>
  <c r="AB299" i="1"/>
  <c r="AB304" i="1"/>
  <c r="AB326" i="1"/>
  <c r="AB276" i="1"/>
  <c r="AJ180" i="1" a="1"/>
  <c r="AJ180" i="1" s="1"/>
  <c r="AJ366" i="1" a="1"/>
  <c r="AJ366" i="1" s="1"/>
  <c r="AJ295" i="1" a="1"/>
  <c r="AJ295" i="1" s="1"/>
  <c r="V376" i="1"/>
  <c r="AJ170" i="1" a="1"/>
  <c r="AJ170" i="1" s="1"/>
  <c r="AJ204" i="1" a="1"/>
  <c r="AJ204" i="1" s="1"/>
  <c r="AJ340" i="1" a="1"/>
  <c r="AJ340" i="1" s="1"/>
  <c r="V377" i="1"/>
  <c r="V373" i="1"/>
  <c r="V374" i="1"/>
  <c r="V375" i="1"/>
  <c r="V379" i="1"/>
  <c r="AJ336" i="1" a="1"/>
  <c r="AJ336" i="1" s="1"/>
  <c r="V378" i="1"/>
  <c r="AJ303" i="1" a="1"/>
  <c r="AJ303" i="1" s="1"/>
  <c r="V380" i="1"/>
  <c r="V381" i="1"/>
  <c r="AJ313" i="1" a="1"/>
  <c r="AJ313" i="1" s="1"/>
  <c r="AJ312" i="1" a="1"/>
  <c r="AJ312" i="1" s="1"/>
  <c r="AJ283" i="1" a="1"/>
  <c r="AJ283" i="1" s="1"/>
  <c r="AJ279" i="1" a="1"/>
  <c r="AJ279" i="1" s="1"/>
  <c r="AJ272" i="1" a="1"/>
  <c r="AJ272" i="1" s="1"/>
  <c r="AJ281" i="1" a="1"/>
  <c r="AJ281" i="1" s="1"/>
  <c r="AJ270" i="1" a="1"/>
  <c r="AJ270" i="1" s="1"/>
  <c r="AJ277" i="1" a="1"/>
  <c r="AJ277" i="1" s="1"/>
  <c r="AJ265" i="1" a="1"/>
  <c r="AJ265" i="1" s="1"/>
  <c r="AJ317" i="1" a="1"/>
  <c r="AJ317" i="1" s="1"/>
  <c r="AJ316" i="1" a="1"/>
  <c r="AJ316" i="1" s="1"/>
  <c r="AJ268" i="1" a="1"/>
  <c r="AJ268" i="1" s="1"/>
  <c r="AJ274" i="1" a="1"/>
  <c r="AJ274" i="1" s="1"/>
  <c r="AJ263" i="1" a="1"/>
  <c r="AJ263" i="1" s="1"/>
  <c r="AJ321" i="1" a="1"/>
  <c r="AJ321" i="1" s="1"/>
  <c r="AJ320" i="1" a="1"/>
  <c r="AJ320" i="1" s="1"/>
  <c r="AJ309" i="1" a="1"/>
  <c r="AJ309" i="1" s="1"/>
  <c r="AJ308" i="1" a="1"/>
  <c r="AJ308" i="1" s="1"/>
  <c r="AJ307" i="1" a="1"/>
  <c r="AJ307" i="1" s="1"/>
  <c r="V278" i="1"/>
  <c r="AJ278" i="1" s="1" a="1"/>
  <c r="AJ278" i="1" s="1"/>
  <c r="AJ287" i="1" a="1"/>
  <c r="AJ287" i="1" s="1"/>
  <c r="D154" i="6"/>
  <c r="C401" i="1"/>
  <c r="C403" i="1"/>
  <c r="C404" i="1"/>
  <c r="C405" i="1"/>
  <c r="H246" i="1"/>
  <c r="P246" i="1" s="1"/>
  <c r="T246" i="1" s="1"/>
  <c r="V3" i="1"/>
  <c r="V15" i="1"/>
  <c r="V87" i="1"/>
  <c r="V200" i="1"/>
  <c r="V14" i="1"/>
  <c r="V22" i="1"/>
  <c r="V76" i="1"/>
  <c r="V126" i="1"/>
  <c r="V154" i="1"/>
  <c r="V213" i="1"/>
  <c r="V220" i="1"/>
  <c r="H245" i="1"/>
  <c r="P245" i="1" s="1"/>
  <c r="T245" i="1" s="1"/>
  <c r="H197" i="1"/>
  <c r="P197" i="1" s="1"/>
  <c r="T197" i="1" s="1"/>
  <c r="H196" i="1"/>
  <c r="P196" i="1" s="1"/>
  <c r="T196" i="1" s="1"/>
  <c r="H195" i="1"/>
  <c r="P195" i="1" s="1"/>
  <c r="T195" i="1" s="1"/>
  <c r="C259" i="1"/>
  <c r="C260" i="1"/>
  <c r="C261" i="1"/>
  <c r="AA259" i="1"/>
  <c r="AA260" i="1"/>
  <c r="X261" i="1"/>
  <c r="W259" i="1"/>
  <c r="W260" i="1"/>
  <c r="W261" i="1"/>
  <c r="D165" i="6"/>
  <c r="D79" i="6"/>
  <c r="D175" i="6"/>
  <c r="D254" i="6"/>
  <c r="C258" i="1"/>
  <c r="X258" i="1"/>
  <c r="W258" i="1"/>
  <c r="D164" i="6"/>
  <c r="D245" i="6"/>
  <c r="D240" i="6"/>
  <c r="D243" i="6"/>
  <c r="D156" i="6"/>
  <c r="D155" i="6"/>
  <c r="D162" i="6"/>
  <c r="D160" i="6"/>
  <c r="D169" i="6"/>
  <c r="D173" i="6"/>
  <c r="D172" i="6"/>
  <c r="D170" i="6"/>
  <c r="D177" i="6"/>
  <c r="D176" i="6"/>
  <c r="D174" i="6"/>
  <c r="D81" i="6"/>
  <c r="D88" i="6"/>
  <c r="D83" i="6"/>
  <c r="D80" i="6"/>
  <c r="D250" i="6"/>
  <c r="D248" i="6"/>
  <c r="D255" i="6"/>
  <c r="D253" i="6"/>
  <c r="D246" i="6"/>
  <c r="C410" i="1"/>
  <c r="C412" i="1"/>
  <c r="C409" i="1"/>
  <c r="C256" i="1"/>
  <c r="X256" i="1"/>
  <c r="W256" i="1"/>
  <c r="C254" i="1"/>
  <c r="C255" i="1"/>
  <c r="AA254" i="1"/>
  <c r="W254" i="1"/>
  <c r="W255" i="1"/>
  <c r="C242" i="1"/>
  <c r="C243" i="1"/>
  <c r="C244" i="1"/>
  <c r="C245" i="1"/>
  <c r="C246" i="1"/>
  <c r="C247" i="1"/>
  <c r="C248" i="1"/>
  <c r="C249" i="1"/>
  <c r="C250" i="1"/>
  <c r="C251" i="1"/>
  <c r="C252" i="1"/>
  <c r="C253" i="1"/>
  <c r="AA245" i="1"/>
  <c r="AA248" i="1"/>
  <c r="AA242" i="1"/>
  <c r="AA247" i="1"/>
  <c r="X245" i="1"/>
  <c r="X246" i="1"/>
  <c r="X249" i="1"/>
  <c r="W244" i="1"/>
  <c r="W245" i="1"/>
  <c r="W246" i="1"/>
  <c r="W247" i="1"/>
  <c r="W248" i="1"/>
  <c r="W249" i="1"/>
  <c r="W250" i="1"/>
  <c r="W251" i="1"/>
  <c r="W252" i="1"/>
  <c r="W253" i="1"/>
  <c r="W242" i="1"/>
  <c r="W243" i="1"/>
  <c r="C240" i="1"/>
  <c r="C241" i="1"/>
  <c r="AA240" i="1"/>
  <c r="W240" i="1"/>
  <c r="W241" i="1"/>
  <c r="C411" i="1"/>
  <c r="C238" i="1"/>
  <c r="C239" i="1"/>
  <c r="AA238" i="1"/>
  <c r="X238" i="1"/>
  <c r="X239" i="1"/>
  <c r="C233" i="1"/>
  <c r="C234" i="1"/>
  <c r="C235" i="1"/>
  <c r="C236" i="1"/>
  <c r="C237" i="1"/>
  <c r="AA234" i="1"/>
  <c r="AA236" i="1"/>
  <c r="X235" i="1"/>
  <c r="X237" i="1"/>
  <c r="W233" i="1"/>
  <c r="W234" i="1"/>
  <c r="W235" i="1"/>
  <c r="W236" i="1"/>
  <c r="W237" i="1"/>
  <c r="C230" i="1"/>
  <c r="C231" i="1"/>
  <c r="C232" i="1"/>
  <c r="AA230" i="1"/>
  <c r="AA231" i="1"/>
  <c r="X230" i="1"/>
  <c r="X231" i="1"/>
  <c r="X232" i="1"/>
  <c r="W230" i="1"/>
  <c r="W231" i="1"/>
  <c r="W232" i="1"/>
  <c r="C228" i="1"/>
  <c r="C229" i="1"/>
  <c r="AA228" i="1"/>
  <c r="W228" i="1"/>
  <c r="W229" i="1"/>
  <c r="W14" i="1"/>
  <c r="X14" i="1"/>
  <c r="AA14" i="1"/>
  <c r="C14" i="1"/>
  <c r="C225" i="1"/>
  <c r="C226" i="1"/>
  <c r="C227" i="1"/>
  <c r="AA225" i="1"/>
  <c r="AA226" i="1"/>
  <c r="W225" i="1"/>
  <c r="W226" i="1"/>
  <c r="W227" i="1"/>
  <c r="W214" i="1"/>
  <c r="W195" i="1"/>
  <c r="W154" i="1"/>
  <c r="W155" i="1"/>
  <c r="W30" i="1"/>
  <c r="W31" i="1"/>
  <c r="C369" i="1"/>
  <c r="C415" i="1"/>
  <c r="C408" i="1"/>
  <c r="C406" i="1"/>
  <c r="C390" i="1"/>
  <c r="C391" i="1"/>
  <c r="C388" i="1"/>
  <c r="C387" i="1"/>
  <c r="C101" i="1"/>
  <c r="C102" i="1"/>
  <c r="AA101" i="1"/>
  <c r="W101" i="1"/>
  <c r="W102" i="1"/>
  <c r="C223" i="1"/>
  <c r="C224" i="1"/>
  <c r="AA223" i="1"/>
  <c r="W223" i="1"/>
  <c r="X223" i="1"/>
  <c r="W224" i="1"/>
  <c r="X224" i="1"/>
  <c r="C220" i="1"/>
  <c r="C221" i="1"/>
  <c r="C222" i="1"/>
  <c r="AA220" i="1"/>
  <c r="AA221" i="1"/>
  <c r="W220" i="1"/>
  <c r="W221" i="1"/>
  <c r="W222" i="1"/>
  <c r="C218" i="1"/>
  <c r="C219" i="1"/>
  <c r="AA218" i="1"/>
  <c r="W218" i="1"/>
  <c r="X218" i="1"/>
  <c r="W219" i="1"/>
  <c r="X219" i="1"/>
  <c r="C215" i="1"/>
  <c r="C216" i="1"/>
  <c r="C217" i="1"/>
  <c r="AA215" i="1"/>
  <c r="AA216" i="1"/>
  <c r="W215" i="1"/>
  <c r="X215" i="1"/>
  <c r="W216" i="1"/>
  <c r="X216" i="1"/>
  <c r="W217" i="1"/>
  <c r="X217" i="1"/>
  <c r="C214" i="1"/>
  <c r="C211" i="1"/>
  <c r="C212" i="1"/>
  <c r="C213" i="1"/>
  <c r="AA211" i="1"/>
  <c r="AA212" i="1"/>
  <c r="X211" i="1"/>
  <c r="X212" i="1"/>
  <c r="X213" i="1"/>
  <c r="W211" i="1"/>
  <c r="W212" i="1"/>
  <c r="W213" i="1"/>
  <c r="C208" i="1"/>
  <c r="C209" i="1"/>
  <c r="C210" i="1"/>
  <c r="X208" i="1"/>
  <c r="X209" i="1"/>
  <c r="X210" i="1"/>
  <c r="W208" i="1"/>
  <c r="W209" i="1"/>
  <c r="W210" i="1"/>
  <c r="C207" i="1"/>
  <c r="X207" i="1"/>
  <c r="W207" i="1"/>
  <c r="C205" i="1"/>
  <c r="C206" i="1"/>
  <c r="AA205" i="1"/>
  <c r="W205" i="1"/>
  <c r="W206" i="1"/>
  <c r="C201" i="1"/>
  <c r="C202" i="1"/>
  <c r="C203" i="1"/>
  <c r="AA201" i="1"/>
  <c r="AA202" i="1"/>
  <c r="W201" i="1"/>
  <c r="W202" i="1"/>
  <c r="W203" i="1"/>
  <c r="C200" i="1"/>
  <c r="C198" i="1"/>
  <c r="C199" i="1"/>
  <c r="AA198" i="1"/>
  <c r="AA199" i="1"/>
  <c r="W198" i="1"/>
  <c r="X198" i="1"/>
  <c r="W199" i="1"/>
  <c r="X199" i="1"/>
  <c r="W200" i="1"/>
  <c r="X200" i="1"/>
  <c r="C195" i="1"/>
  <c r="C196" i="1"/>
  <c r="C197" i="1"/>
  <c r="AA195" i="1"/>
  <c r="AA196" i="1"/>
  <c r="X196" i="1"/>
  <c r="X197" i="1"/>
  <c r="X195" i="1"/>
  <c r="W196" i="1"/>
  <c r="W197" i="1"/>
  <c r="C191" i="1"/>
  <c r="C192" i="1"/>
  <c r="C193" i="1"/>
  <c r="AA192" i="1"/>
  <c r="AA191" i="1"/>
  <c r="W191" i="1"/>
  <c r="W192" i="1"/>
  <c r="W193" i="1"/>
  <c r="W181" i="1"/>
  <c r="X181" i="1"/>
  <c r="AA181" i="1"/>
  <c r="C181" i="1"/>
  <c r="W182" i="1"/>
  <c r="X182" i="1"/>
  <c r="C182" i="1"/>
  <c r="W183" i="1"/>
  <c r="C183" i="1"/>
  <c r="C3" i="1"/>
  <c r="C4" i="1"/>
  <c r="C6" i="1"/>
  <c r="C7" i="1"/>
  <c r="C8" i="1"/>
  <c r="C10" i="1"/>
  <c r="C11" i="1"/>
  <c r="C12" i="1"/>
  <c r="C15" i="1"/>
  <c r="C16" i="1"/>
  <c r="C18" i="1"/>
  <c r="C19" i="1"/>
  <c r="C20" i="1"/>
  <c r="C21" i="1"/>
  <c r="C22" i="1"/>
  <c r="C23" i="1"/>
  <c r="C24" i="1"/>
  <c r="C26" i="1"/>
  <c r="C27" i="1"/>
  <c r="C28" i="1"/>
  <c r="C30" i="1"/>
  <c r="C31" i="1"/>
  <c r="C32" i="1"/>
  <c r="C33" i="1"/>
  <c r="C34" i="1"/>
  <c r="C35" i="1"/>
  <c r="C38" i="1"/>
  <c r="C39" i="1"/>
  <c r="C40" i="1"/>
  <c r="C41" i="1"/>
  <c r="C42" i="1"/>
  <c r="C43" i="1"/>
  <c r="C44" i="1"/>
  <c r="C51" i="1"/>
  <c r="C52" i="1"/>
  <c r="C53" i="1"/>
  <c r="C54" i="1"/>
  <c r="C55" i="1"/>
  <c r="C56" i="1"/>
  <c r="C57" i="1"/>
  <c r="C60" i="1"/>
  <c r="C61" i="1"/>
  <c r="C62" i="1"/>
  <c r="C63" i="1"/>
  <c r="C64" i="1"/>
  <c r="C65" i="1"/>
  <c r="C66" i="1"/>
  <c r="C67" i="1"/>
  <c r="C68" i="1"/>
  <c r="C69" i="1"/>
  <c r="C70" i="1"/>
  <c r="C71" i="1"/>
  <c r="C72" i="1"/>
  <c r="C73" i="1"/>
  <c r="C74" i="1"/>
  <c r="C75" i="1"/>
  <c r="C76" i="1"/>
  <c r="C77" i="1"/>
  <c r="C78" i="1"/>
  <c r="C79" i="1"/>
  <c r="C80" i="1"/>
  <c r="C83" i="1"/>
  <c r="C84" i="1"/>
  <c r="C86" i="1"/>
  <c r="C87" i="1"/>
  <c r="C89" i="1"/>
  <c r="C90" i="1"/>
  <c r="C91" i="1"/>
  <c r="C92" i="1"/>
  <c r="C94" i="1"/>
  <c r="C95" i="1"/>
  <c r="C96" i="1"/>
  <c r="C97" i="1"/>
  <c r="C98" i="1"/>
  <c r="C99" i="1"/>
  <c r="C100" i="1"/>
  <c r="C103" i="1"/>
  <c r="C104" i="1"/>
  <c r="C106" i="1"/>
  <c r="C107" i="1"/>
  <c r="C108" i="1"/>
  <c r="C109" i="1"/>
  <c r="C110" i="1"/>
  <c r="C111" i="1"/>
  <c r="C112" i="1"/>
  <c r="C113" i="1"/>
  <c r="C114" i="1"/>
  <c r="C115" i="1"/>
  <c r="C116" i="1"/>
  <c r="C117" i="1"/>
  <c r="C118" i="1"/>
  <c r="C120" i="1"/>
  <c r="C122" i="1"/>
  <c r="C123" i="1"/>
  <c r="C124" i="1"/>
  <c r="C126" i="1"/>
  <c r="C127" i="1"/>
  <c r="C128" i="1"/>
  <c r="C130" i="1"/>
  <c r="C131" i="1"/>
  <c r="C133" i="1"/>
  <c r="C134" i="1"/>
  <c r="C135" i="1"/>
  <c r="C136" i="1"/>
  <c r="C137" i="1"/>
  <c r="C138" i="1"/>
  <c r="C139" i="1"/>
  <c r="C140" i="1"/>
  <c r="C142" i="1"/>
  <c r="C143" i="1"/>
  <c r="C144" i="1"/>
  <c r="C145" i="1"/>
  <c r="C146" i="1"/>
  <c r="C148" i="1"/>
  <c r="C149" i="1"/>
  <c r="C150" i="1"/>
  <c r="C151" i="1"/>
  <c r="C152" i="1"/>
  <c r="C153" i="1"/>
  <c r="C154" i="1"/>
  <c r="C155" i="1"/>
  <c r="C156" i="1"/>
  <c r="C158" i="1"/>
  <c r="C159" i="1"/>
  <c r="C160" i="1"/>
  <c r="C161" i="1"/>
  <c r="C167" i="1"/>
  <c r="C169" i="1"/>
  <c r="C171" i="1"/>
  <c r="C172" i="1"/>
  <c r="C173" i="1"/>
  <c r="C175" i="1"/>
  <c r="C176" i="1"/>
  <c r="C177" i="1"/>
  <c r="C178" i="1"/>
  <c r="C179" i="1"/>
  <c r="C184" i="1"/>
  <c r="C185" i="1"/>
  <c r="C186" i="1"/>
  <c r="C189" i="1"/>
  <c r="C190" i="1"/>
  <c r="C290" i="1"/>
  <c r="C291" i="1"/>
  <c r="C292" i="1"/>
  <c r="C2" i="1"/>
  <c r="AA3" i="1"/>
  <c r="AA6" i="1"/>
  <c r="AA7" i="1"/>
  <c r="AA10" i="1"/>
  <c r="AA11" i="1"/>
  <c r="AA15" i="1"/>
  <c r="AA18" i="1"/>
  <c r="AA20" i="1"/>
  <c r="AA22" i="1"/>
  <c r="AA23" i="1"/>
  <c r="AA26" i="1"/>
  <c r="AA27" i="1"/>
  <c r="AA30" i="1"/>
  <c r="AA32" i="1"/>
  <c r="AA39" i="1"/>
  <c r="AA42" i="1"/>
  <c r="AA44" i="1"/>
  <c r="AA55" i="1"/>
  <c r="AA57" i="1"/>
  <c r="AA60" i="1"/>
  <c r="AA62" i="1"/>
  <c r="AA64" i="1"/>
  <c r="AA66" i="1"/>
  <c r="AA68" i="1"/>
  <c r="AA70" i="1"/>
  <c r="AA72" i="1"/>
  <c r="AA74" i="1"/>
  <c r="AA75" i="1"/>
  <c r="AA79" i="1"/>
  <c r="AA80" i="1"/>
  <c r="AA83" i="1"/>
  <c r="AA86" i="1"/>
  <c r="AA89" i="1"/>
  <c r="AA91" i="1"/>
  <c r="AA94" i="1"/>
  <c r="AA97" i="1"/>
  <c r="AA99" i="1"/>
  <c r="AA103" i="1"/>
  <c r="AA106" i="1"/>
  <c r="AA108" i="1"/>
  <c r="AA109" i="1"/>
  <c r="AA111" i="1"/>
  <c r="AA113" i="1"/>
  <c r="AA114" i="1"/>
  <c r="AA116" i="1"/>
  <c r="AA118" i="1"/>
  <c r="AA119" i="1"/>
  <c r="AA122" i="1"/>
  <c r="AA123" i="1"/>
  <c r="AA126" i="1"/>
  <c r="AA127" i="1"/>
  <c r="AA130" i="1"/>
  <c r="AA142" i="1"/>
  <c r="AA144" i="1"/>
  <c r="AA145" i="1"/>
  <c r="AA148" i="1"/>
  <c r="AA152" i="1"/>
  <c r="AA154" i="1"/>
  <c r="AA155" i="1"/>
  <c r="AA189" i="1"/>
  <c r="AA290" i="1"/>
  <c r="AA291" i="1"/>
  <c r="AA2" i="1"/>
  <c r="X190" i="1"/>
  <c r="W75" i="1"/>
  <c r="W76" i="1"/>
  <c r="W11" i="1"/>
  <c r="X15" i="1"/>
  <c r="X16" i="1"/>
  <c r="X19" i="1"/>
  <c r="X26" i="1"/>
  <c r="X27" i="1"/>
  <c r="X28" i="1"/>
  <c r="X38" i="1"/>
  <c r="X39" i="1"/>
  <c r="X40" i="1"/>
  <c r="X48" i="1"/>
  <c r="X50" i="1"/>
  <c r="X60" i="1"/>
  <c r="X61" i="1"/>
  <c r="X66" i="1"/>
  <c r="X67" i="1"/>
  <c r="X68" i="1"/>
  <c r="X69" i="1"/>
  <c r="X72" i="1"/>
  <c r="X73" i="1"/>
  <c r="X77" i="1"/>
  <c r="X78" i="1"/>
  <c r="X79" i="1"/>
  <c r="X80" i="1"/>
  <c r="X81" i="1"/>
  <c r="X87" i="1"/>
  <c r="X91" i="1"/>
  <c r="X92" i="1"/>
  <c r="X94" i="1"/>
  <c r="X95" i="1"/>
  <c r="X99" i="1"/>
  <c r="X100" i="1"/>
  <c r="X103" i="1"/>
  <c r="X104" i="1"/>
  <c r="X106" i="1"/>
  <c r="X107" i="1"/>
  <c r="X108" i="1"/>
  <c r="X109" i="1"/>
  <c r="X110" i="1"/>
  <c r="X113" i="1"/>
  <c r="X114" i="1"/>
  <c r="X115" i="1"/>
  <c r="X127" i="1"/>
  <c r="X128" i="1"/>
  <c r="X130" i="1"/>
  <c r="X131" i="1"/>
  <c r="X142" i="1"/>
  <c r="X143" i="1"/>
  <c r="X144" i="1"/>
  <c r="X145" i="1"/>
  <c r="X146" i="1"/>
  <c r="X148" i="1"/>
  <c r="X149" i="1"/>
  <c r="X150" i="1"/>
  <c r="X151" i="1"/>
  <c r="X153" i="1"/>
  <c r="X161" i="1"/>
  <c r="X167" i="1"/>
  <c r="X169" i="1"/>
  <c r="X171" i="1"/>
  <c r="X173" i="1"/>
  <c r="X290" i="1"/>
  <c r="X291" i="1"/>
  <c r="X292" i="1"/>
  <c r="X4" i="1"/>
  <c r="X7" i="1"/>
  <c r="X8" i="1"/>
  <c r="W63" i="1"/>
  <c r="W64" i="1"/>
  <c r="W65" i="1"/>
  <c r="W66" i="1"/>
  <c r="W67" i="1"/>
  <c r="W68" i="1"/>
  <c r="W69" i="1"/>
  <c r="W70" i="1"/>
  <c r="W71" i="1"/>
  <c r="W72" i="1"/>
  <c r="W73" i="1"/>
  <c r="W74" i="1"/>
  <c r="W77" i="1"/>
  <c r="W78" i="1"/>
  <c r="W79" i="1"/>
  <c r="W80" i="1"/>
  <c r="W81" i="1"/>
  <c r="W83" i="1"/>
  <c r="W84" i="1"/>
  <c r="W86" i="1"/>
  <c r="W87" i="1"/>
  <c r="W89" i="1"/>
  <c r="W90" i="1"/>
  <c r="W91" i="1"/>
  <c r="W92" i="1"/>
  <c r="W94" i="1"/>
  <c r="W95" i="1"/>
  <c r="W96" i="1"/>
  <c r="W97" i="1"/>
  <c r="W98" i="1"/>
  <c r="W99" i="1"/>
  <c r="W100" i="1"/>
  <c r="W103" i="1"/>
  <c r="W104" i="1"/>
  <c r="W106" i="1"/>
  <c r="W107" i="1"/>
  <c r="W108" i="1"/>
  <c r="W109" i="1"/>
  <c r="W110" i="1"/>
  <c r="W111" i="1"/>
  <c r="W112" i="1"/>
  <c r="W113" i="1"/>
  <c r="W114" i="1"/>
  <c r="W115" i="1"/>
  <c r="W116" i="1"/>
  <c r="W117" i="1"/>
  <c r="W118" i="1"/>
  <c r="W119" i="1"/>
  <c r="W120" i="1"/>
  <c r="W122" i="1"/>
  <c r="W123" i="1"/>
  <c r="W124" i="1"/>
  <c r="W126" i="1"/>
  <c r="W127" i="1"/>
  <c r="W128" i="1"/>
  <c r="W130" i="1"/>
  <c r="W131" i="1"/>
  <c r="W133" i="1"/>
  <c r="W134" i="1"/>
  <c r="W135" i="1"/>
  <c r="W136" i="1"/>
  <c r="W137" i="1"/>
  <c r="W138" i="1"/>
  <c r="W139" i="1"/>
  <c r="W140" i="1"/>
  <c r="W142" i="1"/>
  <c r="W143" i="1"/>
  <c r="W144" i="1"/>
  <c r="W145" i="1"/>
  <c r="W146" i="1"/>
  <c r="W148" i="1"/>
  <c r="W149" i="1"/>
  <c r="W150" i="1"/>
  <c r="W151" i="1"/>
  <c r="W152" i="1"/>
  <c r="W153" i="1"/>
  <c r="W156" i="1"/>
  <c r="W158" i="1"/>
  <c r="W159" i="1"/>
  <c r="W160" i="1"/>
  <c r="W161" i="1"/>
  <c r="W167" i="1"/>
  <c r="W169" i="1"/>
  <c r="W171" i="1"/>
  <c r="W172" i="1"/>
  <c r="W173" i="1"/>
  <c r="W175" i="1"/>
  <c r="W176" i="1"/>
  <c r="W177" i="1"/>
  <c r="W178" i="1"/>
  <c r="W179" i="1"/>
  <c r="W184" i="1"/>
  <c r="W185" i="1"/>
  <c r="W186" i="1"/>
  <c r="W189" i="1"/>
  <c r="W190" i="1"/>
  <c r="W290" i="1"/>
  <c r="W291" i="1"/>
  <c r="W292" i="1"/>
  <c r="W3" i="1"/>
  <c r="W4" i="1"/>
  <c r="W6" i="1"/>
  <c r="W7" i="1"/>
  <c r="W8" i="1"/>
  <c r="W10" i="1"/>
  <c r="W12" i="1"/>
  <c r="W15" i="1"/>
  <c r="W16" i="1"/>
  <c r="W18" i="1"/>
  <c r="W19" i="1"/>
  <c r="W20" i="1"/>
  <c r="W21" i="1"/>
  <c r="W22" i="1"/>
  <c r="W23" i="1"/>
  <c r="W24" i="1"/>
  <c r="W26" i="1"/>
  <c r="W27" i="1"/>
  <c r="W28" i="1"/>
  <c r="W32" i="1"/>
  <c r="W33" i="1"/>
  <c r="W34" i="1"/>
  <c r="W35" i="1"/>
  <c r="W38" i="1"/>
  <c r="W39" i="1"/>
  <c r="W40" i="1"/>
  <c r="W41" i="1"/>
  <c r="W42" i="1"/>
  <c r="W43" i="1"/>
  <c r="W44" i="1"/>
  <c r="W46" i="1"/>
  <c r="W47" i="1"/>
  <c r="W48" i="1"/>
  <c r="W49" i="1"/>
  <c r="W50" i="1"/>
  <c r="W51" i="1"/>
  <c r="W52" i="1"/>
  <c r="W53" i="1"/>
  <c r="W54" i="1"/>
  <c r="W55" i="1"/>
  <c r="W56" i="1"/>
  <c r="W57" i="1"/>
  <c r="W58" i="1"/>
  <c r="W60" i="1"/>
  <c r="W61" i="1"/>
  <c r="W62" i="1"/>
  <c r="W2" i="1"/>
  <c r="AB14" i="1" l="1"/>
  <c r="F409" i="1"/>
  <c r="F412" i="1"/>
  <c r="F410" i="1"/>
  <c r="F411" i="1"/>
  <c r="F389" i="1"/>
  <c r="F397" i="1"/>
  <c r="F398" i="1"/>
  <c r="F396" i="1"/>
  <c r="F395" i="1"/>
  <c r="F393" i="1"/>
  <c r="F394" i="1"/>
  <c r="F392" i="1"/>
  <c r="F400" i="1"/>
  <c r="F399" i="1"/>
  <c r="F414" i="1"/>
  <c r="F386" i="1"/>
  <c r="F413" i="1"/>
  <c r="F402" i="1"/>
  <c r="F407" i="1"/>
  <c r="F387" i="1"/>
  <c r="F388" i="1"/>
  <c r="F391" i="1"/>
  <c r="F390" i="1"/>
  <c r="F406" i="1"/>
  <c r="F408" i="1"/>
  <c r="F405" i="1"/>
  <c r="F415" i="1"/>
  <c r="F404" i="1"/>
  <c r="F403" i="1"/>
  <c r="F401" i="1"/>
  <c r="L408" i="1"/>
  <c r="M408" i="1"/>
  <c r="W408" i="1"/>
  <c r="X408" i="1"/>
  <c r="Y408" i="1"/>
  <c r="E408" i="1"/>
  <c r="J408" i="1"/>
  <c r="AC408" i="1"/>
  <c r="AF408" i="1" s="1"/>
  <c r="Z408" i="1"/>
  <c r="G408" i="1"/>
  <c r="H408" i="1"/>
  <c r="I408" i="1"/>
  <c r="K408" i="1"/>
  <c r="G405" i="1"/>
  <c r="H405" i="1"/>
  <c r="I405" i="1"/>
  <c r="J405" i="1"/>
  <c r="Z405" i="1"/>
  <c r="K405" i="1"/>
  <c r="L405" i="1"/>
  <c r="M405" i="1"/>
  <c r="AC405" i="1"/>
  <c r="AF405" i="1" s="1"/>
  <c r="E405" i="1"/>
  <c r="W405" i="1"/>
  <c r="X405" i="1"/>
  <c r="Y405" i="1"/>
  <c r="M415" i="1"/>
  <c r="K415" i="1"/>
  <c r="AC415" i="1"/>
  <c r="AF415" i="1" s="1"/>
  <c r="W415" i="1"/>
  <c r="X415" i="1"/>
  <c r="Y415" i="1"/>
  <c r="Z415" i="1"/>
  <c r="E415" i="1"/>
  <c r="G415" i="1"/>
  <c r="H415" i="1"/>
  <c r="I415" i="1"/>
  <c r="J415" i="1"/>
  <c r="L415" i="1"/>
  <c r="K401" i="1"/>
  <c r="L401" i="1"/>
  <c r="M401" i="1"/>
  <c r="AC401" i="1"/>
  <c r="AF401" i="1" s="1"/>
  <c r="I401" i="1"/>
  <c r="Z401" i="1"/>
  <c r="E401" i="1"/>
  <c r="W401" i="1"/>
  <c r="X401" i="1"/>
  <c r="G401" i="1"/>
  <c r="Y401" i="1"/>
  <c r="H401" i="1"/>
  <c r="J401" i="1"/>
  <c r="E409" i="1"/>
  <c r="G409" i="1"/>
  <c r="H409" i="1"/>
  <c r="I409" i="1"/>
  <c r="J409" i="1"/>
  <c r="Z409" i="1"/>
  <c r="K409" i="1"/>
  <c r="L409" i="1"/>
  <c r="M409" i="1"/>
  <c r="AC409" i="1"/>
  <c r="AF409" i="1" s="1"/>
  <c r="W409" i="1"/>
  <c r="X409" i="1"/>
  <c r="Y409" i="1"/>
  <c r="H412" i="1"/>
  <c r="I412" i="1"/>
  <c r="J412" i="1"/>
  <c r="K412" i="1"/>
  <c r="L412" i="1"/>
  <c r="M412" i="1"/>
  <c r="W412" i="1"/>
  <c r="X412" i="1"/>
  <c r="AC412" i="1"/>
  <c r="AF412" i="1" s="1"/>
  <c r="Y412" i="1"/>
  <c r="Z412" i="1"/>
  <c r="E412" i="1"/>
  <c r="G412" i="1"/>
  <c r="X410" i="1"/>
  <c r="J410" i="1"/>
  <c r="Y410" i="1"/>
  <c r="K410" i="1"/>
  <c r="Z410" i="1"/>
  <c r="L410" i="1"/>
  <c r="M410" i="1"/>
  <c r="H410" i="1"/>
  <c r="E410" i="1"/>
  <c r="AC410" i="1"/>
  <c r="AF410" i="1" s="1"/>
  <c r="G410" i="1"/>
  <c r="W410" i="1"/>
  <c r="I410" i="1"/>
  <c r="W411" i="1"/>
  <c r="X411" i="1"/>
  <c r="E411" i="1"/>
  <c r="Y411" i="1"/>
  <c r="Z411" i="1"/>
  <c r="G411" i="1"/>
  <c r="H411" i="1"/>
  <c r="I411" i="1"/>
  <c r="J411" i="1"/>
  <c r="K411" i="1"/>
  <c r="L411" i="1"/>
  <c r="M411" i="1"/>
  <c r="AC411" i="1"/>
  <c r="AF411" i="1" s="1"/>
  <c r="AC396" i="1"/>
  <c r="AF396" i="1" s="1"/>
  <c r="K399" i="1"/>
  <c r="Z389" i="1"/>
  <c r="H393" i="1"/>
  <c r="AC389" i="1"/>
  <c r="AF389" i="1" s="1"/>
  <c r="E389" i="1"/>
  <c r="G389" i="1"/>
  <c r="Z397" i="1"/>
  <c r="E397" i="1"/>
  <c r="H389" i="1"/>
  <c r="I389" i="1"/>
  <c r="G397" i="1"/>
  <c r="J389" i="1"/>
  <c r="H397" i="1"/>
  <c r="K389" i="1"/>
  <c r="I397" i="1"/>
  <c r="L389" i="1"/>
  <c r="Z393" i="1"/>
  <c r="M397" i="1"/>
  <c r="W389" i="1"/>
  <c r="W397" i="1"/>
  <c r="J397" i="1"/>
  <c r="M389" i="1"/>
  <c r="H394" i="1"/>
  <c r="X389" i="1"/>
  <c r="X397" i="1"/>
  <c r="K397" i="1"/>
  <c r="Y389" i="1"/>
  <c r="Y397" i="1"/>
  <c r="L397" i="1"/>
  <c r="AC397" i="1"/>
  <c r="AF397" i="1" s="1"/>
  <c r="AC398" i="1"/>
  <c r="AF398" i="1" s="1"/>
  <c r="L399" i="1"/>
  <c r="L398" i="1"/>
  <c r="K396" i="1"/>
  <c r="X396" i="1"/>
  <c r="X394" i="1"/>
  <c r="E398" i="1"/>
  <c r="AC393" i="1"/>
  <c r="AF393" i="1" s="1"/>
  <c r="J395" i="1"/>
  <c r="AC392" i="1"/>
  <c r="AF392" i="1" s="1"/>
  <c r="G395" i="1"/>
  <c r="I392" i="1"/>
  <c r="M394" i="1"/>
  <c r="G396" i="1"/>
  <c r="Y400" i="1"/>
  <c r="Z399" i="1"/>
  <c r="W399" i="1"/>
  <c r="Y395" i="1"/>
  <c r="J393" i="1"/>
  <c r="I394" i="1"/>
  <c r="I399" i="1"/>
  <c r="Y396" i="1"/>
  <c r="L392" i="1"/>
  <c r="Z395" i="1"/>
  <c r="H400" i="1"/>
  <c r="G398" i="1"/>
  <c r="H396" i="1"/>
  <c r="W398" i="1"/>
  <c r="M395" i="1"/>
  <c r="J398" i="1"/>
  <c r="L393" i="1"/>
  <c r="I396" i="1"/>
  <c r="W394" i="1"/>
  <c r="G399" i="1"/>
  <c r="K400" i="1"/>
  <c r="L396" i="1"/>
  <c r="G392" i="1"/>
  <c r="K394" i="1"/>
  <c r="W395" i="1"/>
  <c r="W392" i="1"/>
  <c r="X393" i="1"/>
  <c r="K395" i="1"/>
  <c r="M398" i="1"/>
  <c r="E395" i="1"/>
  <c r="Y398" i="1"/>
  <c r="G393" i="1"/>
  <c r="Z400" i="1"/>
  <c r="H395" i="1"/>
  <c r="J392" i="1"/>
  <c r="X399" i="1"/>
  <c r="Y394" i="1"/>
  <c r="X392" i="1"/>
  <c r="AC394" i="1"/>
  <c r="AF394" i="1" s="1"/>
  <c r="Z396" i="1"/>
  <c r="M392" i="1"/>
  <c r="W400" i="1"/>
  <c r="X395" i="1"/>
  <c r="H398" i="1"/>
  <c r="Y392" i="1"/>
  <c r="E393" i="1"/>
  <c r="W396" i="1"/>
  <c r="I400" i="1"/>
  <c r="J396" i="1"/>
  <c r="AC399" i="1"/>
  <c r="AF399" i="1" s="1"/>
  <c r="E400" i="1"/>
  <c r="J399" i="1"/>
  <c r="L400" i="1"/>
  <c r="K398" i="1"/>
  <c r="M393" i="1"/>
  <c r="L394" i="1"/>
  <c r="E392" i="1"/>
  <c r="E394" i="1"/>
  <c r="M399" i="1"/>
  <c r="E396" i="1"/>
  <c r="E399" i="1"/>
  <c r="M396" i="1"/>
  <c r="Z398" i="1"/>
  <c r="I393" i="1"/>
  <c r="G394" i="1"/>
  <c r="H399" i="1"/>
  <c r="I395" i="1"/>
  <c r="H392" i="1"/>
  <c r="Z394" i="1"/>
  <c r="J394" i="1"/>
  <c r="G400" i="1"/>
  <c r="Y393" i="1"/>
  <c r="L395" i="1"/>
  <c r="X400" i="1"/>
  <c r="K392" i="1"/>
  <c r="Y399" i="1"/>
  <c r="Z392" i="1"/>
  <c r="X398" i="1"/>
  <c r="AC395" i="1"/>
  <c r="AF395" i="1" s="1"/>
  <c r="W393" i="1"/>
  <c r="M400" i="1"/>
  <c r="J400" i="1"/>
  <c r="I398" i="1"/>
  <c r="K393" i="1"/>
  <c r="AC400" i="1"/>
  <c r="AF400" i="1" s="1"/>
  <c r="Z413" i="1"/>
  <c r="Z402" i="1"/>
  <c r="H407" i="1"/>
  <c r="H414" i="1"/>
  <c r="X386" i="1"/>
  <c r="E413" i="1"/>
  <c r="E402" i="1"/>
  <c r="X407" i="1"/>
  <c r="I414" i="1"/>
  <c r="J386" i="1"/>
  <c r="AC402" i="1"/>
  <c r="AF402" i="1" s="1"/>
  <c r="I407" i="1"/>
  <c r="J414" i="1"/>
  <c r="W386" i="1"/>
  <c r="G413" i="1"/>
  <c r="Y407" i="1"/>
  <c r="K414" i="1"/>
  <c r="I386" i="1"/>
  <c r="H413" i="1"/>
  <c r="G402" i="1"/>
  <c r="J407" i="1"/>
  <c r="L414" i="1"/>
  <c r="H386" i="1"/>
  <c r="I413" i="1"/>
  <c r="H402" i="1"/>
  <c r="Z407" i="1"/>
  <c r="M414" i="1"/>
  <c r="G386" i="1"/>
  <c r="M413" i="1"/>
  <c r="I402" i="1"/>
  <c r="K407" i="1"/>
  <c r="W414" i="1"/>
  <c r="Z386" i="1"/>
  <c r="W413" i="1"/>
  <c r="J402" i="1"/>
  <c r="L407" i="1"/>
  <c r="E414" i="1"/>
  <c r="L413" i="1"/>
  <c r="J413" i="1"/>
  <c r="K402" i="1"/>
  <c r="M407" i="1"/>
  <c r="AC386" i="1"/>
  <c r="X413" i="1"/>
  <c r="L402" i="1"/>
  <c r="AC407" i="1"/>
  <c r="AF407" i="1" s="1"/>
  <c r="E386" i="1"/>
  <c r="E407" i="1"/>
  <c r="K413" i="1"/>
  <c r="M402" i="1"/>
  <c r="AC414" i="1"/>
  <c r="AF414" i="1" s="1"/>
  <c r="Y413" i="1"/>
  <c r="W402" i="1"/>
  <c r="X414" i="1"/>
  <c r="M386" i="1"/>
  <c r="AC413" i="1"/>
  <c r="AF413" i="1" s="1"/>
  <c r="Y414" i="1"/>
  <c r="L386" i="1"/>
  <c r="X402" i="1"/>
  <c r="G407" i="1"/>
  <c r="G414" i="1"/>
  <c r="Y386" i="1"/>
  <c r="Y402" i="1"/>
  <c r="W407" i="1"/>
  <c r="Z414" i="1"/>
  <c r="K386" i="1"/>
  <c r="E404" i="1"/>
  <c r="AC404" i="1"/>
  <c r="AF404" i="1" s="1"/>
  <c r="W404" i="1"/>
  <c r="G404" i="1"/>
  <c r="X404" i="1"/>
  <c r="H404" i="1"/>
  <c r="Y404" i="1"/>
  <c r="I404" i="1"/>
  <c r="Z404" i="1"/>
  <c r="J404" i="1"/>
  <c r="K404" i="1"/>
  <c r="L404" i="1"/>
  <c r="M404" i="1"/>
  <c r="AC387" i="1"/>
  <c r="AF387" i="1" s="1"/>
  <c r="E387" i="1"/>
  <c r="W387" i="1"/>
  <c r="G387" i="1"/>
  <c r="X387" i="1"/>
  <c r="H387" i="1"/>
  <c r="Y387" i="1"/>
  <c r="I387" i="1"/>
  <c r="Z387" i="1"/>
  <c r="J387" i="1"/>
  <c r="K387" i="1"/>
  <c r="L387" i="1"/>
  <c r="M387" i="1"/>
  <c r="K388" i="1"/>
  <c r="L388" i="1"/>
  <c r="AC388" i="1"/>
  <c r="AF388" i="1" s="1"/>
  <c r="M388" i="1"/>
  <c r="W388" i="1"/>
  <c r="X388" i="1"/>
  <c r="I388" i="1"/>
  <c r="Y388" i="1"/>
  <c r="Z388" i="1"/>
  <c r="E388" i="1"/>
  <c r="G388" i="1"/>
  <c r="H388" i="1"/>
  <c r="J388" i="1"/>
  <c r="I403" i="1"/>
  <c r="J403" i="1"/>
  <c r="K403" i="1"/>
  <c r="W403" i="1"/>
  <c r="L403" i="1"/>
  <c r="X403" i="1"/>
  <c r="M403" i="1"/>
  <c r="AC403" i="1"/>
  <c r="AF403" i="1" s="1"/>
  <c r="Y403" i="1"/>
  <c r="Z403" i="1"/>
  <c r="G403" i="1"/>
  <c r="E403" i="1"/>
  <c r="H403" i="1"/>
  <c r="W391" i="1"/>
  <c r="X391" i="1"/>
  <c r="AC391" i="1"/>
  <c r="AF391" i="1" s="1"/>
  <c r="Y391" i="1"/>
  <c r="E391" i="1"/>
  <c r="Z391" i="1"/>
  <c r="G391" i="1"/>
  <c r="H391" i="1"/>
  <c r="I391" i="1"/>
  <c r="J391" i="1"/>
  <c r="K391" i="1"/>
  <c r="L391" i="1"/>
  <c r="M391" i="1"/>
  <c r="X390" i="1"/>
  <c r="I390" i="1"/>
  <c r="Y390" i="1"/>
  <c r="J390" i="1"/>
  <c r="Z390" i="1"/>
  <c r="K390" i="1"/>
  <c r="L390" i="1"/>
  <c r="AC390" i="1"/>
  <c r="AF390" i="1" s="1"/>
  <c r="M390" i="1"/>
  <c r="G390" i="1"/>
  <c r="E390" i="1"/>
  <c r="W390" i="1"/>
  <c r="H390" i="1"/>
  <c r="X406" i="1"/>
  <c r="L406" i="1"/>
  <c r="Y406" i="1"/>
  <c r="Z406" i="1"/>
  <c r="E406" i="1"/>
  <c r="AC406" i="1"/>
  <c r="AF406" i="1" s="1"/>
  <c r="G406" i="1"/>
  <c r="H406" i="1"/>
  <c r="I406" i="1"/>
  <c r="J406" i="1"/>
  <c r="K406" i="1"/>
  <c r="W406" i="1"/>
  <c r="M406" i="1"/>
  <c r="AB278" i="1"/>
  <c r="AE59" i="1"/>
  <c r="AE357" i="1"/>
  <c r="AE369" i="1"/>
  <c r="AE171" i="1"/>
  <c r="AE65" i="1"/>
  <c r="AE172" i="1"/>
  <c r="AE243" i="1"/>
  <c r="AE205" i="1"/>
  <c r="AE84" i="1"/>
  <c r="AE214" i="1"/>
  <c r="AE297" i="1"/>
  <c r="AE58" i="1"/>
  <c r="AE368" i="1"/>
  <c r="AE221" i="1"/>
  <c r="AE51" i="1"/>
  <c r="AE102" i="1"/>
  <c r="AE50" i="1"/>
  <c r="AE75" i="1"/>
  <c r="AE238" i="1"/>
  <c r="AE21" i="1"/>
  <c r="AE250" i="1"/>
  <c r="AE18" i="1"/>
  <c r="AE47" i="1"/>
  <c r="AE264" i="1"/>
  <c r="AE273" i="1"/>
  <c r="AE195" i="1"/>
  <c r="AE254" i="1"/>
  <c r="AE189" i="1"/>
  <c r="AE267" i="1"/>
  <c r="AE302" i="1"/>
  <c r="AE269" i="1"/>
  <c r="AE70" i="1"/>
  <c r="AE72" i="1"/>
  <c r="AE136" i="1"/>
  <c r="AE229" i="1"/>
  <c r="AE210" i="1"/>
  <c r="AE123" i="1"/>
  <c r="AE182" i="1"/>
  <c r="AE279" i="1"/>
  <c r="AE232" i="1"/>
  <c r="AE54" i="1"/>
  <c r="AE112" i="1"/>
  <c r="AE100" i="1"/>
  <c r="AE176" i="1"/>
  <c r="AE197" i="1"/>
  <c r="AE19" i="1"/>
  <c r="AE291" i="1"/>
  <c r="AE260" i="1"/>
  <c r="AE52" i="1"/>
  <c r="AE76" i="1"/>
  <c r="AE296" i="1"/>
  <c r="AE109" i="1"/>
  <c r="AE63" i="1"/>
  <c r="AE106" i="1"/>
  <c r="AE248" i="1"/>
  <c r="AE55" i="1"/>
  <c r="AE30" i="1"/>
  <c r="P172" i="1"/>
  <c r="T172" i="1" s="1"/>
  <c r="V291" i="1"/>
  <c r="AJ291" i="1" s="1" a="1"/>
  <c r="AJ291" i="1" s="1"/>
  <c r="V144" i="1"/>
  <c r="AJ144" i="1" s="1" a="1"/>
  <c r="AJ144" i="1" s="1"/>
  <c r="V242" i="1"/>
  <c r="AJ242" i="1" s="1" a="1"/>
  <c r="AJ242" i="1" s="1"/>
  <c r="V122" i="1"/>
  <c r="AJ122" i="1" s="1" a="1"/>
  <c r="AJ122" i="1" s="1"/>
  <c r="V243" i="1"/>
  <c r="V227" i="1"/>
  <c r="V86" i="1"/>
  <c r="AJ86" i="1" s="1" a="1"/>
  <c r="AJ86" i="1" s="1"/>
  <c r="V68" i="1"/>
  <c r="AJ68" i="1" s="1" a="1"/>
  <c r="AJ68" i="1" s="1"/>
  <c r="V51" i="1"/>
  <c r="AJ51" i="1" s="1" a="1"/>
  <c r="AJ51" i="1" s="1"/>
  <c r="V32" i="1"/>
  <c r="AJ32" i="1" s="1" a="1"/>
  <c r="AJ32" i="1" s="1"/>
  <c r="V189" i="1"/>
  <c r="AJ189" i="1" s="1" a="1"/>
  <c r="AJ189" i="1" s="1"/>
  <c r="V143" i="1"/>
  <c r="V167" i="1"/>
  <c r="AJ167" i="1" s="1" a="1"/>
  <c r="AJ167" i="1" s="1"/>
  <c r="V70" i="1"/>
  <c r="AJ70" i="1" s="1" a="1"/>
  <c r="AJ70" i="1" s="1"/>
  <c r="V53" i="1"/>
  <c r="AJ53" i="1" s="1" a="1"/>
  <c r="AJ53" i="1" s="1"/>
  <c r="V34" i="1"/>
  <c r="AJ34" i="1" s="1" a="1"/>
  <c r="AJ34" i="1" s="1"/>
  <c r="V114" i="1"/>
  <c r="V97" i="1"/>
  <c r="AJ97" i="1" s="1" a="1"/>
  <c r="AJ97" i="1" s="1"/>
  <c r="V192" i="1"/>
  <c r="V146" i="1"/>
  <c r="V191" i="1"/>
  <c r="AJ191" i="1" s="1" a="1"/>
  <c r="AJ191" i="1" s="1"/>
  <c r="V226" i="1"/>
  <c r="V210" i="1"/>
  <c r="AJ210" i="1" s="1" a="1"/>
  <c r="AJ210" i="1" s="1"/>
  <c r="V104" i="1"/>
  <c r="V10" i="1"/>
  <c r="AJ10" i="1" s="1" a="1"/>
  <c r="AJ10" i="1" s="1"/>
  <c r="V292" i="1"/>
  <c r="AB291" i="1" s="1"/>
  <c r="V215" i="1"/>
  <c r="AJ215" i="1" s="1" a="1"/>
  <c r="AJ215" i="1" s="1"/>
  <c r="V72" i="1"/>
  <c r="AJ72" i="1" s="1" a="1"/>
  <c r="AJ72" i="1" s="1"/>
  <c r="V55" i="1"/>
  <c r="AJ55" i="1" s="1" a="1"/>
  <c r="AJ55" i="1" s="1"/>
  <c r="V38" i="1"/>
  <c r="V248" i="1"/>
  <c r="V230" i="1"/>
  <c r="AJ230" i="1" s="1" a="1"/>
  <c r="AJ230" i="1" s="1"/>
  <c r="V109" i="1"/>
  <c r="V91" i="1"/>
  <c r="AJ91" i="1" s="1" a="1"/>
  <c r="AJ91" i="1" s="1"/>
  <c r="V211" i="1"/>
  <c r="AJ211" i="1" s="1" a="1"/>
  <c r="AJ211" i="1" s="1"/>
  <c r="V136" i="1"/>
  <c r="AJ136" i="1" s="1" a="1"/>
  <c r="AJ136" i="1" s="1"/>
  <c r="V179" i="1"/>
  <c r="V153" i="1"/>
  <c r="V135" i="1"/>
  <c r="AJ135" i="1" s="1" a="1"/>
  <c r="AJ135" i="1" s="1"/>
  <c r="V113" i="1"/>
  <c r="AJ113" i="1" s="1" a="1"/>
  <c r="AJ113" i="1" s="1"/>
  <c r="V96" i="1"/>
  <c r="AJ96" i="1" s="1" a="1"/>
  <c r="AJ96" i="1" s="1"/>
  <c r="V75" i="1"/>
  <c r="V58" i="1"/>
  <c r="V41" i="1"/>
  <c r="AJ41" i="1" s="1" a="1"/>
  <c r="AJ41" i="1" s="1"/>
  <c r="V231" i="1"/>
  <c r="V193" i="1"/>
  <c r="AB192" i="1" s="1"/>
  <c r="V173" i="1"/>
  <c r="AJ173" i="1" s="1" a="1"/>
  <c r="AJ173" i="1" s="1"/>
  <c r="V148" i="1"/>
  <c r="AJ148" i="1" s="1" a="1"/>
  <c r="AJ148" i="1" s="1"/>
  <c r="V128" i="1"/>
  <c r="V214" i="1"/>
  <c r="AJ214" i="1" s="1" a="1"/>
  <c r="AJ214" i="1" s="1"/>
  <c r="V71" i="1"/>
  <c r="V54" i="1"/>
  <c r="V35" i="1"/>
  <c r="AB34" i="1" s="1"/>
  <c r="V247" i="1"/>
  <c r="AJ247" i="1" s="1" a="1"/>
  <c r="AJ247" i="1" s="1"/>
  <c r="V229" i="1"/>
  <c r="V108" i="1"/>
  <c r="AJ108" i="1" s="1" a="1"/>
  <c r="AJ108" i="1" s="1"/>
  <c r="V90" i="1"/>
  <c r="V260" i="1"/>
  <c r="V207" i="1"/>
  <c r="AJ207" i="1" s="1" a="1"/>
  <c r="AJ207" i="1" s="1"/>
  <c r="V236" i="1"/>
  <c r="AJ236" i="1" s="1" a="1"/>
  <c r="AJ236" i="1" s="1"/>
  <c r="V77" i="1"/>
  <c r="AJ77" i="1" s="1" a="1"/>
  <c r="AJ77" i="1" s="1"/>
  <c r="V253" i="1"/>
  <c r="AJ253" i="1" s="1" a="1"/>
  <c r="AJ253" i="1" s="1"/>
  <c r="V178" i="1"/>
  <c r="V152" i="1"/>
  <c r="AJ152" i="1" s="1" a="1"/>
  <c r="AJ152" i="1" s="1"/>
  <c r="V134" i="1"/>
  <c r="V60" i="1"/>
  <c r="AJ60" i="1" s="1" a="1"/>
  <c r="AJ60" i="1" s="1"/>
  <c r="V42" i="1"/>
  <c r="AJ42" i="1" s="1" a="1"/>
  <c r="AJ42" i="1" s="1"/>
  <c r="V177" i="1"/>
  <c r="AJ177" i="1" s="1" a="1"/>
  <c r="AJ177" i="1" s="1"/>
  <c r="V21" i="1"/>
  <c r="V112" i="1"/>
  <c r="AJ112" i="1" s="1" a="1"/>
  <c r="AJ112" i="1" s="1"/>
  <c r="V95" i="1"/>
  <c r="V198" i="1"/>
  <c r="AJ198" i="1" s="1" a="1"/>
  <c r="AJ198" i="1" s="1"/>
  <c r="V16" i="1"/>
  <c r="AB15" i="1" s="1"/>
  <c r="V161" i="1"/>
  <c r="AJ161" i="1" s="1" a="1"/>
  <c r="AJ161" i="1" s="1"/>
  <c r="V259" i="1"/>
  <c r="AJ259" i="1" s="1" a="1"/>
  <c r="AJ259" i="1" s="1"/>
  <c r="V119" i="1"/>
  <c r="V102" i="1"/>
  <c r="AB101" i="1" s="1"/>
  <c r="V256" i="1"/>
  <c r="AJ256" i="1" s="1" a="1"/>
  <c r="AJ256" i="1" s="1"/>
  <c r="V206" i="1"/>
  <c r="V61" i="1"/>
  <c r="V43" i="1"/>
  <c r="V23" i="1"/>
  <c r="AB22" i="1" s="1"/>
  <c r="V171" i="1"/>
  <c r="AJ171" i="1" s="1" a="1"/>
  <c r="AJ171" i="1" s="1"/>
  <c r="V239" i="1"/>
  <c r="V223" i="1"/>
  <c r="AJ223" i="1" s="1" a="1"/>
  <c r="AJ223" i="1" s="1"/>
  <c r="V238" i="1"/>
  <c r="AJ238" i="1" s="1" a="1"/>
  <c r="AJ238" i="1" s="1"/>
  <c r="V222" i="1"/>
  <c r="V255" i="1"/>
  <c r="AJ255" i="1" s="1" a="1"/>
  <c r="AJ255" i="1" s="1"/>
  <c r="V254" i="1"/>
  <c r="AJ254" i="1" s="1" a="1"/>
  <c r="AJ254" i="1" s="1"/>
  <c r="V203" i="1"/>
  <c r="V127" i="1"/>
  <c r="AB126" i="1" s="1"/>
  <c r="V258" i="1"/>
  <c r="AJ258" i="1" s="1" a="1"/>
  <c r="AJ258" i="1" s="1"/>
  <c r="V2" i="1"/>
  <c r="AB2" i="1" s="1"/>
  <c r="V115" i="1"/>
  <c r="V98" i="1"/>
  <c r="V235" i="1"/>
  <c r="V219" i="1"/>
  <c r="V202" i="1"/>
  <c r="V369" i="1"/>
  <c r="AJ369" i="1" s="1" a="1"/>
  <c r="AJ369" i="1" s="1"/>
  <c r="V251" i="1"/>
  <c r="V199" i="1"/>
  <c r="V232" i="1"/>
  <c r="V216" i="1"/>
  <c r="AJ216" i="1" s="1" a="1"/>
  <c r="AJ216" i="1" s="1"/>
  <c r="V110" i="1"/>
  <c r="AB109" i="1" s="1"/>
  <c r="V92" i="1"/>
  <c r="V18" i="1"/>
  <c r="AJ18" i="1" s="1" a="1"/>
  <c r="AJ18" i="1" s="1"/>
  <c r="V169" i="1"/>
  <c r="AJ169" i="1" s="1" a="1"/>
  <c r="AJ169" i="1" s="1"/>
  <c r="V145" i="1"/>
  <c r="V190" i="1"/>
  <c r="V69" i="1"/>
  <c r="AB68" i="1" s="1"/>
  <c r="V52" i="1"/>
  <c r="V33" i="1"/>
  <c r="AB32" i="1" s="1"/>
  <c r="V290" i="1"/>
  <c r="AJ290" i="1" s="1" a="1"/>
  <c r="AJ290" i="1" s="1"/>
  <c r="V123" i="1"/>
  <c r="V106" i="1"/>
  <c r="AJ106" i="1" s="1" a="1"/>
  <c r="AJ106" i="1" s="1"/>
  <c r="V11" i="1"/>
  <c r="AB10" i="1" s="1"/>
  <c r="V240" i="1"/>
  <c r="AJ240" i="1" s="1" a="1"/>
  <c r="AJ240" i="1" s="1"/>
  <c r="V224" i="1"/>
  <c r="V208" i="1"/>
  <c r="AJ208" i="1" s="1" a="1"/>
  <c r="AJ208" i="1" s="1"/>
  <c r="V184" i="1"/>
  <c r="AJ184" i="1" s="1" a="1"/>
  <c r="AJ184" i="1" s="1"/>
  <c r="V158" i="1"/>
  <c r="AJ158" i="1" s="1" a="1"/>
  <c r="AJ158" i="1" s="1"/>
  <c r="V139" i="1"/>
  <c r="AJ139" i="1" s="1" a="1"/>
  <c r="AJ139" i="1" s="1"/>
  <c r="V81" i="1"/>
  <c r="V65" i="1"/>
  <c r="V48" i="1"/>
  <c r="V28" i="1"/>
  <c r="V7" i="1"/>
  <c r="V183" i="1"/>
  <c r="AJ183" i="1" s="1" a="1"/>
  <c r="AJ183" i="1" s="1"/>
  <c r="V118" i="1"/>
  <c r="AJ118" i="1" s="1" a="1"/>
  <c r="AJ118" i="1" s="1"/>
  <c r="V101" i="1"/>
  <c r="AJ101" i="1" s="1" a="1"/>
  <c r="AJ101" i="1" s="1"/>
  <c r="V80" i="1"/>
  <c r="V64" i="1"/>
  <c r="AJ64" i="1" s="1" a="1"/>
  <c r="AJ64" i="1" s="1"/>
  <c r="V47" i="1"/>
  <c r="AJ47" i="1" s="1" a="1"/>
  <c r="AJ47" i="1" s="1"/>
  <c r="V27" i="1"/>
  <c r="V117" i="1"/>
  <c r="V100" i="1"/>
  <c r="V4" i="1"/>
  <c r="AB3" i="1" s="1"/>
  <c r="V252" i="1"/>
  <c r="AJ252" i="1" s="1" a="1"/>
  <c r="AJ252" i="1" s="1"/>
  <c r="V234" i="1"/>
  <c r="V218" i="1"/>
  <c r="AJ218" i="1" s="1" a="1"/>
  <c r="AJ218" i="1" s="1"/>
  <c r="V201" i="1"/>
  <c r="AJ201" i="1" s="1" a="1"/>
  <c r="AJ201" i="1" s="1"/>
  <c r="V151" i="1"/>
  <c r="AJ151" i="1" s="1" a="1"/>
  <c r="AJ151" i="1" s="1"/>
  <c r="V133" i="1"/>
  <c r="AJ133" i="1" s="1" a="1"/>
  <c r="AJ133" i="1" s="1"/>
  <c r="V233" i="1"/>
  <c r="AJ233" i="1" s="1" a="1"/>
  <c r="AJ233" i="1" s="1"/>
  <c r="V217" i="1"/>
  <c r="V176" i="1"/>
  <c r="AJ176" i="1" s="1" a="1"/>
  <c r="AJ176" i="1" s="1"/>
  <c r="V150" i="1"/>
  <c r="V131" i="1"/>
  <c r="V74" i="1"/>
  <c r="AJ74" i="1" s="1" a="1"/>
  <c r="AJ74" i="1" s="1"/>
  <c r="V57" i="1"/>
  <c r="AJ57" i="1" s="1" a="1"/>
  <c r="AJ57" i="1" s="1"/>
  <c r="V40" i="1"/>
  <c r="V20" i="1"/>
  <c r="AJ20" i="1" s="1" a="1"/>
  <c r="AJ20" i="1" s="1"/>
  <c r="V246" i="1"/>
  <c r="V250" i="1"/>
  <c r="AJ250" i="1" s="1" a="1"/>
  <c r="AJ250" i="1" s="1"/>
  <c r="V175" i="1"/>
  <c r="AJ175" i="1" s="1" a="1"/>
  <c r="AJ175" i="1" s="1"/>
  <c r="V149" i="1"/>
  <c r="V130" i="1"/>
  <c r="AJ130" i="1" s="1" a="1"/>
  <c r="AJ130" i="1" s="1"/>
  <c r="V111" i="1"/>
  <c r="AJ111" i="1" s="1" a="1"/>
  <c r="AJ111" i="1" s="1"/>
  <c r="V94" i="1"/>
  <c r="AJ94" i="1" s="1" a="1"/>
  <c r="AJ94" i="1" s="1"/>
  <c r="V73" i="1"/>
  <c r="AJ73" i="1" s="1" a="1"/>
  <c r="AJ73" i="1" s="1"/>
  <c r="V56" i="1"/>
  <c r="V39" i="1"/>
  <c r="V19" i="1"/>
  <c r="AB18" i="1" s="1"/>
  <c r="V249" i="1"/>
  <c r="AB248" i="1" s="1"/>
  <c r="V244" i="1"/>
  <c r="AJ244" i="1" s="1" a="1"/>
  <c r="AJ244" i="1" s="1"/>
  <c r="V228" i="1"/>
  <c r="AJ228" i="1" s="1" a="1"/>
  <c r="AJ228" i="1" s="1"/>
  <c r="V212" i="1"/>
  <c r="V124" i="1"/>
  <c r="V107" i="1"/>
  <c r="V89" i="1"/>
  <c r="AJ89" i="1" s="1" a="1"/>
  <c r="AJ89" i="1" s="1"/>
  <c r="V12" i="1"/>
  <c r="AB11" i="1" s="1"/>
  <c r="V261" i="1"/>
  <c r="V186" i="1"/>
  <c r="V160" i="1"/>
  <c r="AJ160" i="1" s="1" a="1"/>
  <c r="AJ160" i="1" s="1"/>
  <c r="V142" i="1"/>
  <c r="AJ142" i="1" s="1" a="1"/>
  <c r="AJ142" i="1" s="1"/>
  <c r="V84" i="1"/>
  <c r="V67" i="1"/>
  <c r="V50" i="1"/>
  <c r="V31" i="1"/>
  <c r="V241" i="1"/>
  <c r="V225" i="1"/>
  <c r="AJ225" i="1" s="1" a="1"/>
  <c r="AJ225" i="1" s="1"/>
  <c r="V209" i="1"/>
  <c r="AJ209" i="1" s="1" a="1"/>
  <c r="AJ209" i="1" s="1"/>
  <c r="V185" i="1"/>
  <c r="AJ185" i="1" s="1" a="1"/>
  <c r="AJ185" i="1" s="1"/>
  <c r="V159" i="1"/>
  <c r="V140" i="1"/>
  <c r="AJ140" i="1" s="1" a="1"/>
  <c r="AJ140" i="1" s="1"/>
  <c r="V120" i="1"/>
  <c r="V103" i="1"/>
  <c r="AJ103" i="1" s="1" a="1"/>
  <c r="AJ103" i="1" s="1"/>
  <c r="V83" i="1"/>
  <c r="AJ83" i="1" s="1" a="1"/>
  <c r="AJ83" i="1" s="1"/>
  <c r="V66" i="1"/>
  <c r="AJ66" i="1" s="1" a="1"/>
  <c r="AJ66" i="1" s="1"/>
  <c r="V49" i="1"/>
  <c r="AJ49" i="1" s="1" a="1"/>
  <c r="AJ49" i="1" s="1"/>
  <c r="V30" i="1"/>
  <c r="AJ30" i="1" s="1" a="1"/>
  <c r="AJ30" i="1" s="1"/>
  <c r="V8" i="1"/>
  <c r="V195" i="1"/>
  <c r="AJ195" i="1" s="1" a="1"/>
  <c r="AJ195" i="1" s="1"/>
  <c r="V196" i="1"/>
  <c r="V156" i="1"/>
  <c r="V138" i="1"/>
  <c r="AJ138" i="1" s="1" a="1"/>
  <c r="AJ138" i="1" s="1"/>
  <c r="V6" i="1"/>
  <c r="AJ6" i="1" s="1" a="1"/>
  <c r="AJ6" i="1" s="1"/>
  <c r="V197" i="1"/>
  <c r="V182" i="1"/>
  <c r="V155" i="1"/>
  <c r="AB154" i="1" s="1"/>
  <c r="V137" i="1"/>
  <c r="AJ137" i="1" s="1" a="1"/>
  <c r="AJ137" i="1" s="1"/>
  <c r="V79" i="1"/>
  <c r="AJ79" i="1" s="1" a="1"/>
  <c r="AJ79" i="1" s="1"/>
  <c r="V63" i="1"/>
  <c r="V46" i="1"/>
  <c r="AJ46" i="1" s="1" a="1"/>
  <c r="AJ46" i="1" s="1"/>
  <c r="V26" i="1"/>
  <c r="AJ26" i="1" s="1" a="1"/>
  <c r="AJ26" i="1" s="1"/>
  <c r="V245" i="1"/>
  <c r="AJ245" i="1" s="1" a="1"/>
  <c r="AJ245" i="1" s="1"/>
  <c r="V237" i="1"/>
  <c r="V221" i="1"/>
  <c r="AB220" i="1" s="1"/>
  <c r="V205" i="1"/>
  <c r="AJ205" i="1" s="1" a="1"/>
  <c r="AJ205" i="1" s="1"/>
  <c r="V181" i="1"/>
  <c r="AJ181" i="1" s="1" a="1"/>
  <c r="AJ181" i="1" s="1"/>
  <c r="V116" i="1"/>
  <c r="AJ116" i="1" s="1" a="1"/>
  <c r="AJ116" i="1" s="1"/>
  <c r="V99" i="1"/>
  <c r="AJ99" i="1" s="1" a="1"/>
  <c r="AJ99" i="1" s="1"/>
  <c r="V78" i="1"/>
  <c r="AJ78" i="1" s="1" a="1"/>
  <c r="AJ78" i="1" s="1"/>
  <c r="V62" i="1"/>
  <c r="AJ62" i="1" s="1" a="1"/>
  <c r="AJ62" i="1" s="1"/>
  <c r="V44" i="1"/>
  <c r="AJ44" i="1" s="1" a="1"/>
  <c r="AJ44" i="1" s="1"/>
  <c r="V24" i="1"/>
  <c r="AJ220" i="1" a="1"/>
  <c r="AJ220" i="1" s="1"/>
  <c r="AJ154" i="1" a="1"/>
  <c r="AJ154" i="1" s="1"/>
  <c r="AJ3" i="1" a="1"/>
  <c r="AJ3" i="1" s="1"/>
  <c r="AJ213" i="1" a="1"/>
  <c r="AJ213" i="1" s="1"/>
  <c r="AJ76" i="1" a="1"/>
  <c r="AJ76" i="1" s="1"/>
  <c r="AJ22" i="1" a="1"/>
  <c r="AJ22" i="1" s="1"/>
  <c r="AJ126" i="1" a="1"/>
  <c r="AJ126" i="1" s="1"/>
  <c r="AJ15" i="1" a="1"/>
  <c r="AJ15" i="1" s="1"/>
  <c r="AJ87" i="1" a="1"/>
  <c r="AJ87" i="1" s="1"/>
  <c r="AJ14" i="1" a="1"/>
  <c r="AJ14" i="1" s="1"/>
  <c r="AF386" i="1" l="1"/>
  <c r="AB27" i="1"/>
  <c r="AB91" i="1"/>
  <c r="AB89" i="1"/>
  <c r="AB99" i="1"/>
  <c r="AB23" i="1"/>
  <c r="AB39" i="1"/>
  <c r="AB20" i="1"/>
  <c r="AB79" i="1"/>
  <c r="AB26" i="1"/>
  <c r="AB238" i="1"/>
  <c r="AB218" i="1"/>
  <c r="AB7" i="1"/>
  <c r="AB83" i="1"/>
  <c r="AB234" i="1"/>
  <c r="AB60" i="1"/>
  <c r="AB6" i="1"/>
  <c r="AB240" i="1"/>
  <c r="AB30" i="1"/>
  <c r="AB290" i="1"/>
  <c r="AB155" i="1"/>
  <c r="AB70" i="1"/>
  <c r="AB49" i="1"/>
  <c r="AB122" i="1"/>
  <c r="AB66" i="1"/>
  <c r="AB113" i="1"/>
  <c r="AB51" i="1"/>
  <c r="AB230" i="1"/>
  <c r="AB148" i="1"/>
  <c r="AB118" i="1"/>
  <c r="AB62" i="1"/>
  <c r="AB202" i="1"/>
  <c r="AB223" i="1"/>
  <c r="AB225" i="1"/>
  <c r="P395" i="1"/>
  <c r="T395" i="1" s="1"/>
  <c r="P393" i="1"/>
  <c r="T393" i="1" s="1"/>
  <c r="Q394" i="1"/>
  <c r="U394" i="1" s="1"/>
  <c r="P391" i="1"/>
  <c r="T391" i="1" s="1"/>
  <c r="Q403" i="1"/>
  <c r="U403" i="1" s="1"/>
  <c r="Q404" i="1"/>
  <c r="U404" i="1" s="1"/>
  <c r="Q399" i="1"/>
  <c r="U399" i="1" s="1"/>
  <c r="Q405" i="1"/>
  <c r="U405" i="1" s="1"/>
  <c r="P404" i="1"/>
  <c r="T404" i="1" s="1"/>
  <c r="Q400" i="1"/>
  <c r="U400" i="1" s="1"/>
  <c r="Q406" i="1"/>
  <c r="U406" i="1" s="1"/>
  <c r="Q412" i="1"/>
  <c r="U412" i="1" s="1"/>
  <c r="P406" i="1"/>
  <c r="T406" i="1" s="1"/>
  <c r="Q410" i="1"/>
  <c r="U410" i="1" s="1"/>
  <c r="Q387" i="1"/>
  <c r="U387" i="1" s="1"/>
  <c r="P414" i="1"/>
  <c r="T414" i="1" s="1"/>
  <c r="P412" i="1"/>
  <c r="T412" i="1" s="1"/>
  <c r="P403" i="1"/>
  <c r="T403" i="1" s="1"/>
  <c r="P389" i="1"/>
  <c r="T389" i="1" s="1"/>
  <c r="Q415" i="1"/>
  <c r="U415" i="1" s="1"/>
  <c r="P397" i="1"/>
  <c r="T397" i="1" s="1"/>
  <c r="Q413" i="1"/>
  <c r="U413" i="1" s="1"/>
  <c r="Q392" i="1"/>
  <c r="U392" i="1" s="1"/>
  <c r="P409" i="1"/>
  <c r="T409" i="1" s="1"/>
  <c r="AG415" i="1"/>
  <c r="AB195" i="1"/>
  <c r="AB116" i="1"/>
  <c r="AB259" i="1"/>
  <c r="AB57" i="1"/>
  <c r="AG413" i="1"/>
  <c r="AG394" i="1"/>
  <c r="Q396" i="1"/>
  <c r="U396" i="1" s="1"/>
  <c r="P411" i="1"/>
  <c r="T411" i="1" s="1"/>
  <c r="AG410" i="1"/>
  <c r="AG401" i="1"/>
  <c r="AG386" i="1"/>
  <c r="AG411" i="1"/>
  <c r="P392" i="1"/>
  <c r="T392" i="1" s="1"/>
  <c r="P398" i="1"/>
  <c r="T398" i="1" s="1"/>
  <c r="AG412" i="1"/>
  <c r="AB236" i="1"/>
  <c r="AB221" i="1"/>
  <c r="AG403" i="1"/>
  <c r="AG404" i="1"/>
  <c r="P413" i="1"/>
  <c r="T413" i="1" s="1"/>
  <c r="AG395" i="1"/>
  <c r="P401" i="1"/>
  <c r="T401" i="1" s="1"/>
  <c r="AB130" i="1"/>
  <c r="AB231" i="1"/>
  <c r="AB55" i="1"/>
  <c r="AB149" i="1"/>
  <c r="AB198" i="1"/>
  <c r="AB94" i="1"/>
  <c r="AB228" i="1"/>
  <c r="Q389" i="1"/>
  <c r="U389" i="1" s="1"/>
  <c r="Q409" i="1"/>
  <c r="U409" i="1" s="1"/>
  <c r="V409" i="1" s="1"/>
  <c r="Q408" i="1"/>
  <c r="U408" i="1" s="1"/>
  <c r="AB250" i="1"/>
  <c r="AB142" i="1"/>
  <c r="Q390" i="1"/>
  <c r="U390" i="1" s="1"/>
  <c r="Q391" i="1"/>
  <c r="U391" i="1" s="1"/>
  <c r="P407" i="1"/>
  <c r="T407" i="1" s="1"/>
  <c r="Q402" i="1"/>
  <c r="U402" i="1" s="1"/>
  <c r="P410" i="1"/>
  <c r="T410" i="1" s="1"/>
  <c r="P415" i="1"/>
  <c r="T415" i="1" s="1"/>
  <c r="AG388" i="1"/>
  <c r="AG387" i="1"/>
  <c r="D23" i="7"/>
  <c r="D24" i="7"/>
  <c r="D25" i="7"/>
  <c r="D26" i="7"/>
  <c r="D27" i="7"/>
  <c r="D28" i="7"/>
  <c r="D29" i="7"/>
  <c r="D30" i="7"/>
  <c r="D31" i="7"/>
  <c r="D32" i="7"/>
  <c r="D33" i="7"/>
  <c r="D18" i="7"/>
  <c r="D34" i="7"/>
  <c r="D21" i="7"/>
  <c r="D19" i="7"/>
  <c r="D35" i="7"/>
  <c r="D20" i="7"/>
  <c r="D22" i="7"/>
  <c r="P394" i="1"/>
  <c r="T394" i="1" s="1"/>
  <c r="V394" i="1" s="1"/>
  <c r="Q411" i="1"/>
  <c r="U411" i="1" s="1"/>
  <c r="AB152" i="1"/>
  <c r="AB260" i="1"/>
  <c r="AG390" i="1"/>
  <c r="P388" i="1"/>
  <c r="T388" i="1" s="1"/>
  <c r="AG414" i="1"/>
  <c r="Q395" i="1"/>
  <c r="U395" i="1" s="1"/>
  <c r="V395" i="1" s="1"/>
  <c r="P399" i="1"/>
  <c r="T399" i="1" s="1"/>
  <c r="V399" i="1" s="1"/>
  <c r="AG408" i="1"/>
  <c r="AB216" i="1"/>
  <c r="P390" i="1"/>
  <c r="T390" i="1" s="1"/>
  <c r="AG392" i="1"/>
  <c r="AG398" i="1"/>
  <c r="AG389" i="1"/>
  <c r="AG405" i="1"/>
  <c r="AB201" i="1"/>
  <c r="AB119" i="1"/>
  <c r="AB103" i="1"/>
  <c r="AG397" i="1"/>
  <c r="AB42" i="1"/>
  <c r="AG391" i="1"/>
  <c r="P387" i="1"/>
  <c r="T387" i="1" s="1"/>
  <c r="P400" i="1"/>
  <c r="T400" i="1" s="1"/>
  <c r="AG393" i="1"/>
  <c r="Q401" i="1"/>
  <c r="U401" i="1" s="1"/>
  <c r="P405" i="1"/>
  <c r="T405" i="1" s="1"/>
  <c r="V405" i="1" s="1"/>
  <c r="AG406" i="1"/>
  <c r="B23" i="7"/>
  <c r="B24" i="7"/>
  <c r="B18" i="7"/>
  <c r="B25" i="7"/>
  <c r="E25" i="7" s="1"/>
  <c r="B26" i="7"/>
  <c r="B27" i="7"/>
  <c r="B28" i="7"/>
  <c r="B29" i="7"/>
  <c r="B30" i="7"/>
  <c r="B31" i="7"/>
  <c r="B32" i="7"/>
  <c r="B19" i="7"/>
  <c r="B33" i="7"/>
  <c r="B21" i="7"/>
  <c r="B34" i="7"/>
  <c r="E34" i="7" s="1"/>
  <c r="B35" i="7"/>
  <c r="B20" i="7"/>
  <c r="B22" i="7"/>
  <c r="AG400" i="1"/>
  <c r="AG402" i="1"/>
  <c r="AB74" i="1"/>
  <c r="AB181" i="1"/>
  <c r="AB106" i="1"/>
  <c r="AB189" i="1"/>
  <c r="AB114" i="1"/>
  <c r="AB205" i="1"/>
  <c r="AB226" i="1"/>
  <c r="Q407" i="1"/>
  <c r="U407" i="1" s="1"/>
  <c r="AG407" i="1"/>
  <c r="P396" i="1"/>
  <c r="T396" i="1" s="1"/>
  <c r="V396" i="1" s="1"/>
  <c r="AG409" i="1"/>
  <c r="AG399" i="1"/>
  <c r="AB97" i="1"/>
  <c r="AB196" i="1"/>
  <c r="AB123" i="1"/>
  <c r="AB80" i="1"/>
  <c r="AB144" i="1"/>
  <c r="AB145" i="1"/>
  <c r="AB242" i="1"/>
  <c r="Q388" i="1"/>
  <c r="U388" i="1" s="1"/>
  <c r="P402" i="1"/>
  <c r="T402" i="1" s="1"/>
  <c r="Q386" i="1"/>
  <c r="U386" i="1" s="1"/>
  <c r="Q393" i="1"/>
  <c r="U393" i="1" s="1"/>
  <c r="V393" i="1" s="1"/>
  <c r="Q414" i="1"/>
  <c r="U414" i="1" s="1"/>
  <c r="AB211" i="1"/>
  <c r="AB245" i="1"/>
  <c r="AB247" i="1"/>
  <c r="AB191" i="1"/>
  <c r="P386" i="1"/>
  <c r="T386" i="1" s="1"/>
  <c r="Q398" i="1"/>
  <c r="U398" i="1" s="1"/>
  <c r="Q397" i="1"/>
  <c r="U397" i="1" s="1"/>
  <c r="V397" i="1" s="1"/>
  <c r="AG396" i="1"/>
  <c r="P408" i="1"/>
  <c r="T408" i="1" s="1"/>
  <c r="AB199" i="1"/>
  <c r="AB127" i="1"/>
  <c r="AB212" i="1"/>
  <c r="AB75" i="1"/>
  <c r="AB53" i="1"/>
  <c r="AB72" i="1"/>
  <c r="AB64" i="1"/>
  <c r="AB111" i="1"/>
  <c r="AB254" i="1"/>
  <c r="AB133" i="1"/>
  <c r="AB158" i="1"/>
  <c r="AB47" i="1"/>
  <c r="AB86" i="1"/>
  <c r="AB108" i="1"/>
  <c r="AB233" i="1"/>
  <c r="AB215" i="1"/>
  <c r="AB44" i="1"/>
  <c r="AD392" i="1"/>
  <c r="AE392" i="1"/>
  <c r="AE393" i="1"/>
  <c r="AD393" i="1"/>
  <c r="AD396" i="1"/>
  <c r="AE396" i="1"/>
  <c r="AD399" i="1"/>
  <c r="AE399" i="1"/>
  <c r="AD394" i="1"/>
  <c r="AE394" i="1"/>
  <c r="AD395" i="1"/>
  <c r="AE395" i="1"/>
  <c r="AE400" i="1"/>
  <c r="AD400" i="1"/>
  <c r="AE398" i="1"/>
  <c r="AD398" i="1"/>
  <c r="AE397" i="1"/>
  <c r="AD397" i="1"/>
  <c r="AJ179" i="1" a="1"/>
  <c r="AJ179" i="1" s="1"/>
  <c r="AD369" i="1"/>
  <c r="F47" i="7"/>
  <c r="AJ178" i="1" a="1"/>
  <c r="AJ178" i="1" s="1"/>
  <c r="AJ39" i="1" a="1"/>
  <c r="AJ39" i="1" s="1"/>
  <c r="AJ38" i="1" a="1"/>
  <c r="AJ38" i="1" s="1"/>
  <c r="AJ186" i="1" a="1"/>
  <c r="AJ186" i="1" s="1"/>
  <c r="AD414" i="1"/>
  <c r="AE414" i="1"/>
  <c r="AD415" i="1"/>
  <c r="AE415" i="1"/>
  <c r="AD413" i="1"/>
  <c r="AE413" i="1"/>
  <c r="AD404" i="1"/>
  <c r="AE404" i="1"/>
  <c r="AD406" i="1"/>
  <c r="AE406" i="1"/>
  <c r="AD403" i="1"/>
  <c r="AE403" i="1"/>
  <c r="AD387" i="1"/>
  <c r="AE387" i="1"/>
  <c r="AE388" i="1"/>
  <c r="AD388" i="1"/>
  <c r="AE405" i="1"/>
  <c r="AD405" i="1"/>
  <c r="AE390" i="1"/>
  <c r="AD390" i="1"/>
  <c r="AD401" i="1"/>
  <c r="AE401" i="1"/>
  <c r="AE410" i="1"/>
  <c r="AD410" i="1"/>
  <c r="AE391" i="1"/>
  <c r="AD391" i="1"/>
  <c r="AE408" i="1"/>
  <c r="AD408" i="1"/>
  <c r="AD389" i="1"/>
  <c r="AE389" i="1"/>
  <c r="AD412" i="1"/>
  <c r="AE412" i="1"/>
  <c r="AD402" i="1"/>
  <c r="AE402" i="1"/>
  <c r="AD411" i="1"/>
  <c r="AE411" i="1"/>
  <c r="AE409" i="1"/>
  <c r="AD409" i="1"/>
  <c r="AD386" i="1"/>
  <c r="AE386" i="1"/>
  <c r="AE407" i="1"/>
  <c r="AD407" i="1"/>
  <c r="AJ102" i="1" a="1"/>
  <c r="AJ102" i="1" s="1"/>
  <c r="AJ237" i="1" a="1"/>
  <c r="AJ237" i="1" s="1"/>
  <c r="AJ8" i="1" a="1"/>
  <c r="AJ8" i="1" s="1"/>
  <c r="AJ84" i="1" a="1"/>
  <c r="AJ84" i="1" s="1"/>
  <c r="AJ131" i="1" a="1"/>
  <c r="AJ131" i="1" s="1"/>
  <c r="AJ117" i="1" a="1"/>
  <c r="AJ117" i="1" s="1"/>
  <c r="AJ92" i="1" a="1"/>
  <c r="AJ92" i="1" s="1"/>
  <c r="AJ203" i="1" a="1"/>
  <c r="AJ203" i="1" s="1"/>
  <c r="AJ119" i="1" a="1"/>
  <c r="AJ119" i="1" s="1"/>
  <c r="AJ231" i="1" a="1"/>
  <c r="AJ231" i="1" s="1"/>
  <c r="AJ248" i="1" a="1"/>
  <c r="AJ248" i="1" s="1"/>
  <c r="AJ146" i="1" a="1"/>
  <c r="AJ146" i="1" s="1"/>
  <c r="AJ227" i="1" a="1"/>
  <c r="AJ227" i="1" s="1"/>
  <c r="AJ196" i="1" a="1"/>
  <c r="AJ196" i="1" s="1"/>
  <c r="AJ226" i="1" a="1"/>
  <c r="AJ226" i="1" s="1"/>
  <c r="AJ56" i="1" a="1"/>
  <c r="AJ56" i="1" s="1"/>
  <c r="AJ150" i="1" a="1"/>
  <c r="AJ150" i="1" s="1"/>
  <c r="AJ27" i="1" a="1"/>
  <c r="AJ27" i="1" s="1"/>
  <c r="AJ110" i="1" a="1"/>
  <c r="AJ110" i="1" s="1"/>
  <c r="AJ192" i="1" a="1"/>
  <c r="AJ192" i="1" s="1"/>
  <c r="AJ243" i="1" a="1"/>
  <c r="AJ243" i="1" s="1"/>
  <c r="AJ224" i="1" a="1"/>
  <c r="AJ224" i="1" s="1"/>
  <c r="AJ260" i="1" a="1"/>
  <c r="AJ260" i="1" s="1"/>
  <c r="AJ58" i="1" a="1"/>
  <c r="AJ58" i="1" s="1"/>
  <c r="AJ67" i="1" a="1"/>
  <c r="AJ67" i="1" s="1"/>
  <c r="AJ217" i="1" a="1"/>
  <c r="AJ217" i="1" s="1"/>
  <c r="AJ232" i="1" a="1"/>
  <c r="AJ232" i="1" s="1"/>
  <c r="AJ222" i="1" a="1"/>
  <c r="AJ222" i="1" s="1"/>
  <c r="AJ16" i="1" a="1"/>
  <c r="AJ16" i="1" s="1"/>
  <c r="D47" i="7" s="1"/>
  <c r="AJ90" i="1" a="1"/>
  <c r="AJ90" i="1" s="1"/>
  <c r="AJ75" i="1" a="1"/>
  <c r="AJ75" i="1" s="1"/>
  <c r="AJ114" i="1" a="1"/>
  <c r="AJ114" i="1" s="1"/>
  <c r="AJ221" i="1" a="1"/>
  <c r="AJ221" i="1" s="1"/>
  <c r="AJ127" i="1" a="1"/>
  <c r="AJ127" i="1" s="1"/>
  <c r="AJ261" i="1" a="1"/>
  <c r="AJ261" i="1" s="1"/>
  <c r="AJ80" i="1" a="1"/>
  <c r="AJ80" i="1" s="1"/>
  <c r="AJ11" i="1" a="1"/>
  <c r="AJ11" i="1" s="1"/>
  <c r="AJ199" i="1" a="1"/>
  <c r="AJ199" i="1" s="1"/>
  <c r="AJ19" i="1" a="1"/>
  <c r="AJ19" i="1" s="1"/>
  <c r="AJ63" i="1" a="1"/>
  <c r="AJ63" i="1" s="1"/>
  <c r="AJ251" i="1" a="1"/>
  <c r="AJ251" i="1" s="1"/>
  <c r="AJ95" i="1" a="1"/>
  <c r="AJ95" i="1" s="1"/>
  <c r="AJ229" i="1" a="1"/>
  <c r="AJ229" i="1" s="1"/>
  <c r="AJ120" i="1" a="1"/>
  <c r="AJ120" i="1" s="1"/>
  <c r="AJ149" i="1" a="1"/>
  <c r="AJ149" i="1" s="1"/>
  <c r="AJ123" i="1" a="1"/>
  <c r="AJ123" i="1" s="1"/>
  <c r="AJ50" i="1" a="1"/>
  <c r="AJ50" i="1" s="1"/>
  <c r="AJ193" i="1" a="1"/>
  <c r="AJ193" i="1" s="1"/>
  <c r="AJ24" i="1" a="1"/>
  <c r="AJ24" i="1" s="1"/>
  <c r="AJ12" i="1" a="1"/>
  <c r="AJ12" i="1" s="1"/>
  <c r="AJ239" i="1" a="1"/>
  <c r="AJ239" i="1" s="1"/>
  <c r="AJ21" i="1" a="1"/>
  <c r="AJ21" i="1" s="1"/>
  <c r="AJ35" i="1" a="1"/>
  <c r="AJ35" i="1" s="1"/>
  <c r="AJ153" i="1" a="1"/>
  <c r="AJ153" i="1" s="1"/>
  <c r="AJ202" i="1" a="1"/>
  <c r="AJ202" i="1" s="1"/>
  <c r="AJ54" i="1" a="1"/>
  <c r="AJ54" i="1" s="1"/>
  <c r="AJ143" i="1" a="1"/>
  <c r="AJ143" i="1" s="1"/>
  <c r="AJ109" i="1" a="1"/>
  <c r="AJ109" i="1" s="1"/>
  <c r="AJ182" i="1" a="1"/>
  <c r="AJ182" i="1" s="1"/>
  <c r="AJ107" i="1" a="1"/>
  <c r="AJ107" i="1" s="1"/>
  <c r="AJ7" i="1" a="1"/>
  <c r="AJ7" i="1" s="1"/>
  <c r="AJ33" i="1" a="1"/>
  <c r="AJ33" i="1" s="1"/>
  <c r="AJ219" i="1" a="1"/>
  <c r="AJ219" i="1" s="1"/>
  <c r="AJ71" i="1" a="1"/>
  <c r="AJ71" i="1" s="1"/>
  <c r="AJ292" i="1" a="1"/>
  <c r="AJ292" i="1" s="1"/>
  <c r="AJ100" i="1" a="1"/>
  <c r="AJ100" i="1" s="1"/>
  <c r="AJ155" i="1" a="1"/>
  <c r="AJ155" i="1" s="1"/>
  <c r="AJ197" i="1" a="1"/>
  <c r="AJ197" i="1" s="1"/>
  <c r="AJ124" i="1" a="1"/>
  <c r="AJ124" i="1" s="1"/>
  <c r="AJ28" i="1" a="1"/>
  <c r="AJ28" i="1" s="1"/>
  <c r="AJ52" i="1" a="1"/>
  <c r="AJ52" i="1" s="1"/>
  <c r="AJ235" i="1" a="1"/>
  <c r="AJ235" i="1" s="1"/>
  <c r="AJ249" i="1" a="1"/>
  <c r="AJ249" i="1" s="1"/>
  <c r="AJ159" i="1" a="1"/>
  <c r="AJ159" i="1" s="1"/>
  <c r="AJ212" i="1" a="1"/>
  <c r="AJ212" i="1" s="1"/>
  <c r="AJ246" i="1" a="1"/>
  <c r="AJ246" i="1" s="1"/>
  <c r="AJ234" i="1" a="1"/>
  <c r="AJ234" i="1" s="1"/>
  <c r="AJ48" i="1" a="1"/>
  <c r="AJ48" i="1" s="1"/>
  <c r="AJ69" i="1" a="1"/>
  <c r="AJ69" i="1" s="1"/>
  <c r="AJ98" i="1" a="1"/>
  <c r="AJ98" i="1" s="1"/>
  <c r="AJ43" i="1" a="1"/>
  <c r="AJ43" i="1" s="1"/>
  <c r="AJ134" i="1" a="1"/>
  <c r="AJ134" i="1" s="1"/>
  <c r="AJ241" i="1" a="1"/>
  <c r="AJ241" i="1" s="1"/>
  <c r="AJ65" i="1" a="1"/>
  <c r="AJ65" i="1" s="1"/>
  <c r="AJ190" i="1" a="1"/>
  <c r="AJ190" i="1" s="1"/>
  <c r="AJ115" i="1" a="1"/>
  <c r="AJ115" i="1" s="1"/>
  <c r="AJ61" i="1" a="1"/>
  <c r="AJ61" i="1" s="1"/>
  <c r="AJ128" i="1" a="1"/>
  <c r="AJ128" i="1" s="1"/>
  <c r="AJ104" i="1" a="1"/>
  <c r="AJ104" i="1" s="1"/>
  <c r="AJ4" i="1" a="1"/>
  <c r="AJ4" i="1" s="1"/>
  <c r="AJ156" i="1" a="1"/>
  <c r="AJ156" i="1" s="1"/>
  <c r="AJ31" i="1" a="1"/>
  <c r="AJ31" i="1" s="1"/>
  <c r="AJ40" i="1" a="1"/>
  <c r="AJ40" i="1" s="1"/>
  <c r="AJ81" i="1" a="1"/>
  <c r="AJ81" i="1" s="1"/>
  <c r="AJ145" i="1" a="1"/>
  <c r="AJ145" i="1" s="1"/>
  <c r="AJ206" i="1" a="1"/>
  <c r="AJ206" i="1" s="1"/>
  <c r="V172" i="1"/>
  <c r="AJ200" i="1" a="1"/>
  <c r="AJ200" i="1" s="1"/>
  <c r="AJ2" i="1" a="1"/>
  <c r="AJ2" i="1" s="1"/>
  <c r="AJ23" i="1" a="1"/>
  <c r="AJ23" i="1" s="1"/>
  <c r="V391" i="1" l="1"/>
  <c r="E24" i="7"/>
  <c r="V408" i="1"/>
  <c r="V389" i="1"/>
  <c r="E20" i="7"/>
  <c r="V400" i="1"/>
  <c r="E32" i="7"/>
  <c r="V415" i="1"/>
  <c r="V402" i="1"/>
  <c r="E26" i="7"/>
  <c r="E28" i="7"/>
  <c r="E18" i="7"/>
  <c r="E22" i="7"/>
  <c r="E29" i="7"/>
  <c r="E35" i="7"/>
  <c r="E27" i="7"/>
  <c r="V404" i="1"/>
  <c r="V387" i="1"/>
  <c r="V390" i="1"/>
  <c r="V412" i="1"/>
  <c r="V403" i="1"/>
  <c r="E30" i="7"/>
  <c r="V414" i="1"/>
  <c r="V406" i="1"/>
  <c r="E31" i="7"/>
  <c r="E33" i="7"/>
  <c r="V410" i="1"/>
  <c r="E19" i="7"/>
  <c r="E21" i="7"/>
  <c r="V413" i="1"/>
  <c r="E23" i="7"/>
  <c r="V392" i="1"/>
  <c r="V411" i="1"/>
  <c r="V388" i="1"/>
  <c r="V407" i="1"/>
  <c r="V398" i="1"/>
  <c r="V386" i="1"/>
  <c r="V401" i="1"/>
  <c r="C9" i="7"/>
  <c r="C14" i="7"/>
  <c r="C8" i="7"/>
  <c r="C3" i="7"/>
  <c r="C10" i="7"/>
  <c r="C7" i="7"/>
  <c r="C4" i="7"/>
  <c r="C11" i="7"/>
  <c r="C13" i="7"/>
  <c r="C12" i="7"/>
  <c r="C5" i="7"/>
  <c r="C6" i="7"/>
  <c r="E54" i="7"/>
  <c r="D14" i="7"/>
  <c r="E14" i="7"/>
  <c r="F55" i="7"/>
  <c r="E52" i="7"/>
  <c r="E51" i="7"/>
  <c r="E53" i="7"/>
  <c r="F50" i="7"/>
  <c r="F49" i="7"/>
  <c r="F45" i="7"/>
  <c r="F54" i="7"/>
  <c r="F44" i="7"/>
  <c r="E55" i="7"/>
  <c r="F43" i="7"/>
  <c r="F51" i="7"/>
  <c r="F52" i="7"/>
  <c r="F39" i="7"/>
  <c r="E49" i="7"/>
  <c r="F48" i="7"/>
  <c r="F40" i="7"/>
  <c r="F46" i="7"/>
  <c r="F41" i="7"/>
  <c r="F53" i="7"/>
  <c r="E50" i="7"/>
  <c r="F42" i="7"/>
  <c r="D55" i="7"/>
  <c r="E46" i="7"/>
  <c r="E48" i="7"/>
  <c r="G47" i="7"/>
  <c r="D10" i="7"/>
  <c r="E44" i="7"/>
  <c r="D8" i="7"/>
  <c r="D39" i="7"/>
  <c r="B46" i="7"/>
  <c r="E45" i="7"/>
  <c r="G46" i="7"/>
  <c r="D51" i="7"/>
  <c r="D12" i="7"/>
  <c r="D53" i="7"/>
  <c r="G53" i="7"/>
  <c r="D9" i="7"/>
  <c r="D3" i="7"/>
  <c r="D43" i="7"/>
  <c r="B53" i="7"/>
  <c r="D50" i="7"/>
  <c r="D46" i="7"/>
  <c r="D11" i="7"/>
  <c r="G41" i="7"/>
  <c r="G49" i="7"/>
  <c r="D4" i="7"/>
  <c r="E13" i="7"/>
  <c r="B39" i="7"/>
  <c r="G54" i="7"/>
  <c r="D41" i="7"/>
  <c r="B49" i="7"/>
  <c r="E47" i="7"/>
  <c r="B52" i="7"/>
  <c r="B47" i="7"/>
  <c r="B48" i="7"/>
  <c r="B41" i="7"/>
  <c r="D54" i="7"/>
  <c r="E9" i="7"/>
  <c r="E43" i="7"/>
  <c r="D48" i="7"/>
  <c r="G43" i="7"/>
  <c r="B51" i="7"/>
  <c r="G48" i="7"/>
  <c r="B50" i="7"/>
  <c r="E5" i="7"/>
  <c r="G51" i="7"/>
  <c r="G50" i="7"/>
  <c r="G55" i="7"/>
  <c r="D5" i="7"/>
  <c r="E10" i="7"/>
  <c r="E3" i="7"/>
  <c r="B43" i="7"/>
  <c r="B55" i="7"/>
  <c r="E11" i="7"/>
  <c r="E4" i="7"/>
  <c r="D49" i="7"/>
  <c r="B45" i="7"/>
  <c r="B44" i="7"/>
  <c r="D40" i="7"/>
  <c r="D52" i="7"/>
  <c r="G45" i="7"/>
  <c r="G39" i="7"/>
  <c r="G40" i="7"/>
  <c r="D44" i="7"/>
  <c r="B40" i="7"/>
  <c r="G52" i="7"/>
  <c r="E12" i="7"/>
  <c r="G44" i="7"/>
  <c r="E41" i="7"/>
  <c r="E6" i="7"/>
  <c r="D6" i="7"/>
  <c r="D45" i="7"/>
  <c r="E39" i="7"/>
  <c r="E40" i="7"/>
  <c r="D13" i="7"/>
  <c r="B54" i="7"/>
  <c r="E8" i="7"/>
  <c r="B42" i="7"/>
  <c r="E42" i="7"/>
  <c r="G42" i="7"/>
  <c r="D42" i="7"/>
  <c r="E7" i="7"/>
  <c r="D7" i="7"/>
  <c r="AJ172" i="1" a="1"/>
  <c r="AJ172" i="1" s="1"/>
  <c r="E2" i="7" s="1"/>
  <c r="G263" i="6" l="1" a="1"/>
  <c r="G263" i="6" s="1"/>
  <c r="H263" i="6" a="1"/>
  <c r="H263" i="6" s="1"/>
  <c r="I263" i="6" a="1"/>
  <c r="I263" i="6" s="1"/>
  <c r="G52" i="6" a="1"/>
  <c r="G52" i="6" s="1"/>
  <c r="H52" i="6" a="1"/>
  <c r="H52" i="6" s="1"/>
  <c r="I52" i="6" a="1"/>
  <c r="I52" i="6" s="1"/>
  <c r="G233" i="6" a="1"/>
  <c r="G233" i="6" s="1"/>
  <c r="G257" i="6" a="1"/>
  <c r="G257" i="6" s="1"/>
  <c r="G43" i="6" a="1"/>
  <c r="G43" i="6" s="1"/>
  <c r="I118" i="6" a="1"/>
  <c r="I118" i="6" s="1"/>
  <c r="I59" i="6" a="1"/>
  <c r="I59" i="6" s="1"/>
  <c r="G42" i="6" a="1"/>
  <c r="G42" i="6" s="1"/>
  <c r="G250" i="6" a="1"/>
  <c r="G250" i="6" s="1"/>
  <c r="I62" i="6" a="1"/>
  <c r="I62" i="6" s="1"/>
  <c r="H56" i="6" a="1"/>
  <c r="H56" i="6" s="1"/>
  <c r="G137" i="6" a="1"/>
  <c r="G137" i="6" s="1"/>
  <c r="H110" i="6" a="1"/>
  <c r="H110" i="6" s="1"/>
  <c r="I171" i="6" a="1"/>
  <c r="I171" i="6" s="1"/>
  <c r="I39" i="6" a="1"/>
  <c r="I39" i="6" s="1"/>
  <c r="G126" i="6" a="1"/>
  <c r="G126" i="6" s="1"/>
  <c r="G32" i="6" a="1"/>
  <c r="G32" i="6" s="1"/>
  <c r="G210" i="6" a="1"/>
  <c r="G210" i="6" s="1"/>
  <c r="G28" i="6" a="1"/>
  <c r="G28" i="6" s="1"/>
  <c r="I240" i="6" a="1"/>
  <c r="I240" i="6" s="1"/>
  <c r="I249" i="6" a="1"/>
  <c r="I249" i="6" s="1"/>
  <c r="H18" i="6" a="1"/>
  <c r="H18" i="6" s="1"/>
  <c r="I165" i="6" a="1"/>
  <c r="I165" i="6" s="1"/>
  <c r="H257" i="6" a="1"/>
  <c r="H257" i="6" s="1"/>
  <c r="G205" i="6" a="1"/>
  <c r="G205" i="6" s="1"/>
  <c r="G38" i="6" a="1"/>
  <c r="G38" i="6" s="1"/>
  <c r="G204" i="6" a="1"/>
  <c r="G204" i="6" s="1"/>
  <c r="I196" i="6" a="1"/>
  <c r="I196" i="6" s="1"/>
  <c r="G21" i="6" a="1"/>
  <c r="G21" i="6" s="1"/>
  <c r="H7" i="6" a="1"/>
  <c r="H7" i="6" s="1"/>
  <c r="G70" i="6" a="1"/>
  <c r="G70" i="6" s="1"/>
  <c r="I128" i="6" a="1"/>
  <c r="I128" i="6" s="1"/>
  <c r="H177" i="6" a="1"/>
  <c r="H177" i="6" s="1"/>
  <c r="I136" i="6" a="1"/>
  <c r="I136" i="6" s="1"/>
  <c r="G5" i="6" a="1"/>
  <c r="G5" i="6" s="1"/>
  <c r="G246" i="6" a="1"/>
  <c r="G246" i="6" s="1"/>
  <c r="G224" i="6" a="1"/>
  <c r="G224" i="6" s="1"/>
  <c r="H205" i="6" a="1"/>
  <c r="H205" i="6" s="1"/>
  <c r="H258" i="6" a="1"/>
  <c r="H258" i="6" s="1"/>
  <c r="I204" i="6" a="1"/>
  <c r="I204" i="6" s="1"/>
  <c r="H171" i="6" a="1"/>
  <c r="H171" i="6" s="1"/>
  <c r="I89" i="6" a="1"/>
  <c r="I89" i="6" s="1"/>
  <c r="I211" i="6" a="1"/>
  <c r="I211" i="6" s="1"/>
  <c r="I65" i="6" a="1"/>
  <c r="I65" i="6" s="1"/>
  <c r="I229" i="6" a="1"/>
  <c r="I229" i="6" s="1"/>
  <c r="I2" i="6" a="1"/>
  <c r="I2" i="6" s="1"/>
  <c r="I167" i="6" a="1"/>
  <c r="I167" i="6" s="1"/>
  <c r="H115" i="6" a="1"/>
  <c r="H115" i="6" s="1"/>
  <c r="I115" i="6" a="1"/>
  <c r="I115" i="6" s="1"/>
  <c r="H243" i="6" a="1"/>
  <c r="H243" i="6" s="1"/>
  <c r="I15" i="6" a="1"/>
  <c r="I15" i="6" s="1"/>
  <c r="H154" i="6" a="1"/>
  <c r="H154" i="6" s="1"/>
  <c r="G153" i="6" a="1"/>
  <c r="G153" i="6" s="1"/>
  <c r="I94" i="6" a="1"/>
  <c r="I94" i="6" s="1"/>
  <c r="G148" i="6" a="1"/>
  <c r="G148" i="6" s="1"/>
  <c r="G245" i="6" a="1"/>
  <c r="G245" i="6" s="1"/>
  <c r="H255" i="6" a="1"/>
  <c r="H255" i="6" s="1"/>
  <c r="H215" i="6" a="1"/>
  <c r="H215" i="6" s="1"/>
  <c r="G71" i="6" a="1"/>
  <c r="G71" i="6" s="1"/>
  <c r="G58" i="6" a="1"/>
  <c r="G58" i="6" s="1"/>
  <c r="I174" i="6" a="1"/>
  <c r="I174" i="6" s="1"/>
  <c r="I253" i="6" a="1"/>
  <c r="I253" i="6" s="1"/>
  <c r="I9" i="6" a="1"/>
  <c r="I9" i="6" s="1"/>
  <c r="I44" i="6" a="1"/>
  <c r="I44" i="6" s="1"/>
  <c r="I110" i="6" a="1"/>
  <c r="I110" i="6" s="1"/>
  <c r="I41" i="6" a="1"/>
  <c r="I41" i="6" s="1"/>
  <c r="I18" i="6" a="1"/>
  <c r="I18" i="6" s="1"/>
  <c r="G198" i="6" a="1"/>
  <c r="G198" i="6" s="1"/>
  <c r="I175" i="6" a="1"/>
  <c r="I175" i="6" s="1"/>
  <c r="H121" i="6" a="1"/>
  <c r="H121" i="6" s="1"/>
  <c r="H75" i="6" a="1"/>
  <c r="H75" i="6" s="1"/>
  <c r="I200" i="6" a="1"/>
  <c r="I200" i="6" s="1"/>
  <c r="G109" i="6" a="1"/>
  <c r="G109" i="6" s="1"/>
  <c r="H202" i="6" a="1"/>
  <c r="H202" i="6" s="1"/>
  <c r="I40" i="6" a="1"/>
  <c r="I40" i="6" s="1"/>
  <c r="G91" i="6" a="1"/>
  <c r="G91" i="6" s="1"/>
  <c r="G189" i="6" a="1"/>
  <c r="G189" i="6" s="1"/>
  <c r="I86" i="6" a="1"/>
  <c r="I86" i="6" s="1"/>
  <c r="I258" i="6" a="1"/>
  <c r="I258" i="6" s="1"/>
  <c r="H161" i="6" a="1"/>
  <c r="H161" i="6" s="1"/>
  <c r="G259" i="6" a="1"/>
  <c r="G259" i="6" s="1"/>
  <c r="H88" i="6" a="1"/>
  <c r="H88" i="6" s="1"/>
  <c r="H79" i="6" a="1"/>
  <c r="H79" i="6" s="1"/>
  <c r="I10" i="6" a="1"/>
  <c r="I10" i="6" s="1"/>
  <c r="G230" i="6" a="1"/>
  <c r="G230" i="6" s="1"/>
  <c r="H64" i="6" a="1"/>
  <c r="H64" i="6" s="1"/>
  <c r="H191" i="6" a="1"/>
  <c r="H191" i="6" s="1"/>
  <c r="I252" i="6" a="1"/>
  <c r="I252" i="6" s="1"/>
  <c r="I192" i="6" a="1"/>
  <c r="I192" i="6" s="1"/>
  <c r="I144" i="6" a="1"/>
  <c r="I144" i="6" s="1"/>
  <c r="I161" i="6" a="1"/>
  <c r="I161" i="6" s="1"/>
  <c r="G123" i="6" a="1"/>
  <c r="G123" i="6" s="1"/>
  <c r="G243" i="6" a="1"/>
  <c r="G243" i="6" s="1"/>
  <c r="G175" i="6" a="1"/>
  <c r="G175" i="6" s="1"/>
  <c r="G92" i="6" a="1"/>
  <c r="G92" i="6" s="1"/>
  <c r="I27" i="6" a="1"/>
  <c r="I27" i="6" s="1"/>
  <c r="G145" i="6" a="1"/>
  <c r="G145" i="6" s="1"/>
  <c r="G129" i="6" a="1"/>
  <c r="G129" i="6" s="1"/>
  <c r="H8" i="6" a="1"/>
  <c r="H8" i="6" s="1"/>
  <c r="I143" i="6" a="1"/>
  <c r="I143" i="6" s="1"/>
  <c r="I202" i="6" a="1"/>
  <c r="I202" i="6" s="1"/>
  <c r="I242" i="6" a="1"/>
  <c r="I242" i="6" s="1"/>
  <c r="I184" i="6" a="1"/>
  <c r="I184" i="6" s="1"/>
  <c r="H232" i="6" a="1"/>
  <c r="H232" i="6" s="1"/>
  <c r="I93" i="6" a="1"/>
  <c r="I93" i="6" s="1"/>
  <c r="G125" i="6" a="1"/>
  <c r="G125" i="6" s="1"/>
  <c r="G162" i="6" a="1"/>
  <c r="G162" i="6" s="1"/>
  <c r="H31" i="6" a="1"/>
  <c r="H31" i="6" s="1"/>
  <c r="I5" i="6" a="1"/>
  <c r="I5" i="6" s="1"/>
  <c r="I154" i="6" a="1"/>
  <c r="I154" i="6" s="1"/>
  <c r="I7" i="6" a="1"/>
  <c r="I7" i="6" s="1"/>
  <c r="G212" i="6" a="1"/>
  <c r="G212" i="6" s="1"/>
  <c r="H181" i="6" a="1"/>
  <c r="H181" i="6" s="1"/>
  <c r="I81" i="6" a="1"/>
  <c r="I81" i="6" s="1"/>
  <c r="I212" i="6" a="1"/>
  <c r="I212" i="6" s="1"/>
  <c r="H30" i="6" a="1"/>
  <c r="H30" i="6" s="1"/>
  <c r="I96" i="6" a="1"/>
  <c r="I96" i="6" s="1"/>
  <c r="H29" i="6" a="1"/>
  <c r="H29" i="6" s="1"/>
  <c r="H176" i="6" a="1"/>
  <c r="H176" i="6" s="1"/>
  <c r="H162" i="6" a="1"/>
  <c r="H162" i="6" s="1"/>
  <c r="G57" i="6" a="1"/>
  <c r="G57" i="6" s="1"/>
  <c r="I178" i="6" a="1"/>
  <c r="I178" i="6" s="1"/>
  <c r="I21" i="6" a="1"/>
  <c r="I21" i="6" s="1"/>
  <c r="I217" i="6" a="1"/>
  <c r="I217" i="6" s="1"/>
  <c r="H180" i="6" a="1"/>
  <c r="H180" i="6" s="1"/>
  <c r="H228" i="6" a="1"/>
  <c r="H228" i="6" s="1"/>
  <c r="I29" i="6" a="1"/>
  <c r="I29" i="6" s="1"/>
  <c r="H13" i="6" a="1"/>
  <c r="H13" i="6" s="1"/>
  <c r="G256" i="6" a="1"/>
  <c r="G256" i="6" s="1"/>
  <c r="H81" i="6" a="1"/>
  <c r="H81" i="6" s="1"/>
  <c r="G13" i="6" a="1"/>
  <c r="G13" i="6" s="1"/>
  <c r="H111" i="6" a="1"/>
  <c r="H111" i="6" s="1"/>
  <c r="H5" i="6" a="1"/>
  <c r="H5" i="6" s="1"/>
  <c r="G203" i="6" a="1"/>
  <c r="G203" i="6" s="1"/>
  <c r="G195" i="6" a="1"/>
  <c r="G195" i="6" s="1"/>
  <c r="H73" i="6" a="1"/>
  <c r="H73" i="6" s="1"/>
  <c r="I108" i="6" a="1"/>
  <c r="I108" i="6" s="1"/>
  <c r="G235" i="6" a="1"/>
  <c r="G235" i="6" s="1"/>
  <c r="H189" i="6" a="1"/>
  <c r="H189" i="6" s="1"/>
  <c r="H117" i="6" a="1"/>
  <c r="H117" i="6" s="1"/>
  <c r="H234" i="6" a="1"/>
  <c r="H234" i="6" s="1"/>
  <c r="I99" i="6" a="1"/>
  <c r="I99" i="6" s="1"/>
  <c r="G247" i="6" a="1"/>
  <c r="G247" i="6" s="1"/>
  <c r="H83" i="6" a="1"/>
  <c r="H83" i="6" s="1"/>
  <c r="H109" i="6" a="1"/>
  <c r="H109" i="6" s="1"/>
  <c r="I140" i="6" a="1"/>
  <c r="I140" i="6" s="1"/>
  <c r="H120" i="6" a="1"/>
  <c r="H120" i="6" s="1"/>
  <c r="G59" i="6" a="1"/>
  <c r="G59" i="6" s="1"/>
  <c r="H198" i="6" a="1"/>
  <c r="H198" i="6" s="1"/>
  <c r="H242" i="6" a="1"/>
  <c r="H242" i="6" s="1"/>
  <c r="G155" i="6" a="1"/>
  <c r="G155" i="6" s="1"/>
  <c r="G53" i="6" a="1"/>
  <c r="G53" i="6" s="1"/>
  <c r="G181" i="6" a="1"/>
  <c r="G181" i="6" s="1"/>
  <c r="G117" i="6" a="1"/>
  <c r="G117" i="6" s="1"/>
  <c r="G120" i="6" a="1"/>
  <c r="G120" i="6" s="1"/>
  <c r="H137" i="6" a="1"/>
  <c r="H137" i="6" s="1"/>
  <c r="I79" i="6" a="1"/>
  <c r="I79" i="6" s="1"/>
  <c r="I243" i="6" a="1"/>
  <c r="I243" i="6" s="1"/>
  <c r="G163" i="6" a="1"/>
  <c r="G163" i="6" s="1"/>
  <c r="H108" i="6" a="1"/>
  <c r="H108" i="6" s="1"/>
  <c r="G101" i="6" a="1"/>
  <c r="G101" i="6" s="1"/>
  <c r="G98" i="6" a="1"/>
  <c r="G98" i="6" s="1"/>
  <c r="H22" i="6" a="1"/>
  <c r="H22" i="6" s="1"/>
  <c r="I64" i="6" a="1"/>
  <c r="I64" i="6" s="1"/>
  <c r="G180" i="6" a="1"/>
  <c r="G180" i="6" s="1"/>
  <c r="G174" i="6" a="1"/>
  <c r="G174" i="6" s="1"/>
  <c r="H210" i="6" a="1"/>
  <c r="H210" i="6" s="1"/>
  <c r="G201" i="6" a="1"/>
  <c r="G201" i="6" s="1"/>
  <c r="I77" i="6" a="1"/>
  <c r="I77" i="6" s="1"/>
  <c r="G89" i="6" a="1"/>
  <c r="G89" i="6" s="1"/>
  <c r="H145" i="6" a="1"/>
  <c r="H145" i="6" s="1"/>
  <c r="H240" i="6" a="1"/>
  <c r="H240" i="6" s="1"/>
  <c r="G19" i="6" a="1"/>
  <c r="G19" i="6" s="1"/>
  <c r="G169" i="6" a="1"/>
  <c r="G169" i="6" s="1"/>
  <c r="H39" i="6" a="1"/>
  <c r="H39" i="6" s="1"/>
  <c r="J39" i="6" s="1"/>
  <c r="G44" i="6" a="1"/>
  <c r="G44" i="6" s="1"/>
  <c r="I97" i="6" a="1"/>
  <c r="I97" i="6" s="1"/>
  <c r="G185" i="6" a="1"/>
  <c r="G185" i="6" s="1"/>
  <c r="H188" i="6" a="1"/>
  <c r="H188" i="6" s="1"/>
  <c r="I25" i="6" a="1"/>
  <c r="I25" i="6" s="1"/>
  <c r="I132" i="6" a="1"/>
  <c r="I132" i="6" s="1"/>
  <c r="G132" i="6" a="1"/>
  <c r="G132" i="6" s="1"/>
  <c r="I185" i="6" a="1"/>
  <c r="I185" i="6" s="1"/>
  <c r="H71" i="6" a="1"/>
  <c r="H71" i="6" s="1"/>
  <c r="G72" i="6" a="1"/>
  <c r="G72" i="6" s="1"/>
  <c r="H67" i="6" a="1"/>
  <c r="H67" i="6" s="1"/>
  <c r="I37" i="6" a="1"/>
  <c r="I37" i="6" s="1"/>
  <c r="I48" i="6" a="1"/>
  <c r="I48" i="6" s="1"/>
  <c r="G187" i="6" a="1"/>
  <c r="G187" i="6" s="1"/>
  <c r="H127" i="6" a="1"/>
  <c r="H127" i="6" s="1"/>
  <c r="I8" i="6" a="1"/>
  <c r="I8" i="6" s="1"/>
  <c r="I194" i="6" a="1"/>
  <c r="I194" i="6" s="1"/>
  <c r="G17" i="6" a="1"/>
  <c r="G17" i="6" s="1"/>
  <c r="I195" i="6" a="1"/>
  <c r="I195" i="6" s="1"/>
  <c r="I148" i="6" a="1"/>
  <c r="I148" i="6" s="1"/>
  <c r="I248" i="6" a="1"/>
  <c r="I248" i="6" s="1"/>
  <c r="I88" i="6" a="1"/>
  <c r="I88" i="6" s="1"/>
  <c r="H16" i="6" a="1"/>
  <c r="H16" i="6" s="1"/>
  <c r="G73" i="6" a="1"/>
  <c r="G73" i="6" s="1"/>
  <c r="G190" i="6" a="1"/>
  <c r="G190" i="6" s="1"/>
  <c r="G227" i="6" a="1"/>
  <c r="G227" i="6" s="1"/>
  <c r="I73" i="6" a="1"/>
  <c r="I73" i="6" s="1"/>
  <c r="I6" i="6" a="1"/>
  <c r="I6" i="6" s="1"/>
  <c r="G118" i="6" a="1"/>
  <c r="G118" i="6" s="1"/>
  <c r="H125" i="6" a="1"/>
  <c r="H125" i="6" s="1"/>
  <c r="I157" i="6" a="1"/>
  <c r="I157" i="6" s="1"/>
  <c r="H256" i="6" a="1"/>
  <c r="H256" i="6" s="1"/>
  <c r="H98" i="6" a="1"/>
  <c r="H98" i="6" s="1"/>
  <c r="H167" i="6" a="1"/>
  <c r="H167" i="6" s="1"/>
  <c r="H55" i="6" a="1"/>
  <c r="H55" i="6" s="1"/>
  <c r="I250" i="6" a="1"/>
  <c r="I250" i="6" s="1"/>
  <c r="H28" i="6" a="1"/>
  <c r="H28" i="6" s="1"/>
  <c r="G60" i="6" a="1"/>
  <c r="G60" i="6" s="1"/>
  <c r="H116" i="6" a="1"/>
  <c r="H116" i="6" s="1"/>
  <c r="G173" i="6" a="1"/>
  <c r="G173" i="6" s="1"/>
  <c r="I168" i="6" a="1"/>
  <c r="I168" i="6" s="1"/>
  <c r="H217" i="6" a="1"/>
  <c r="H217" i="6" s="1"/>
  <c r="I170" i="6" a="1"/>
  <c r="I170" i="6" s="1"/>
  <c r="G14" i="6" a="1"/>
  <c r="G14" i="6" s="1"/>
  <c r="H259" i="6" a="1"/>
  <c r="H259" i="6" s="1"/>
  <c r="H248" i="6" a="1"/>
  <c r="H248" i="6" s="1"/>
  <c r="G151" i="6" a="1"/>
  <c r="G151" i="6" s="1"/>
  <c r="H77" i="6" a="1"/>
  <c r="H77" i="6" s="1"/>
  <c r="H244" i="6" a="1"/>
  <c r="H244" i="6" s="1"/>
  <c r="I71" i="6" a="1"/>
  <c r="I71" i="6" s="1"/>
  <c r="H153" i="6" a="1"/>
  <c r="H153" i="6" s="1"/>
  <c r="G231" i="6" a="1"/>
  <c r="G231" i="6" s="1"/>
  <c r="G142" i="6" a="1"/>
  <c r="G142" i="6" s="1"/>
  <c r="I205" i="6" a="1"/>
  <c r="I205" i="6" s="1"/>
  <c r="I28" i="6" a="1"/>
  <c r="I28" i="6" s="1"/>
  <c r="I66" i="6" a="1"/>
  <c r="I66" i="6" s="1"/>
  <c r="H60" i="6" a="1"/>
  <c r="H60" i="6" s="1"/>
  <c r="I98" i="6" a="1"/>
  <c r="I98" i="6" s="1"/>
  <c r="G41" i="6" a="1"/>
  <c r="G41" i="6" s="1"/>
  <c r="H41" i="6" a="1"/>
  <c r="H41" i="6" s="1"/>
  <c r="G18" i="6" a="1"/>
  <c r="G18" i="6" s="1"/>
  <c r="H251" i="6" a="1"/>
  <c r="H251" i="6" s="1"/>
  <c r="G144" i="6" a="1"/>
  <c r="G144" i="6" s="1"/>
  <c r="G229" i="6" a="1"/>
  <c r="G229" i="6" s="1"/>
  <c r="H187" i="6" a="1"/>
  <c r="H187" i="6" s="1"/>
  <c r="G200" i="6" a="1"/>
  <c r="G200" i="6" s="1"/>
  <c r="I113" i="6" a="1"/>
  <c r="I113" i="6" s="1"/>
  <c r="I42" i="6" a="1"/>
  <c r="I42" i="6" s="1"/>
  <c r="I123" i="6" a="1"/>
  <c r="I123" i="6" s="1"/>
  <c r="H163" i="6" a="1"/>
  <c r="H163" i="6" s="1"/>
  <c r="G33" i="6" a="1"/>
  <c r="G33" i="6" s="1"/>
  <c r="H101" i="6" a="1"/>
  <c r="H101" i="6" s="1"/>
  <c r="I255" i="6" a="1"/>
  <c r="I255" i="6" s="1"/>
  <c r="G124" i="6" a="1"/>
  <c r="G124" i="6" s="1"/>
  <c r="G213" i="6" a="1"/>
  <c r="G213" i="6" s="1"/>
  <c r="I129" i="6" a="1"/>
  <c r="I129" i="6" s="1"/>
  <c r="G252" i="6" a="1"/>
  <c r="G252" i="6" s="1"/>
  <c r="G178" i="6" a="1"/>
  <c r="G178" i="6" s="1"/>
  <c r="H126" i="6" a="1"/>
  <c r="H126" i="6" s="1"/>
  <c r="G50" i="6" a="1"/>
  <c r="G50" i="6" s="1"/>
  <c r="G249" i="6" a="1"/>
  <c r="G249" i="6" s="1"/>
  <c r="I43" i="6" a="1"/>
  <c r="I43" i="6" s="1"/>
  <c r="G223" i="6" a="1"/>
  <c r="G223" i="6" s="1"/>
  <c r="H231" i="6" a="1"/>
  <c r="H231" i="6" s="1"/>
  <c r="H200" i="6" a="1"/>
  <c r="H200" i="6" s="1"/>
  <c r="G34" i="6" a="1"/>
  <c r="G34" i="6" s="1"/>
  <c r="H44" i="6" a="1"/>
  <c r="H44" i="6" s="1"/>
  <c r="G12" i="6" a="1"/>
  <c r="G12" i="6" s="1"/>
  <c r="G226" i="6" a="1"/>
  <c r="G226" i="6" s="1"/>
  <c r="H151" i="6" a="1"/>
  <c r="H151" i="6" s="1"/>
  <c r="I169" i="6" a="1"/>
  <c r="I169" i="6" s="1"/>
  <c r="I230" i="6" a="1"/>
  <c r="I230" i="6" s="1"/>
  <c r="G242" i="6" a="1"/>
  <c r="G242" i="6" s="1"/>
  <c r="I45" i="6" a="1"/>
  <c r="I45" i="6" s="1"/>
  <c r="G158" i="6" a="1"/>
  <c r="G158" i="6" s="1"/>
  <c r="H173" i="6" a="1"/>
  <c r="H173" i="6" s="1"/>
  <c r="H48" i="6" a="1"/>
  <c r="H48" i="6" s="1"/>
  <c r="G68" i="6" a="1"/>
  <c r="G68" i="6" s="1"/>
  <c r="G3" i="6" a="1"/>
  <c r="G3" i="6" s="1"/>
  <c r="G84" i="6" a="1"/>
  <c r="G84" i="6" s="1"/>
  <c r="H174" i="6" a="1"/>
  <c r="H174" i="6" s="1"/>
  <c r="H90" i="6" a="1"/>
  <c r="H90" i="6" s="1"/>
  <c r="I256" i="6" a="1"/>
  <c r="I256" i="6" s="1"/>
  <c r="G104" i="6" a="1"/>
  <c r="G104" i="6" s="1"/>
  <c r="G171" i="6" a="1"/>
  <c r="G171" i="6" s="1"/>
  <c r="I245" i="6" a="1"/>
  <c r="I245" i="6" s="1"/>
  <c r="G46" i="6" a="1"/>
  <c r="G46" i="6" s="1"/>
  <c r="G106" i="6" a="1"/>
  <c r="G106" i="6" s="1"/>
  <c r="G150" i="6" a="1"/>
  <c r="G150" i="6" s="1"/>
  <c r="H230" i="6" a="1"/>
  <c r="H230" i="6" s="1"/>
  <c r="H66" i="6" a="1"/>
  <c r="H66" i="6" s="1"/>
  <c r="G202" i="6" a="1"/>
  <c r="G202" i="6" s="1"/>
  <c r="G81" i="6" a="1"/>
  <c r="G81" i="6" s="1"/>
  <c r="G211" i="6" a="1"/>
  <c r="G211" i="6" s="1"/>
  <c r="G9" i="6" a="1"/>
  <c r="G9" i="6" s="1"/>
  <c r="I85" i="6" a="1"/>
  <c r="I85" i="6" s="1"/>
  <c r="H45" i="6" a="1"/>
  <c r="H45" i="6" s="1"/>
  <c r="I56" i="6" a="1"/>
  <c r="I56" i="6" s="1"/>
  <c r="H12" i="6" a="1"/>
  <c r="H12" i="6" s="1"/>
  <c r="H82" i="6" a="1"/>
  <c r="H82" i="6" s="1"/>
  <c r="I233" i="6" a="1"/>
  <c r="I233" i="6" s="1"/>
  <c r="H175" i="6" a="1"/>
  <c r="H175" i="6" s="1"/>
  <c r="G26" i="6" a="1"/>
  <c r="G26" i="6" s="1"/>
  <c r="G147" i="6" a="1"/>
  <c r="G147" i="6" s="1"/>
  <c r="H104" i="6" a="1"/>
  <c r="H104" i="6" s="1"/>
  <c r="I215" i="6" a="1"/>
  <c r="I215" i="6" s="1"/>
  <c r="I188" i="6" a="1"/>
  <c r="I188" i="6" s="1"/>
  <c r="H235" i="6" a="1"/>
  <c r="H235" i="6" s="1"/>
  <c r="I145" i="6" a="1"/>
  <c r="I145" i="6" s="1"/>
  <c r="I181" i="6" a="1"/>
  <c r="I181" i="6" s="1"/>
  <c r="J181" i="6" s="1"/>
  <c r="G241" i="6" a="1"/>
  <c r="G241" i="6" s="1"/>
  <c r="I158" i="6" a="1"/>
  <c r="I158" i="6" s="1"/>
  <c r="I257" i="6" a="1"/>
  <c r="I257" i="6" s="1"/>
  <c r="I26" i="6" a="1"/>
  <c r="I26" i="6" s="1"/>
  <c r="I30" i="6" a="1"/>
  <c r="I30" i="6" s="1"/>
  <c r="I197" i="6" a="1"/>
  <c r="I197" i="6" s="1"/>
  <c r="G97" i="6" a="1"/>
  <c r="G97" i="6" s="1"/>
  <c r="G10" i="6" a="1"/>
  <c r="G10" i="6" s="1"/>
  <c r="G143" i="6" a="1"/>
  <c r="G143" i="6" s="1"/>
  <c r="G157" i="6" a="1"/>
  <c r="G157" i="6" s="1"/>
  <c r="I201" i="6" a="1"/>
  <c r="I201" i="6" s="1"/>
  <c r="I4" i="6" a="1"/>
  <c r="I4" i="6" s="1"/>
  <c r="H93" i="6" a="1"/>
  <c r="H93" i="6" s="1"/>
  <c r="H190" i="6" a="1"/>
  <c r="H190" i="6" s="1"/>
  <c r="I216" i="6" a="1"/>
  <c r="I216" i="6" s="1"/>
  <c r="I47" i="6" a="1"/>
  <c r="I47" i="6" s="1"/>
  <c r="G102" i="6" a="1"/>
  <c r="G102" i="6" s="1"/>
  <c r="G88" i="6" a="1"/>
  <c r="G88" i="6" s="1"/>
  <c r="H86" i="6" a="1"/>
  <c r="H86" i="6" s="1"/>
  <c r="G86" i="6" a="1"/>
  <c r="G86" i="6" s="1"/>
  <c r="I187" i="6" a="1"/>
  <c r="I187" i="6" s="1"/>
  <c r="I12" i="6" a="1"/>
  <c r="I12" i="6" s="1"/>
  <c r="I58" i="6" a="1"/>
  <c r="I58" i="6" s="1"/>
  <c r="H21" i="6" a="1"/>
  <c r="H21" i="6" s="1"/>
  <c r="H146" i="6" a="1"/>
  <c r="H146" i="6" s="1"/>
  <c r="G165" i="6" a="1"/>
  <c r="G165" i="6" s="1"/>
  <c r="H68" i="6" a="1"/>
  <c r="H68" i="6" s="1"/>
  <c r="H196" i="6" a="1"/>
  <c r="H196" i="6" s="1"/>
  <c r="G31" i="6" a="1"/>
  <c r="G31" i="6" s="1"/>
  <c r="H3" i="6" a="1"/>
  <c r="H3" i="6" s="1"/>
  <c r="H124" i="6" a="1"/>
  <c r="H124" i="6" s="1"/>
  <c r="I173" i="6" a="1"/>
  <c r="I173" i="6" s="1"/>
  <c r="H102" i="6" a="1"/>
  <c r="H102" i="6" s="1"/>
  <c r="H96" i="6" a="1"/>
  <c r="H96" i="6" s="1"/>
  <c r="G186" i="6" a="1"/>
  <c r="G186" i="6" s="1"/>
  <c r="I60" i="6" a="1"/>
  <c r="I60" i="6" s="1"/>
  <c r="I17" i="6" a="1"/>
  <c r="I17" i="6" s="1"/>
  <c r="G168" i="6" a="1"/>
  <c r="G168" i="6" s="1"/>
  <c r="H260" i="6" a="1"/>
  <c r="H260" i="6" s="1"/>
  <c r="H213" i="6" a="1"/>
  <c r="H213" i="6" s="1"/>
  <c r="G27" i="6" a="1"/>
  <c r="G27" i="6" s="1"/>
  <c r="I155" i="6" a="1"/>
  <c r="I155" i="6" s="1"/>
  <c r="G140" i="6" a="1"/>
  <c r="G140" i="6" s="1"/>
  <c r="H47" i="6" a="1"/>
  <c r="H47" i="6" s="1"/>
  <c r="G164" i="6" a="1"/>
  <c r="G164" i="6" s="1"/>
  <c r="I22" i="6" a="1"/>
  <c r="I22" i="6" s="1"/>
  <c r="I19" i="6" a="1"/>
  <c r="I19" i="6" s="1"/>
  <c r="G48" i="6" a="1"/>
  <c r="G48" i="6" s="1"/>
  <c r="I244" i="6" a="1"/>
  <c r="I244" i="6" s="1"/>
  <c r="H58" i="6" a="1"/>
  <c r="H58" i="6" s="1"/>
  <c r="H203" i="6" a="1"/>
  <c r="H203" i="6" s="1"/>
  <c r="H17" i="6" a="1"/>
  <c r="H17" i="6" s="1"/>
  <c r="G260" i="6" a="1"/>
  <c r="G260" i="6" s="1"/>
  <c r="G15" i="6" a="1"/>
  <c r="G15" i="6" s="1"/>
  <c r="I213" i="6" a="1"/>
  <c r="I213" i="6" s="1"/>
  <c r="G258" i="6" a="1"/>
  <c r="G258" i="6" s="1"/>
  <c r="G167" i="6" a="1"/>
  <c r="G167" i="6" s="1"/>
  <c r="H192" i="6" a="1"/>
  <c r="H192" i="6" s="1"/>
  <c r="G199" i="6" a="1"/>
  <c r="G199" i="6" s="1"/>
  <c r="G176" i="6" a="1"/>
  <c r="G176" i="6" s="1"/>
  <c r="H249" i="6" a="1"/>
  <c r="H249" i="6" s="1"/>
  <c r="J249" i="6" s="1"/>
  <c r="I104" i="6" a="1"/>
  <c r="I104" i="6" s="1"/>
  <c r="G172" i="6" a="1"/>
  <c r="G172" i="6" s="1"/>
  <c r="I135" i="6" a="1"/>
  <c r="I135" i="6" s="1"/>
  <c r="G114" i="6" a="1"/>
  <c r="G114" i="6" s="1"/>
  <c r="H10" i="6" a="1"/>
  <c r="H10" i="6" s="1"/>
  <c r="I254" i="6" a="1"/>
  <c r="I254" i="6" s="1"/>
  <c r="G127" i="6" a="1"/>
  <c r="G127" i="6" s="1"/>
  <c r="G45" i="6" a="1"/>
  <c r="G45" i="6" s="1"/>
  <c r="I251" i="6" a="1"/>
  <c r="I251" i="6" s="1"/>
  <c r="H195" i="6" a="1"/>
  <c r="H195" i="6" s="1"/>
  <c r="I159" i="6" a="1"/>
  <c r="I159" i="6" s="1"/>
  <c r="G182" i="6" a="1"/>
  <c r="G182" i="6" s="1"/>
  <c r="H78" i="6" a="1"/>
  <c r="H78" i="6" s="1"/>
  <c r="G37" i="6" a="1"/>
  <c r="G37" i="6" s="1"/>
  <c r="I236" i="6" a="1"/>
  <c r="I236" i="6" s="1"/>
  <c r="G62" i="6" a="1"/>
  <c r="G62" i="6" s="1"/>
  <c r="G80" i="6" a="1"/>
  <c r="G80" i="6" s="1"/>
  <c r="I246" i="6" a="1"/>
  <c r="I246" i="6" s="1"/>
  <c r="G82" i="6" a="1"/>
  <c r="G82" i="6" s="1"/>
  <c r="G76" i="6" a="1"/>
  <c r="G76" i="6" s="1"/>
  <c r="I119" i="6" a="1"/>
  <c r="I119" i="6" s="1"/>
  <c r="H252" i="6" a="1"/>
  <c r="H252" i="6" s="1"/>
  <c r="H97" i="6" a="1"/>
  <c r="H97" i="6" s="1"/>
  <c r="I134" i="6" a="1"/>
  <c r="I134" i="6" s="1"/>
  <c r="G193" i="6" a="1"/>
  <c r="G193" i="6" s="1"/>
  <c r="H46" i="6" a="1"/>
  <c r="H46" i="6" s="1"/>
  <c r="H157" i="6" a="1"/>
  <c r="H157" i="6" s="1"/>
  <c r="G218" i="6" a="1"/>
  <c r="G218" i="6" s="1"/>
  <c r="G55" i="6" a="1"/>
  <c r="G55" i="6" s="1"/>
  <c r="I163" i="6" a="1"/>
  <c r="I163" i="6" s="1"/>
  <c r="H69" i="6" a="1"/>
  <c r="H69" i="6" s="1"/>
  <c r="H40" i="6" a="1"/>
  <c r="H40" i="6" s="1"/>
  <c r="G191" i="6" a="1"/>
  <c r="G191" i="6" s="1"/>
  <c r="H9" i="6" a="1"/>
  <c r="H9" i="6" s="1"/>
  <c r="G94" i="6" a="1"/>
  <c r="G94" i="6" s="1"/>
  <c r="I231" i="6" a="1"/>
  <c r="I231" i="6" s="1"/>
  <c r="H170" i="6" a="1"/>
  <c r="H170" i="6" s="1"/>
  <c r="I67" i="6" a="1"/>
  <c r="I67" i="6" s="1"/>
  <c r="H42" i="6" a="1"/>
  <c r="H42" i="6" s="1"/>
  <c r="G141" i="6" a="1"/>
  <c r="G141" i="6" s="1"/>
  <c r="H250" i="6" a="1"/>
  <c r="H250" i="6" s="1"/>
  <c r="H168" i="6" a="1"/>
  <c r="H168" i="6" s="1"/>
  <c r="H186" i="6" a="1"/>
  <c r="H186" i="6" s="1"/>
  <c r="I107" i="6" a="1"/>
  <c r="I107" i="6" s="1"/>
  <c r="H197" i="6" a="1"/>
  <c r="H197" i="6" s="1"/>
  <c r="H89" i="6" a="1"/>
  <c r="H89" i="6" s="1"/>
  <c r="H14" i="6" a="1"/>
  <c r="H14" i="6" s="1"/>
  <c r="H178" i="6" a="1"/>
  <c r="H178" i="6" s="1"/>
  <c r="H43" i="6" a="1"/>
  <c r="H43" i="6" s="1"/>
  <c r="H211" i="6" a="1"/>
  <c r="H211" i="6" s="1"/>
  <c r="I20" i="6" a="1"/>
  <c r="I20" i="6" s="1"/>
  <c r="H165" i="6" a="1"/>
  <c r="H165" i="6" s="1"/>
  <c r="I74" i="6" a="1"/>
  <c r="I74" i="6" s="1"/>
  <c r="H227" i="6" a="1"/>
  <c r="H227" i="6" s="1"/>
  <c r="I33" i="6" a="1"/>
  <c r="I33" i="6" s="1"/>
  <c r="I84" i="6" a="1"/>
  <c r="I84" i="6" s="1"/>
  <c r="G183" i="6" a="1"/>
  <c r="G183" i="6" s="1"/>
  <c r="H169" i="6" a="1"/>
  <c r="H169" i="6" s="1"/>
  <c r="I186" i="6" a="1"/>
  <c r="I186" i="6" s="1"/>
  <c r="I260" i="6" a="1"/>
  <c r="I260" i="6" s="1"/>
  <c r="I241" i="6" a="1"/>
  <c r="I241" i="6" s="1"/>
  <c r="G119" i="6" a="1"/>
  <c r="G119" i="6" s="1"/>
  <c r="I90" i="6" a="1"/>
  <c r="I90" i="6" s="1"/>
  <c r="H199" i="6" a="1"/>
  <c r="H199" i="6" s="1"/>
  <c r="I16" i="6" a="1"/>
  <c r="I16" i="6" s="1"/>
  <c r="I137" i="6" a="1"/>
  <c r="I137" i="6" s="1"/>
  <c r="G110" i="6" a="1"/>
  <c r="G110" i="6" s="1"/>
  <c r="I156" i="6" a="1"/>
  <c r="I156" i="6" s="1"/>
  <c r="G47" i="6" a="1"/>
  <c r="G47" i="6" s="1"/>
  <c r="I87" i="6" a="1"/>
  <c r="I87" i="6" s="1"/>
  <c r="G228" i="6" a="1"/>
  <c r="G228" i="6" s="1"/>
  <c r="G135" i="6" a="1"/>
  <c r="G135" i="6" s="1"/>
  <c r="G96" i="6" a="1"/>
  <c r="G96" i="6" s="1"/>
  <c r="G188" i="6" a="1"/>
  <c r="G188" i="6" s="1"/>
  <c r="G170" i="6" a="1"/>
  <c r="G170" i="6" s="1"/>
  <c r="H105" i="6" a="1"/>
  <c r="H105" i="6" s="1"/>
  <c r="G8" i="6" a="1"/>
  <c r="G8" i="6" s="1"/>
  <c r="G113" i="6" a="1"/>
  <c r="G113" i="6" s="1"/>
  <c r="G121" i="6" a="1"/>
  <c r="G121" i="6" s="1"/>
  <c r="G79" i="6" a="1"/>
  <c r="G79" i="6" s="1"/>
  <c r="H19" i="6" a="1"/>
  <c r="H19" i="6" s="1"/>
  <c r="G16" i="6" a="1"/>
  <c r="G16" i="6" s="1"/>
  <c r="H94" i="6" a="1"/>
  <c r="H94" i="6" s="1"/>
  <c r="G99" i="6" a="1"/>
  <c r="G99" i="6" s="1"/>
  <c r="G105" i="6" a="1"/>
  <c r="G105" i="6" s="1"/>
  <c r="H49" i="6" a="1"/>
  <c r="H49" i="6" s="1"/>
  <c r="I198" i="6" a="1"/>
  <c r="I198" i="6" s="1"/>
  <c r="J198" i="6" s="1"/>
  <c r="G111" i="6" a="1"/>
  <c r="G111" i="6" s="1"/>
  <c r="G6" i="6" a="1"/>
  <c r="G6" i="6" s="1"/>
  <c r="G154" i="6" a="1"/>
  <c r="G154" i="6" s="1"/>
  <c r="H80" i="6" a="1"/>
  <c r="H80" i="6" s="1"/>
  <c r="I172" i="6" a="1"/>
  <c r="I172" i="6" s="1"/>
  <c r="G115" i="6" a="1"/>
  <c r="G115" i="6" s="1"/>
  <c r="G83" i="6" a="1"/>
  <c r="G83" i="6" s="1"/>
  <c r="H99" i="6" a="1"/>
  <c r="H99" i="6" s="1"/>
  <c r="H246" i="6" a="1"/>
  <c r="H246" i="6" s="1"/>
  <c r="I70" i="6" a="1"/>
  <c r="I70" i="6" s="1"/>
  <c r="G251" i="6" a="1"/>
  <c r="G251" i="6" s="1"/>
  <c r="I225" i="6" a="1"/>
  <c r="I225" i="6" s="1"/>
  <c r="I57" i="6" a="1"/>
  <c r="I57" i="6" s="1"/>
  <c r="G238" i="6" a="1"/>
  <c r="G238" i="6" s="1"/>
  <c r="H74" i="6" a="1"/>
  <c r="H74" i="6" s="1"/>
  <c r="G25" i="6" a="1"/>
  <c r="G25" i="6" s="1"/>
  <c r="G67" i="6" a="1"/>
  <c r="G67" i="6" s="1"/>
  <c r="H136" i="6" a="1"/>
  <c r="H136" i="6" s="1"/>
  <c r="G90" i="6" a="1"/>
  <c r="G90" i="6" s="1"/>
  <c r="H91" i="6" a="1"/>
  <c r="H91" i="6" s="1"/>
  <c r="G87" i="6" a="1"/>
  <c r="G87" i="6" s="1"/>
  <c r="I68" i="6" a="1"/>
  <c r="I68" i="6" s="1"/>
  <c r="I179" i="6" a="1"/>
  <c r="I179" i="6" s="1"/>
  <c r="I100" i="6" a="1"/>
  <c r="I100" i="6" s="1"/>
  <c r="I239" i="6" a="1"/>
  <c r="I239" i="6" s="1"/>
  <c r="G248" i="6" a="1"/>
  <c r="G248" i="6" s="1"/>
  <c r="G161" i="6" a="1"/>
  <c r="G161" i="6" s="1"/>
  <c r="H183" i="6" a="1"/>
  <c r="H183" i="6" s="1"/>
  <c r="H223" i="6" a="1"/>
  <c r="H223" i="6" s="1"/>
  <c r="H247" i="6" a="1"/>
  <c r="H247" i="6" s="1"/>
  <c r="I63" i="6" a="1"/>
  <c r="I63" i="6" s="1"/>
  <c r="I193" i="6" a="1"/>
  <c r="I193" i="6" s="1"/>
  <c r="I72" i="6" a="1"/>
  <c r="I72" i="6" s="1"/>
  <c r="I112" i="6" a="1"/>
  <c r="I112" i="6" s="1"/>
  <c r="I176" i="6" a="1"/>
  <c r="I176" i="6" s="1"/>
  <c r="I147" i="6" a="1"/>
  <c r="I147" i="6" s="1"/>
  <c r="I120" i="6" a="1"/>
  <c r="I120" i="6" s="1"/>
  <c r="I232" i="6" a="1"/>
  <c r="I232" i="6" s="1"/>
  <c r="H253" i="6" a="1"/>
  <c r="H253" i="6" s="1"/>
  <c r="H4" i="6" a="1"/>
  <c r="H4" i="6" s="1"/>
  <c r="H25" i="6" a="1"/>
  <c r="H25" i="6" s="1"/>
  <c r="H156" i="6" a="1"/>
  <c r="H156" i="6" s="1"/>
  <c r="G159" i="6" a="1"/>
  <c r="G159" i="6" s="1"/>
  <c r="I105" i="6" a="1"/>
  <c r="I105" i="6" s="1"/>
  <c r="I182" i="6" a="1"/>
  <c r="I182" i="6" s="1"/>
  <c r="I76" i="6" a="1"/>
  <c r="I76" i="6" s="1"/>
  <c r="I160" i="6" a="1"/>
  <c r="I160" i="6" s="1"/>
  <c r="I162" i="6" a="1"/>
  <c r="I162" i="6" s="1"/>
  <c r="H63" i="6" a="1"/>
  <c r="H63" i="6" s="1"/>
  <c r="I153" i="6" a="1"/>
  <c r="I153" i="6" s="1"/>
  <c r="I247" i="6" a="1"/>
  <c r="I247" i="6" s="1"/>
  <c r="I54" i="6" a="1"/>
  <c r="I54" i="6" s="1"/>
  <c r="G64" i="6" a="1"/>
  <c r="G64" i="6" s="1"/>
  <c r="I199" i="6" a="1"/>
  <c r="I199" i="6" s="1"/>
  <c r="I38" i="6" a="1"/>
  <c r="I38" i="6" s="1"/>
  <c r="I95" i="6" a="1"/>
  <c r="I95" i="6" s="1"/>
  <c r="H225" i="6" a="1"/>
  <c r="H225" i="6" s="1"/>
  <c r="I14" i="6" a="1"/>
  <c r="I14" i="6" s="1"/>
  <c r="H32" i="6" a="1"/>
  <c r="H32" i="6" s="1"/>
  <c r="I142" i="6" a="1"/>
  <c r="I142" i="6" s="1"/>
  <c r="I209" i="6" a="1"/>
  <c r="I209" i="6" s="1"/>
  <c r="H95" i="6" a="1"/>
  <c r="H95" i="6" s="1"/>
  <c r="G95" i="6" a="1"/>
  <c r="G95" i="6" s="1"/>
  <c r="I69" i="6" a="1"/>
  <c r="I69" i="6" s="1"/>
  <c r="G236" i="6" a="1"/>
  <c r="G236" i="6" s="1"/>
  <c r="I166" i="6" a="1"/>
  <c r="I166" i="6" s="1"/>
  <c r="G112" i="6" a="1"/>
  <c r="G112" i="6" s="1"/>
  <c r="G177" i="6" a="1"/>
  <c r="G177" i="6" s="1"/>
  <c r="G49" i="6" a="1"/>
  <c r="G49" i="6" s="1"/>
  <c r="G122" i="6" a="1"/>
  <c r="G122" i="6" s="1"/>
  <c r="H216" i="6" a="1"/>
  <c r="H216" i="6" s="1"/>
  <c r="H150" i="6" a="1"/>
  <c r="H150" i="6" s="1"/>
  <c r="H147" i="6" a="1"/>
  <c r="H147" i="6" s="1"/>
  <c r="I259" i="6" a="1"/>
  <c r="I259" i="6" s="1"/>
  <c r="I177" i="6" a="1"/>
  <c r="I177" i="6" s="1"/>
  <c r="H148" i="6" a="1"/>
  <c r="H148" i="6" s="1"/>
  <c r="H254" i="6" a="1"/>
  <c r="H254" i="6" s="1"/>
  <c r="H201" i="6" a="1"/>
  <c r="H201" i="6" s="1"/>
  <c r="H229" i="6" a="1"/>
  <c r="H229" i="6" s="1"/>
  <c r="H164" i="6" a="1"/>
  <c r="H164" i="6" s="1"/>
  <c r="G74" i="6" a="1"/>
  <c r="G74" i="6" s="1"/>
  <c r="G225" i="6" a="1"/>
  <c r="G225" i="6" s="1"/>
  <c r="G116" i="6" a="1"/>
  <c r="G116" i="6" s="1"/>
  <c r="H34" i="6" a="1"/>
  <c r="H34" i="6" s="1"/>
  <c r="H20" i="6" a="1"/>
  <c r="H20" i="6" s="1"/>
  <c r="I92" i="6" a="1"/>
  <c r="I92" i="6" s="1"/>
  <c r="I218" i="6" a="1"/>
  <c r="I218" i="6" s="1"/>
  <c r="I190" i="6" a="1"/>
  <c r="I190" i="6" s="1"/>
  <c r="I50" i="6" a="1"/>
  <c r="I50" i="6" s="1"/>
  <c r="I125" i="6" a="1"/>
  <c r="I125" i="6" s="1"/>
  <c r="H53" i="6" a="1"/>
  <c r="H53" i="6" s="1"/>
  <c r="H129" i="6" a="1"/>
  <c r="H129" i="6" s="1"/>
  <c r="H123" i="6" a="1"/>
  <c r="H123" i="6" s="1"/>
  <c r="I124" i="6" a="1"/>
  <c r="I124" i="6" s="1"/>
  <c r="I234" i="6" a="1"/>
  <c r="I234" i="6" s="1"/>
  <c r="I210" i="6" a="1"/>
  <c r="I210" i="6" s="1"/>
  <c r="G66" i="6" a="1"/>
  <c r="G66" i="6" s="1"/>
  <c r="I117" i="6" a="1"/>
  <c r="I117" i="6" s="1"/>
  <c r="I149" i="6" a="1"/>
  <c r="I149" i="6" s="1"/>
  <c r="G65" i="6" a="1"/>
  <c r="G65" i="6" s="1"/>
  <c r="H144" i="6" a="1"/>
  <c r="H144" i="6" s="1"/>
  <c r="G216" i="6" a="1"/>
  <c r="G216" i="6" s="1"/>
  <c r="I206" i="6" a="1"/>
  <c r="I206" i="6" s="1"/>
  <c r="H76" i="6" a="1"/>
  <c r="H76" i="6" s="1"/>
  <c r="G240" i="6" a="1"/>
  <c r="G240" i="6" s="1"/>
  <c r="H57" i="6" a="1"/>
  <c r="H57" i="6" s="1"/>
  <c r="I49" i="6" a="1"/>
  <c r="I49" i="6" s="1"/>
  <c r="I219" i="6" a="1"/>
  <c r="I219" i="6" s="1"/>
  <c r="G63" i="6" a="1"/>
  <c r="G63" i="6" s="1"/>
  <c r="G40" i="6" a="1"/>
  <c r="G40" i="6" s="1"/>
  <c r="G39" i="6" a="1"/>
  <c r="G39" i="6" s="1"/>
  <c r="G160" i="6" a="1"/>
  <c r="G160" i="6" s="1"/>
  <c r="H159" i="6" a="1"/>
  <c r="H159" i="6" s="1"/>
  <c r="H224" i="6" a="1"/>
  <c r="H224" i="6" s="1"/>
  <c r="H50" i="6" a="1"/>
  <c r="H50" i="6" s="1"/>
  <c r="G93" i="6" a="1"/>
  <c r="G93" i="6" s="1"/>
  <c r="I13" i="6" a="1"/>
  <c r="I13" i="6" s="1"/>
  <c r="I34" i="6" a="1"/>
  <c r="I34" i="6" s="1"/>
  <c r="I122" i="6" a="1"/>
  <c r="I122" i="6" s="1"/>
  <c r="I83" i="6" a="1"/>
  <c r="I83" i="6" s="1"/>
  <c r="I121" i="6" a="1"/>
  <c r="I121" i="6" s="1"/>
  <c r="I82" i="6" a="1"/>
  <c r="I82" i="6" s="1"/>
  <c r="H135" i="6" a="1"/>
  <c r="H135" i="6" s="1"/>
  <c r="H212" i="6" a="1"/>
  <c r="H212" i="6" s="1"/>
  <c r="H226" i="6" a="1"/>
  <c r="H226" i="6" s="1"/>
  <c r="H54" i="6" a="1"/>
  <c r="H54" i="6" s="1"/>
  <c r="H155" i="6" a="1"/>
  <c r="H155" i="6" s="1"/>
  <c r="I106" i="6" a="1"/>
  <c r="I106" i="6" s="1"/>
  <c r="I116" i="6" a="1"/>
  <c r="I116" i="6" s="1"/>
  <c r="J116" i="6" s="1"/>
  <c r="I75" i="6" a="1"/>
  <c r="I75" i="6" s="1"/>
  <c r="I183" i="6" a="1"/>
  <c r="I183" i="6" s="1"/>
  <c r="I55" i="6" a="1"/>
  <c r="I55" i="6" s="1"/>
  <c r="H62" i="6" a="1"/>
  <c r="H62" i="6" s="1"/>
  <c r="H160" i="6" a="1"/>
  <c r="H160" i="6" s="1"/>
  <c r="H194" i="6" a="1"/>
  <c r="H194" i="6" s="1"/>
  <c r="I114" i="6" a="1"/>
  <c r="I114" i="6" s="1"/>
  <c r="G22" i="6" a="1"/>
  <c r="G22" i="6" s="1"/>
  <c r="I141" i="6" a="1"/>
  <c r="I141" i="6" s="1"/>
  <c r="G29" i="6" a="1"/>
  <c r="G29" i="6" s="1"/>
  <c r="H114" i="6" a="1"/>
  <c r="H114" i="6" s="1"/>
  <c r="H184" i="6" a="1"/>
  <c r="H184" i="6" s="1"/>
  <c r="H106" i="6" a="1"/>
  <c r="H106" i="6" s="1"/>
  <c r="H172" i="6" a="1"/>
  <c r="H172" i="6" s="1"/>
  <c r="I32" i="6" a="1"/>
  <c r="I32" i="6" s="1"/>
  <c r="G103" i="6" a="1"/>
  <c r="G103" i="6" s="1"/>
  <c r="G197" i="6" a="1"/>
  <c r="G197" i="6" s="1"/>
  <c r="G78" i="6" a="1"/>
  <c r="G78" i="6" s="1"/>
  <c r="G108" i="6" a="1"/>
  <c r="G108" i="6" s="1"/>
  <c r="I53" i="6" a="1"/>
  <c r="I53" i="6" s="1"/>
  <c r="H182" i="6" a="1"/>
  <c r="H182" i="6" s="1"/>
  <c r="H141" i="6" a="1"/>
  <c r="H141" i="6" s="1"/>
  <c r="G194" i="6" a="1"/>
  <c r="G194" i="6" s="1"/>
  <c r="G192" i="6" a="1"/>
  <c r="G192" i="6" s="1"/>
  <c r="H84" i="6" a="1"/>
  <c r="H84" i="6" s="1"/>
  <c r="H112" i="6" a="1"/>
  <c r="H112" i="6" s="1"/>
  <c r="H70" i="6" a="1"/>
  <c r="H70" i="6" s="1"/>
  <c r="G255" i="6" a="1"/>
  <c r="G255" i="6" s="1"/>
  <c r="G7" i="6" a="1"/>
  <c r="G7" i="6" s="1"/>
  <c r="G254" i="6" a="1"/>
  <c r="G254" i="6" s="1"/>
  <c r="G77" i="6" a="1"/>
  <c r="G77" i="6" s="1"/>
  <c r="G107" i="6" a="1"/>
  <c r="G107" i="6" s="1"/>
  <c r="H142" i="6" a="1"/>
  <c r="H142" i="6" s="1"/>
  <c r="H26" i="6" a="1"/>
  <c r="H26" i="6" s="1"/>
  <c r="H27" i="6" a="1"/>
  <c r="H27" i="6" s="1"/>
  <c r="H65" i="6" a="1"/>
  <c r="H65" i="6" s="1"/>
  <c r="H118" i="6" a="1"/>
  <c r="H118" i="6" s="1"/>
  <c r="G196" i="6" a="1"/>
  <c r="G196" i="6" s="1"/>
  <c r="G56" i="6" a="1"/>
  <c r="G56" i="6" s="1"/>
  <c r="G184" i="6" a="1"/>
  <c r="G184" i="6" s="1"/>
  <c r="H107" i="6" a="1"/>
  <c r="H107" i="6" s="1"/>
  <c r="H193" i="6" a="1"/>
  <c r="H193" i="6" s="1"/>
  <c r="G4" i="6" a="1"/>
  <c r="G4" i="6" s="1"/>
  <c r="H33" i="6" a="1"/>
  <c r="H33" i="6" s="1"/>
  <c r="H37" i="6" a="1"/>
  <c r="H37" i="6" s="1"/>
  <c r="H38" i="6" a="1"/>
  <c r="H38" i="6" s="1"/>
  <c r="H87" i="6" a="1"/>
  <c r="H87" i="6" s="1"/>
  <c r="H6" i="6" a="1"/>
  <c r="H6" i="6" s="1"/>
  <c r="I101" i="6" a="1"/>
  <c r="I101" i="6" s="1"/>
  <c r="J101" i="6" s="1"/>
  <c r="H261" i="6" a="1"/>
  <c r="H261" i="6" s="1"/>
  <c r="I214" i="6" a="1"/>
  <c r="I214" i="6" s="1"/>
  <c r="H36" i="6" a="1"/>
  <c r="H36" i="6" s="1"/>
  <c r="I78" i="6" a="1"/>
  <c r="I78" i="6" s="1"/>
  <c r="J78" i="6" s="1"/>
  <c r="I138" i="6" a="1"/>
  <c r="I138" i="6" s="1"/>
  <c r="H103" i="6" a="1"/>
  <c r="H103" i="6" s="1"/>
  <c r="I36" i="6" a="1"/>
  <c r="I36" i="6" s="1"/>
  <c r="I222" i="6" a="1"/>
  <c r="I222" i="6" s="1"/>
  <c r="H209" i="6" a="1"/>
  <c r="H209" i="6" s="1"/>
  <c r="H158" i="6" a="1"/>
  <c r="H158" i="6" s="1"/>
  <c r="I180" i="6" a="1"/>
  <c r="I180" i="6" s="1"/>
  <c r="H185" i="6" a="1"/>
  <c r="H185" i="6" s="1"/>
  <c r="G146" i="6" a="1"/>
  <c r="G146" i="6" s="1"/>
  <c r="I189" i="6" a="1"/>
  <c r="I189" i="6" s="1"/>
  <c r="H85" i="6" a="1"/>
  <c r="H85" i="6" s="1"/>
  <c r="I31" i="6" a="1"/>
  <c r="I31" i="6" s="1"/>
  <c r="I91" i="6" a="1"/>
  <c r="I91" i="6" s="1"/>
  <c r="H92" i="6" a="1"/>
  <c r="H92" i="6" s="1"/>
  <c r="H206" i="6" a="1"/>
  <c r="H206" i="6" s="1"/>
  <c r="I237" i="6" a="1"/>
  <c r="I237" i="6" s="1"/>
  <c r="G36" i="6" a="1"/>
  <c r="G36" i="6" s="1"/>
  <c r="H238" i="6" a="1"/>
  <c r="H238" i="6" s="1"/>
  <c r="I152" i="6" a="1"/>
  <c r="I152" i="6" s="1"/>
  <c r="G30" i="6" a="1"/>
  <c r="G30" i="6" s="1"/>
  <c r="G215" i="6" a="1"/>
  <c r="G215" i="6" s="1"/>
  <c r="I235" i="6" a="1"/>
  <c r="I235" i="6" s="1"/>
  <c r="I223" i="6" a="1"/>
  <c r="I223" i="6" s="1"/>
  <c r="J223" i="6" s="1"/>
  <c r="H15" i="6" a="1"/>
  <c r="H15" i="6" s="1"/>
  <c r="G253" i="6" a="1"/>
  <c r="G253" i="6" s="1"/>
  <c r="I46" i="6" a="1"/>
  <c r="I46" i="6" s="1"/>
  <c r="H59" i="6" a="1"/>
  <c r="H59" i="6" s="1"/>
  <c r="G128" i="6" a="1"/>
  <c r="G128" i="6" s="1"/>
  <c r="G232" i="6" a="1"/>
  <c r="G232" i="6" s="1"/>
  <c r="H72" i="6" a="1"/>
  <c r="H72" i="6" s="1"/>
  <c r="G237" i="6" a="1"/>
  <c r="G237" i="6" s="1"/>
  <c r="G35" i="6" a="1"/>
  <c r="G35" i="6" s="1"/>
  <c r="G51" i="6" a="1"/>
  <c r="G51" i="6" s="1"/>
  <c r="I238" i="6" a="1"/>
  <c r="I238" i="6" s="1"/>
  <c r="H152" i="6" a="1"/>
  <c r="H152" i="6" s="1"/>
  <c r="I150" i="6" a="1"/>
  <c r="I150" i="6" s="1"/>
  <c r="H140" i="6" a="1"/>
  <c r="H140" i="6" s="1"/>
  <c r="I224" i="6" a="1"/>
  <c r="I224" i="6" s="1"/>
  <c r="H143" i="6" a="1"/>
  <c r="H143" i="6" s="1"/>
  <c r="G134" i="6" a="1"/>
  <c r="G134" i="6" s="1"/>
  <c r="I111" i="6" a="1"/>
  <c r="I111" i="6" s="1"/>
  <c r="J111" i="6" s="1"/>
  <c r="H233" i="6" a="1"/>
  <c r="H233" i="6" s="1"/>
  <c r="H204" i="6" a="1"/>
  <c r="H204" i="6" s="1"/>
  <c r="H218" i="6" a="1"/>
  <c r="H218" i="6" s="1"/>
  <c r="H245" i="6" a="1"/>
  <c r="H245" i="6" s="1"/>
  <c r="G206" i="6" a="1"/>
  <c r="G206" i="6" s="1"/>
  <c r="H219" i="6" a="1"/>
  <c r="H219" i="6" s="1"/>
  <c r="H51" i="6" a="1"/>
  <c r="H51" i="6" s="1"/>
  <c r="G208" i="6" a="1"/>
  <c r="G208" i="6" s="1"/>
  <c r="G152" i="6" a="1"/>
  <c r="G152" i="6" s="1"/>
  <c r="G156" i="6" a="1"/>
  <c r="G156" i="6" s="1"/>
  <c r="I23" i="6" a="1"/>
  <c r="I23" i="6" s="1"/>
  <c r="H237" i="6" a="1"/>
  <c r="H237" i="6" s="1"/>
  <c r="I51" i="6" a="1"/>
  <c r="I51" i="6" s="1"/>
  <c r="H208" i="6" a="1"/>
  <c r="H208" i="6" s="1"/>
  <c r="G130" i="6" a="1"/>
  <c r="G130" i="6" s="1"/>
  <c r="G214" i="6" a="1"/>
  <c r="G214" i="6" s="1"/>
  <c r="G136" i="6" a="1"/>
  <c r="G136" i="6" s="1"/>
  <c r="G139" i="6" a="1"/>
  <c r="G139" i="6" s="1"/>
  <c r="I35" i="6" a="1"/>
  <c r="I35" i="6" s="1"/>
  <c r="I61" i="6" a="1"/>
  <c r="I61" i="6" s="1"/>
  <c r="I261" i="6" a="1"/>
  <c r="I261" i="6" s="1"/>
  <c r="I208" i="6" a="1"/>
  <c r="I208" i="6" s="1"/>
  <c r="H130" i="6" a="1"/>
  <c r="H130" i="6" s="1"/>
  <c r="G234" i="6" a="1"/>
  <c r="G234" i="6" s="1"/>
  <c r="H128" i="6" a="1"/>
  <c r="H128" i="6" s="1"/>
  <c r="H139" i="6" a="1"/>
  <c r="H139" i="6" s="1"/>
  <c r="H23" i="6" a="1"/>
  <c r="H23" i="6" s="1"/>
  <c r="H61" i="6" a="1"/>
  <c r="H61" i="6" s="1"/>
  <c r="H138" i="6" a="1"/>
  <c r="H138" i="6" s="1"/>
  <c r="G220" i="6" a="1"/>
  <c r="G220" i="6" s="1"/>
  <c r="I130" i="6" a="1"/>
  <c r="I130" i="6" s="1"/>
  <c r="I3" i="6" a="1"/>
  <c r="I3" i="6" s="1"/>
  <c r="I139" i="6" a="1"/>
  <c r="I139" i="6" s="1"/>
  <c r="H35" i="6" a="1"/>
  <c r="H35" i="6" s="1"/>
  <c r="G61" i="6" a="1"/>
  <c r="G61" i="6" s="1"/>
  <c r="G179" i="6" a="1"/>
  <c r="G179" i="6" s="1"/>
  <c r="H220" i="6" a="1"/>
  <c r="H220" i="6" s="1"/>
  <c r="G24" i="6" a="1"/>
  <c r="G24" i="6" s="1"/>
  <c r="H241" i="6" a="1"/>
  <c r="H241" i="6" s="1"/>
  <c r="I146" i="6" a="1"/>
  <c r="I146" i="6" s="1"/>
  <c r="I109" i="6" a="1"/>
  <c r="I109" i="6" s="1"/>
  <c r="I80" i="6" a="1"/>
  <c r="I80" i="6" s="1"/>
  <c r="G75" i="6" a="1"/>
  <c r="G75" i="6" s="1"/>
  <c r="H132" i="6" a="1"/>
  <c r="H132" i="6" s="1"/>
  <c r="J132" i="6" s="1"/>
  <c r="G149" i="6" a="1"/>
  <c r="G149" i="6" s="1"/>
  <c r="I227" i="6" a="1"/>
  <c r="I227" i="6" s="1"/>
  <c r="H134" i="6" a="1"/>
  <c r="H134" i="6" s="1"/>
  <c r="G217" i="6" a="1"/>
  <c r="G217" i="6" s="1"/>
  <c r="H214" i="6" a="1"/>
  <c r="H214" i="6" s="1"/>
  <c r="G69" i="6" a="1"/>
  <c r="G69" i="6" s="1"/>
  <c r="H166" i="6" a="1"/>
  <c r="H166" i="6" s="1"/>
  <c r="J166" i="6" s="1"/>
  <c r="G23" i="6" a="1"/>
  <c r="G23" i="6" s="1"/>
  <c r="G261" i="6" a="1"/>
  <c r="G261" i="6" s="1"/>
  <c r="H179" i="6" a="1"/>
  <c r="H179" i="6" s="1"/>
  <c r="I220" i="6" a="1"/>
  <c r="I220" i="6" s="1"/>
  <c r="I207" i="6" a="1"/>
  <c r="I207" i="6" s="1"/>
  <c r="H122" i="6" a="1"/>
  <c r="H122" i="6" s="1"/>
  <c r="G166" i="6" a="1"/>
  <c r="G166" i="6" s="1"/>
  <c r="G219" i="6" a="1"/>
  <c r="G219" i="6" s="1"/>
  <c r="G221" i="6" a="1"/>
  <c r="G221" i="6" s="1"/>
  <c r="H100" i="6" a="1"/>
  <c r="H100" i="6" s="1"/>
  <c r="H24" i="6" a="1"/>
  <c r="H24" i="6" s="1"/>
  <c r="H2" i="6" a="1"/>
  <c r="H2" i="6" s="1"/>
  <c r="I151" i="6" a="1"/>
  <c r="I151" i="6" s="1"/>
  <c r="I203" i="6" a="1"/>
  <c r="I203" i="6" s="1"/>
  <c r="I191" i="6" a="1"/>
  <c r="I191" i="6" s="1"/>
  <c r="G54" i="6" a="1"/>
  <c r="G54" i="6" s="1"/>
  <c r="I127" i="6" a="1"/>
  <c r="I127" i="6" s="1"/>
  <c r="G2" i="6" a="1"/>
  <c r="G2" i="6" s="1"/>
  <c r="I228" i="6" a="1"/>
  <c r="I228" i="6" s="1"/>
  <c r="H119" i="6" a="1"/>
  <c r="H119" i="6" s="1"/>
  <c r="G244" i="6" a="1"/>
  <c r="G244" i="6" s="1"/>
  <c r="H149" i="6" a="1"/>
  <c r="H149" i="6" s="1"/>
  <c r="I164" i="6" a="1"/>
  <c r="I164" i="6" s="1"/>
  <c r="G133" i="6" a="1"/>
  <c r="G133" i="6" s="1"/>
  <c r="I131" i="6" a="1"/>
  <c r="I131" i="6" s="1"/>
  <c r="H221" i="6" a="1"/>
  <c r="H221" i="6" s="1"/>
  <c r="G100" i="6" a="1"/>
  <c r="G100" i="6" s="1"/>
  <c r="I24" i="6" a="1"/>
  <c r="I24" i="6" s="1"/>
  <c r="G20" i="6" a="1"/>
  <c r="G20" i="6" s="1"/>
  <c r="H236" i="6" a="1"/>
  <c r="H236" i="6" s="1"/>
  <c r="H113" i="6" a="1"/>
  <c r="H113" i="6" s="1"/>
  <c r="H133" i="6" a="1"/>
  <c r="H133" i="6" s="1"/>
  <c r="H131" i="6" a="1"/>
  <c r="H131" i="6" s="1"/>
  <c r="I11" i="6" a="1"/>
  <c r="I11" i="6" s="1"/>
  <c r="I221" i="6" a="1"/>
  <c r="I221" i="6" s="1"/>
  <c r="G207" i="6" a="1"/>
  <c r="G207" i="6" s="1"/>
  <c r="G262" i="6" a="1"/>
  <c r="G262" i="6" s="1"/>
  <c r="G239" i="6" a="1"/>
  <c r="G239" i="6" s="1"/>
  <c r="I102" i="6" a="1"/>
  <c r="I102" i="6" s="1"/>
  <c r="I126" i="6" a="1"/>
  <c r="I126" i="6" s="1"/>
  <c r="I226" i="6" a="1"/>
  <c r="I226" i="6" s="1"/>
  <c r="I133" i="6" a="1"/>
  <c r="I133" i="6" s="1"/>
  <c r="G131" i="6" a="1"/>
  <c r="G131" i="6" s="1"/>
  <c r="H11" i="6" a="1"/>
  <c r="H11" i="6" s="1"/>
  <c r="G222" i="6" a="1"/>
  <c r="G222" i="6" s="1"/>
  <c r="H207" i="6" a="1"/>
  <c r="H207" i="6" s="1"/>
  <c r="H262" i="6" a="1"/>
  <c r="H262" i="6" s="1"/>
  <c r="H239" i="6" a="1"/>
  <c r="H239" i="6" s="1"/>
  <c r="G85" i="6" a="1"/>
  <c r="G85" i="6" s="1"/>
  <c r="G138" i="6" a="1"/>
  <c r="G138" i="6" s="1"/>
  <c r="I103" i="6" a="1"/>
  <c r="I103" i="6" s="1"/>
  <c r="G11" i="6" a="1"/>
  <c r="G11" i="6" s="1"/>
  <c r="H222" i="6" a="1"/>
  <c r="H222" i="6" s="1"/>
  <c r="G209" i="6" a="1"/>
  <c r="G209" i="6" s="1"/>
  <c r="I262" i="6" a="1"/>
  <c r="I262" i="6" s="1"/>
  <c r="F13" i="7"/>
  <c r="C2" i="7"/>
  <c r="F7" i="7"/>
  <c r="F6" i="7"/>
  <c r="F14" i="7"/>
  <c r="F3" i="7"/>
  <c r="F9" i="7"/>
  <c r="F5" i="7"/>
  <c r="F12" i="7"/>
  <c r="F4" i="7"/>
  <c r="F8" i="7"/>
  <c r="F11" i="7"/>
  <c r="F10" i="7"/>
  <c r="E15" i="7"/>
  <c r="H53" i="7"/>
  <c r="H46" i="7"/>
  <c r="H49" i="7"/>
  <c r="H39" i="7"/>
  <c r="H43" i="7"/>
  <c r="H55" i="7"/>
  <c r="H47" i="7"/>
  <c r="B38" i="7"/>
  <c r="F38" i="7"/>
  <c r="H41" i="7"/>
  <c r="H48" i="7"/>
  <c r="H50" i="7"/>
  <c r="H44" i="7"/>
  <c r="H51" i="7"/>
  <c r="H52" i="7"/>
  <c r="H45" i="7"/>
  <c r="E38" i="7"/>
  <c r="H54" i="7"/>
  <c r="G38" i="7"/>
  <c r="D38" i="7"/>
  <c r="H40" i="7"/>
  <c r="D2" i="7"/>
  <c r="H42" i="7"/>
  <c r="J121" i="6" l="1"/>
  <c r="J128" i="6"/>
  <c r="J186" i="6"/>
  <c r="J204" i="6"/>
  <c r="J175" i="6"/>
  <c r="J96" i="6"/>
  <c r="J62" i="6"/>
  <c r="J245" i="6"/>
  <c r="J151" i="6"/>
  <c r="J263" i="6"/>
  <c r="J197" i="6"/>
  <c r="J75" i="6"/>
  <c r="J242" i="6"/>
  <c r="J118" i="6"/>
  <c r="J94" i="6"/>
  <c r="J238" i="6"/>
  <c r="J257" i="6"/>
  <c r="J200" i="6"/>
  <c r="J146" i="6"/>
  <c r="J89" i="6"/>
  <c r="J159" i="6"/>
  <c r="J83" i="6"/>
  <c r="J203" i="6"/>
  <c r="J254" i="6"/>
  <c r="J82" i="6"/>
  <c r="J258" i="6"/>
  <c r="J176" i="6"/>
  <c r="J191" i="6"/>
  <c r="J59" i="6"/>
  <c r="J210" i="6"/>
  <c r="J185" i="6"/>
  <c r="J184" i="6"/>
  <c r="J165" i="6"/>
  <c r="J77" i="6"/>
  <c r="J80" i="6"/>
  <c r="J93" i="6"/>
  <c r="J192" i="6"/>
  <c r="J91" i="6"/>
  <c r="J255" i="6"/>
  <c r="J205" i="6"/>
  <c r="J108" i="6"/>
  <c r="J214" i="6"/>
  <c r="J144" i="6"/>
  <c r="J202" i="6"/>
  <c r="J107" i="6"/>
  <c r="J178" i="6"/>
  <c r="J215" i="6"/>
  <c r="J170" i="6"/>
  <c r="J217" i="6"/>
  <c r="J169" i="6"/>
  <c r="J172" i="6"/>
  <c r="J67" i="6"/>
  <c r="J105" i="6"/>
  <c r="J171" i="6"/>
  <c r="J122" i="6"/>
  <c r="J196" i="6"/>
  <c r="J179" i="6"/>
  <c r="J65" i="6"/>
  <c r="J31" i="6"/>
  <c r="J117" i="6"/>
  <c r="J56" i="6"/>
  <c r="J201" i="6"/>
  <c r="J231" i="6"/>
  <c r="J211" i="6"/>
  <c r="J26" i="6"/>
  <c r="J18" i="6"/>
  <c r="J155" i="6"/>
  <c r="J110" i="6"/>
  <c r="J112" i="6"/>
  <c r="J52" i="6"/>
  <c r="J7" i="6"/>
  <c r="J177" i="6"/>
  <c r="J36" i="6"/>
  <c r="J64" i="6"/>
  <c r="J66" i="6"/>
  <c r="J224" i="6"/>
  <c r="J250" i="6"/>
  <c r="J120" i="6"/>
  <c r="J79" i="6"/>
  <c r="J15" i="6"/>
  <c r="J153" i="6"/>
  <c r="J81" i="6"/>
  <c r="J88" i="6"/>
  <c r="J136" i="6"/>
  <c r="J74" i="6"/>
  <c r="J123" i="6"/>
  <c r="J248" i="6"/>
  <c r="J10" i="6"/>
  <c r="J240" i="6"/>
  <c r="J140" i="6"/>
  <c r="J209" i="6"/>
  <c r="J57" i="6"/>
  <c r="J156" i="6"/>
  <c r="J22" i="6"/>
  <c r="J8" i="6"/>
  <c r="J102" i="6"/>
  <c r="J188" i="6"/>
  <c r="J243" i="6"/>
  <c r="J226" i="6"/>
  <c r="J212" i="6"/>
  <c r="J119" i="6"/>
  <c r="J182" i="6"/>
  <c r="J41" i="6"/>
  <c r="J148" i="6"/>
  <c r="J55" i="6"/>
  <c r="J195" i="6"/>
  <c r="J113" i="6"/>
  <c r="J85" i="6"/>
  <c r="J87" i="6"/>
  <c r="J143" i="6"/>
  <c r="J227" i="6"/>
  <c r="J49" i="6"/>
  <c r="J29" i="6"/>
  <c r="J25" i="6"/>
  <c r="J154" i="6"/>
  <c r="J69" i="6"/>
  <c r="J45" i="6"/>
  <c r="J5" i="6"/>
  <c r="J160" i="6"/>
  <c r="J30" i="6"/>
  <c r="J157" i="6"/>
  <c r="J99" i="6"/>
  <c r="J86" i="6"/>
  <c r="J253" i="6"/>
  <c r="J76" i="6"/>
  <c r="J95" i="6"/>
  <c r="J4" i="6"/>
  <c r="J251" i="6"/>
  <c r="J174" i="6"/>
  <c r="J206" i="6"/>
  <c r="J218" i="6"/>
  <c r="J38" i="6"/>
  <c r="J42" i="6"/>
  <c r="J158" i="6"/>
  <c r="J115" i="6"/>
  <c r="J100" i="6"/>
  <c r="J126" i="6"/>
  <c r="J150" i="6"/>
  <c r="J125" i="6"/>
  <c r="J259" i="6"/>
  <c r="J14" i="6"/>
  <c r="J104" i="6"/>
  <c r="J190" i="6"/>
  <c r="J68" i="6"/>
  <c r="J103" i="6"/>
  <c r="J228" i="6"/>
  <c r="J127" i="6"/>
  <c r="J239" i="6"/>
  <c r="J236" i="6"/>
  <c r="J234" i="6"/>
  <c r="J229" i="6"/>
  <c r="J2" i="6"/>
  <c r="J180" i="6"/>
  <c r="J138" i="6"/>
  <c r="J114" i="6"/>
  <c r="J137" i="6"/>
  <c r="J48" i="6"/>
  <c r="J152" i="6"/>
  <c r="J235" i="6"/>
  <c r="J142" i="6"/>
  <c r="J225" i="6"/>
  <c r="J20" i="6"/>
  <c r="J173" i="6"/>
  <c r="J47" i="6"/>
  <c r="J43" i="6"/>
  <c r="J167" i="6"/>
  <c r="J109" i="6"/>
  <c r="J199" i="6"/>
  <c r="J246" i="6"/>
  <c r="J124" i="6"/>
  <c r="J216" i="6"/>
  <c r="J244" i="6"/>
  <c r="J98" i="6"/>
  <c r="J13" i="6"/>
  <c r="J27" i="6"/>
  <c r="J19" i="6"/>
  <c r="J194" i="6"/>
  <c r="J161" i="6"/>
  <c r="J187" i="6"/>
  <c r="J44" i="6"/>
  <c r="J141" i="6"/>
  <c r="J70" i="6"/>
  <c r="J3" i="6"/>
  <c r="J256" i="6"/>
  <c r="J9" i="6"/>
  <c r="J207" i="6"/>
  <c r="J135" i="6"/>
  <c r="J219" i="6"/>
  <c r="J183" i="6"/>
  <c r="J50" i="6"/>
  <c r="J247" i="6"/>
  <c r="J63" i="6"/>
  <c r="J28" i="6"/>
  <c r="J97" i="6"/>
  <c r="J51" i="6"/>
  <c r="J34" i="6"/>
  <c r="J213" i="6"/>
  <c r="J35" i="6"/>
  <c r="F24" i="7"/>
  <c r="G24" i="7" s="1"/>
  <c r="J84" i="6"/>
  <c r="J12" i="6"/>
  <c r="J16" i="6"/>
  <c r="F20" i="7"/>
  <c r="G20" i="7" s="1"/>
  <c r="J17" i="6"/>
  <c r="J134" i="6"/>
  <c r="J72" i="6"/>
  <c r="F25" i="7"/>
  <c r="G25" i="7" s="1"/>
  <c r="J46" i="6"/>
  <c r="J260" i="6"/>
  <c r="J58" i="6"/>
  <c r="J168" i="6"/>
  <c r="J71" i="6"/>
  <c r="J73" i="6"/>
  <c r="J252" i="6"/>
  <c r="J261" i="6"/>
  <c r="J233" i="6"/>
  <c r="J162" i="6"/>
  <c r="J33" i="6"/>
  <c r="J60" i="6"/>
  <c r="J90" i="6"/>
  <c r="J163" i="6"/>
  <c r="J149" i="6"/>
  <c r="J130" i="6"/>
  <c r="J232" i="6"/>
  <c r="J241" i="6"/>
  <c r="F23" i="7"/>
  <c r="G23" i="7" s="1"/>
  <c r="F31" i="7"/>
  <c r="G31" i="7" s="1"/>
  <c r="J230" i="6"/>
  <c r="J129" i="6"/>
  <c r="J6" i="6"/>
  <c r="J145" i="6"/>
  <c r="J189" i="6"/>
  <c r="J21" i="6"/>
  <c r="J40" i="6"/>
  <c r="J92" i="6"/>
  <c r="F35" i="7"/>
  <c r="G35" i="7" s="1"/>
  <c r="J37" i="6"/>
  <c r="J106" i="6"/>
  <c r="F22" i="7"/>
  <c r="G22" i="7" s="1"/>
  <c r="J237" i="6"/>
  <c r="J193" i="6"/>
  <c r="F32" i="7"/>
  <c r="G32" i="7" s="1"/>
  <c r="J53" i="6"/>
  <c r="J32" i="6"/>
  <c r="J23" i="6"/>
  <c r="J164" i="6"/>
  <c r="J222" i="6"/>
  <c r="F26" i="7"/>
  <c r="G26" i="7" s="1"/>
  <c r="F33" i="7"/>
  <c r="G33" i="7" s="1"/>
  <c r="F19" i="7"/>
  <c r="G19" i="7" s="1"/>
  <c r="F27" i="7"/>
  <c r="G27" i="7" s="1"/>
  <c r="J262" i="6"/>
  <c r="F18" i="7"/>
  <c r="G18" i="7" s="1"/>
  <c r="J221" i="6"/>
  <c r="J54" i="6"/>
  <c r="J147" i="6"/>
  <c r="J131" i="6"/>
  <c r="J61" i="6"/>
  <c r="F21" i="7"/>
  <c r="G21" i="7" s="1"/>
  <c r="J208" i="6"/>
  <c r="J24" i="6"/>
  <c r="F34" i="7"/>
  <c r="G34" i="7" s="1"/>
  <c r="J11" i="6"/>
  <c r="F30" i="7"/>
  <c r="G30" i="7" s="1"/>
  <c r="F29" i="7"/>
  <c r="G29" i="7" s="1"/>
  <c r="J220" i="6"/>
  <c r="J133" i="6"/>
  <c r="F28" i="7"/>
  <c r="G28" i="7" s="1"/>
  <c r="J139" i="6"/>
  <c r="D15" i="7"/>
  <c r="F2" i="7"/>
  <c r="C15" i="7"/>
  <c r="H38" i="7"/>
  <c r="F15" i="7"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<sst xmlns="http://schemas.openxmlformats.org/spreadsheetml/2006/main" count="4992" uniqueCount="1493">
  <si>
    <t>hp</t>
  </si>
  <si>
    <t>pokedex_number</t>
  </si>
  <si>
    <t>grass</t>
  </si>
  <si>
    <t>poison</t>
  </si>
  <si>
    <t>fire</t>
  </si>
  <si>
    <t>flying</t>
  </si>
  <si>
    <t>water</t>
  </si>
  <si>
    <t>bug</t>
  </si>
  <si>
    <t>normal</t>
  </si>
  <si>
    <t>dark</t>
  </si>
  <si>
    <t>Pikachu</t>
  </si>
  <si>
    <t>electric</t>
  </si>
  <si>
    <t>Raichu</t>
  </si>
  <si>
    <t>ground</t>
  </si>
  <si>
    <t>ice</t>
  </si>
  <si>
    <t>Clefairy</t>
  </si>
  <si>
    <t>fairy</t>
  </si>
  <si>
    <t>Clefable</t>
  </si>
  <si>
    <t>Vulpix</t>
  </si>
  <si>
    <t>Ninetales</t>
  </si>
  <si>
    <t>Zubat</t>
  </si>
  <si>
    <t>Golbat</t>
  </si>
  <si>
    <t>fighting</t>
  </si>
  <si>
    <t>Growlithe</t>
  </si>
  <si>
    <t>Arcanine</t>
  </si>
  <si>
    <t>Abra</t>
  </si>
  <si>
    <t>psychic</t>
  </si>
  <si>
    <t>Kadabra</t>
  </si>
  <si>
    <t>Alakazam</t>
  </si>
  <si>
    <t>Machop</t>
  </si>
  <si>
    <t>Machoke</t>
  </si>
  <si>
    <t>Machamp</t>
  </si>
  <si>
    <t>Geodude</t>
  </si>
  <si>
    <t>rock</t>
  </si>
  <si>
    <t>Graveler</t>
  </si>
  <si>
    <t>Golem</t>
  </si>
  <si>
    <t>Ponyta</t>
  </si>
  <si>
    <t>Rapidash</t>
  </si>
  <si>
    <t>Magnemite</t>
  </si>
  <si>
    <t>steel</t>
  </si>
  <si>
    <t>Magneton</t>
  </si>
  <si>
    <t>Gastly</t>
  </si>
  <si>
    <t>ghost</t>
  </si>
  <si>
    <t>Haunter</t>
  </si>
  <si>
    <t>Gengar</t>
  </si>
  <si>
    <t>Onix</t>
  </si>
  <si>
    <t>Hitmonlee</t>
  </si>
  <si>
    <t>Hitmonchan</t>
  </si>
  <si>
    <t>Lickitung</t>
  </si>
  <si>
    <t>Rhyhorn</t>
  </si>
  <si>
    <t>Rhydon</t>
  </si>
  <si>
    <t>Chansey</t>
  </si>
  <si>
    <t>Tangela</t>
  </si>
  <si>
    <t>Mr. Mime</t>
  </si>
  <si>
    <t>Electabuzz</t>
  </si>
  <si>
    <t>Magmar</t>
  </si>
  <si>
    <t>Magikarp</t>
  </si>
  <si>
    <t>Gyarados</t>
  </si>
  <si>
    <t>Eevee</t>
  </si>
  <si>
    <t>Vaporeon</t>
  </si>
  <si>
    <t>Jolteon</t>
  </si>
  <si>
    <t>Flareon</t>
  </si>
  <si>
    <t>Snorlax</t>
  </si>
  <si>
    <t>Articuno</t>
  </si>
  <si>
    <t>Zapdos</t>
  </si>
  <si>
    <t>Moltres</t>
  </si>
  <si>
    <t>Dratini</t>
  </si>
  <si>
    <t>dragon</t>
  </si>
  <si>
    <t>Dragonair</t>
  </si>
  <si>
    <t>Dragonite</t>
  </si>
  <si>
    <t>Crobat</t>
  </si>
  <si>
    <t>Pichu</t>
  </si>
  <si>
    <t>Cleffa</t>
  </si>
  <si>
    <t>Togepi</t>
  </si>
  <si>
    <t>Togetic</t>
  </si>
  <si>
    <t>Marill</t>
  </si>
  <si>
    <t>Azumarill</t>
  </si>
  <si>
    <t>Sudowoodo</t>
  </si>
  <si>
    <t>Aipom</t>
  </si>
  <si>
    <t>Yanma</t>
  </si>
  <si>
    <t>Wooper</t>
  </si>
  <si>
    <t>Quagsire</t>
  </si>
  <si>
    <t>Espeon</t>
  </si>
  <si>
    <t>Umbreon</t>
  </si>
  <si>
    <t>Murkrow</t>
  </si>
  <si>
    <t>Misdreavus</t>
  </si>
  <si>
    <t>Unown</t>
  </si>
  <si>
    <t>Gligar</t>
  </si>
  <si>
    <t>Steelix</t>
  </si>
  <si>
    <t>Heracross</t>
  </si>
  <si>
    <t>Sneasel</t>
  </si>
  <si>
    <t>Teddiursa</t>
  </si>
  <si>
    <t>Ursaring</t>
  </si>
  <si>
    <t>Swinub</t>
  </si>
  <si>
    <t>Piloswine</t>
  </si>
  <si>
    <t>Corsola</t>
  </si>
  <si>
    <t>Remoraid</t>
  </si>
  <si>
    <t>Octillery</t>
  </si>
  <si>
    <t>Mantine</t>
  </si>
  <si>
    <t>Houndour</t>
  </si>
  <si>
    <t>Houndoom</t>
  </si>
  <si>
    <t>Stantler</t>
  </si>
  <si>
    <t>Tyrogue</t>
  </si>
  <si>
    <t>Hitmontop</t>
  </si>
  <si>
    <t>Elekid</t>
  </si>
  <si>
    <t>Magby</t>
  </si>
  <si>
    <t>Blissey</t>
  </si>
  <si>
    <t>Larvitar</t>
  </si>
  <si>
    <t>Pupitar</t>
  </si>
  <si>
    <t>Tyranitar</t>
  </si>
  <si>
    <t>Celebi</t>
  </si>
  <si>
    <t>Wurmple</t>
  </si>
  <si>
    <t>Silcoon</t>
  </si>
  <si>
    <t>Beautifly</t>
  </si>
  <si>
    <t>Cascoon</t>
  </si>
  <si>
    <t>Dustox</t>
  </si>
  <si>
    <t>Ralts</t>
  </si>
  <si>
    <t>Kirlia</t>
  </si>
  <si>
    <t>Gardevoir</t>
  </si>
  <si>
    <t>Azurill</t>
  </si>
  <si>
    <t>Nosepass</t>
  </si>
  <si>
    <t>Meditite</t>
  </si>
  <si>
    <t>Medicham</t>
  </si>
  <si>
    <t>Roselia</t>
  </si>
  <si>
    <t>Swablu</t>
  </si>
  <si>
    <t>Altaria</t>
  </si>
  <si>
    <t>Feebas</t>
  </si>
  <si>
    <t>Milotic</t>
  </si>
  <si>
    <t>Duskull</t>
  </si>
  <si>
    <t>Dusclops</t>
  </si>
  <si>
    <t>Chimecho</t>
  </si>
  <si>
    <t>Absol</t>
  </si>
  <si>
    <t>Snorunt</t>
  </si>
  <si>
    <t>Glalie</t>
  </si>
  <si>
    <t>Spheal</t>
  </si>
  <si>
    <t>Sealeo</t>
  </si>
  <si>
    <t>Walrein</t>
  </si>
  <si>
    <t>Bagon</t>
  </si>
  <si>
    <t>Shelgon</t>
  </si>
  <si>
    <t>Salamence</t>
  </si>
  <si>
    <t>Regirock</t>
  </si>
  <si>
    <t>Regice</t>
  </si>
  <si>
    <t>Registeel</t>
  </si>
  <si>
    <t>Turtwig</t>
  </si>
  <si>
    <t>Grotle</t>
  </si>
  <si>
    <t>Torterra</t>
  </si>
  <si>
    <t>Chimchar</t>
  </si>
  <si>
    <t>Monferno</t>
  </si>
  <si>
    <t>Infernape</t>
  </si>
  <si>
    <t>Piplup</t>
  </si>
  <si>
    <t>Prinplup</t>
  </si>
  <si>
    <t>Empoleon</t>
  </si>
  <si>
    <t>Starly</t>
  </si>
  <si>
    <t>Staravia</t>
  </si>
  <si>
    <t>Staraptor</t>
  </si>
  <si>
    <t>Bidoof</t>
  </si>
  <si>
    <t>Bibarel</t>
  </si>
  <si>
    <t>Kricketot</t>
  </si>
  <si>
    <t>Kricketune</t>
  </si>
  <si>
    <t>Shinx</t>
  </si>
  <si>
    <t>Luxio</t>
  </si>
  <si>
    <t>Luxray</t>
  </si>
  <si>
    <t>Budew</t>
  </si>
  <si>
    <t>Roserade</t>
  </si>
  <si>
    <t>Cranidos</t>
  </si>
  <si>
    <t>Rampardos</t>
  </si>
  <si>
    <t>Shieldon</t>
  </si>
  <si>
    <t>Bastiodon</t>
  </si>
  <si>
    <t>Burmy</t>
  </si>
  <si>
    <t>Wormadam</t>
  </si>
  <si>
    <t>Mothim</t>
  </si>
  <si>
    <t>Combee</t>
  </si>
  <si>
    <t>Vespiquen</t>
  </si>
  <si>
    <t>Pachirisu</t>
  </si>
  <si>
    <t>Buizel</t>
  </si>
  <si>
    <t>Floatzel</t>
  </si>
  <si>
    <t>Cherubi</t>
  </si>
  <si>
    <t>Cherrim</t>
  </si>
  <si>
    <t>Ambipom</t>
  </si>
  <si>
    <t>Drifloon</t>
  </si>
  <si>
    <t>Drifblim</t>
  </si>
  <si>
    <t>Buneary</t>
  </si>
  <si>
    <t>Lopunny</t>
  </si>
  <si>
    <t>Mismagius</t>
  </si>
  <si>
    <t>Honchkrow</t>
  </si>
  <si>
    <t>Glameow</t>
  </si>
  <si>
    <t>Purugly</t>
  </si>
  <si>
    <t>Chingling</t>
  </si>
  <si>
    <t>Stunky</t>
  </si>
  <si>
    <t>Skuntank</t>
  </si>
  <si>
    <t>Bronzor</t>
  </si>
  <si>
    <t>Bronzong</t>
  </si>
  <si>
    <t>Bonsly</t>
  </si>
  <si>
    <t>Mime Jr.</t>
  </si>
  <si>
    <t>Happiny</t>
  </si>
  <si>
    <t>Chatot</t>
  </si>
  <si>
    <t>Spiritomb</t>
  </si>
  <si>
    <t>Gible</t>
  </si>
  <si>
    <t>Gabite</t>
  </si>
  <si>
    <t>Garchomp</t>
  </si>
  <si>
    <t>Munchlax</t>
  </si>
  <si>
    <t>Riolu</t>
  </si>
  <si>
    <t>Lucario</t>
  </si>
  <si>
    <t>Hippopotas</t>
  </si>
  <si>
    <t>Hippowdon</t>
  </si>
  <si>
    <t>Skorupi</t>
  </si>
  <si>
    <t>Drapion</t>
  </si>
  <si>
    <t>Croagunk</t>
  </si>
  <si>
    <t>Toxicroak</t>
  </si>
  <si>
    <t>Carnivine</t>
  </si>
  <si>
    <t>Finneon</t>
  </si>
  <si>
    <t>Lumineon</t>
  </si>
  <si>
    <t>Mantyke</t>
  </si>
  <si>
    <t>Snover</t>
  </si>
  <si>
    <t>Abomasnow</t>
  </si>
  <si>
    <t>Weavile</t>
  </si>
  <si>
    <t>Magnezone</t>
  </si>
  <si>
    <t>Lickilicky</t>
  </si>
  <si>
    <t>Rhyperior</t>
  </si>
  <si>
    <t>Tangrowth</t>
  </si>
  <si>
    <t>Electivire</t>
  </si>
  <si>
    <t>Magmortar</t>
  </si>
  <si>
    <t>Togekiss</t>
  </si>
  <si>
    <t>Yanmega</t>
  </si>
  <si>
    <t>Leafeon</t>
  </si>
  <si>
    <t>Glaceon</t>
  </si>
  <si>
    <t>Gliscor</t>
  </si>
  <si>
    <t>Mamoswine</t>
  </si>
  <si>
    <t>Gallade</t>
  </si>
  <si>
    <t>Probopass</t>
  </si>
  <si>
    <t>Dusknoir</t>
  </si>
  <si>
    <t>Froslass</t>
  </si>
  <si>
    <t>Rotom</t>
  </si>
  <si>
    <t>Uxie</t>
  </si>
  <si>
    <t>Mesprit</t>
  </si>
  <si>
    <t>Azelf</t>
  </si>
  <si>
    <t>Dialga</t>
  </si>
  <si>
    <t>Palkia</t>
  </si>
  <si>
    <t>Heatran</t>
  </si>
  <si>
    <t>Regigigas</t>
  </si>
  <si>
    <t>Giratina</t>
  </si>
  <si>
    <t>Cresselia</t>
  </si>
  <si>
    <t>Phione</t>
  </si>
  <si>
    <t>Manaphy</t>
  </si>
  <si>
    <t>Darkrai</t>
  </si>
  <si>
    <t>Shaymin</t>
  </si>
  <si>
    <t>Arceus</t>
  </si>
  <si>
    <t>Flame Pokemon</t>
  </si>
  <si>
    <t>Worm Pokemon</t>
  </si>
  <si>
    <t>Cocoon Pokemon</t>
  </si>
  <si>
    <t>Butterfly Pokemon</t>
  </si>
  <si>
    <t>Mouse Pokemon</t>
  </si>
  <si>
    <t>Fairy Pokemon</t>
  </si>
  <si>
    <t>Fox Pokemon</t>
  </si>
  <si>
    <t>Bat Pokemon</t>
  </si>
  <si>
    <t>Poison Moth Pokemon</t>
  </si>
  <si>
    <t>Puppy Pokemon</t>
  </si>
  <si>
    <t>Legendary Pokemon</t>
  </si>
  <si>
    <t>Psi Pokemon</t>
  </si>
  <si>
    <t>Superpower Pokemon</t>
  </si>
  <si>
    <t>Rock Pokemon</t>
  </si>
  <si>
    <t>Megaton Pokemon</t>
  </si>
  <si>
    <t>Fire Horse Pokemon</t>
  </si>
  <si>
    <t>Gas Pokemon</t>
  </si>
  <si>
    <t>Shadow Pokemon</t>
  </si>
  <si>
    <t>Rock Snake Pokemon</t>
  </si>
  <si>
    <t>Kicking Pokemon</t>
  </si>
  <si>
    <t>Punching Pokemon</t>
  </si>
  <si>
    <t>Dragon Pokemon</t>
  </si>
  <si>
    <t>Electric Pokemon</t>
  </si>
  <si>
    <t>Fish Pokemon</t>
  </si>
  <si>
    <t>Freeze Pokemon</t>
  </si>
  <si>
    <t>Tiny Mouse Pokemon</t>
  </si>
  <si>
    <t>Star Shape Pokemon</t>
  </si>
  <si>
    <t>Aquamouse Pokemon</t>
  </si>
  <si>
    <t>Aquarabbit Pokemon</t>
  </si>
  <si>
    <t>Water Fish Pokemon</t>
  </si>
  <si>
    <t>Symbol Pokemon</t>
  </si>
  <si>
    <t>Iron Snake Pokemon</t>
  </si>
  <si>
    <t>Singlehorn Pokemon</t>
  </si>
  <si>
    <t>Little Bear Pokemon</t>
  </si>
  <si>
    <t>Hibernator Pokemon</t>
  </si>
  <si>
    <t>Coral Pokemon</t>
  </si>
  <si>
    <t>Jet Pokemon</t>
  </si>
  <si>
    <t>Armor Pokemon</t>
  </si>
  <si>
    <t>Big Horn Pokemon</t>
  </si>
  <si>
    <t>Scuffle Pokemon</t>
  </si>
  <si>
    <t>Handstand Pokemon</t>
  </si>
  <si>
    <t>Rock Skin Pokemon</t>
  </si>
  <si>
    <t>Hard Shell Pokemon</t>
  </si>
  <si>
    <t>Time Travel Pokemon</t>
  </si>
  <si>
    <t>Polka Dot Pokemon</t>
  </si>
  <si>
    <t>Meditate Pokemon</t>
  </si>
  <si>
    <t>Cotton Bird Pokemon</t>
  </si>
  <si>
    <t>Humming Pokemon</t>
  </si>
  <si>
    <t>Tender Pokemon</t>
  </si>
  <si>
    <t>Rock Head Pokemon</t>
  </si>
  <si>
    <t>Endurance Pokemon</t>
  </si>
  <si>
    <t>Forest</t>
  </si>
  <si>
    <t>Cold</t>
  </si>
  <si>
    <t>Temperate</t>
  </si>
  <si>
    <t>Plains</t>
  </si>
  <si>
    <t>Warm</t>
  </si>
  <si>
    <t>Ocean</t>
  </si>
  <si>
    <t>Mountain</t>
  </si>
  <si>
    <t>type_1</t>
  </si>
  <si>
    <t>type_2</t>
  </si>
  <si>
    <t>pokedex_name</t>
  </si>
  <si>
    <t>atk</t>
  </si>
  <si>
    <t>def</t>
  </si>
  <si>
    <t>sp_atk</t>
  </si>
  <si>
    <t>sp_def</t>
  </si>
  <si>
    <t>spd</t>
  </si>
  <si>
    <t>description</t>
  </si>
  <si>
    <t>Shellos</t>
  </si>
  <si>
    <t>Gastrodon</t>
  </si>
  <si>
    <t>classification</t>
  </si>
  <si>
    <t>Tiny Leaf Pokémon</t>
  </si>
  <si>
    <t>Grove Pokémon</t>
  </si>
  <si>
    <t>Continent Pokémon</t>
  </si>
  <si>
    <t>Chimp Pokémon</t>
  </si>
  <si>
    <t>Playful Pokémon</t>
  </si>
  <si>
    <t>Flame Pokémon</t>
  </si>
  <si>
    <t>Penguin Pokémon</t>
  </si>
  <si>
    <t>Emperor Pokémon</t>
  </si>
  <si>
    <t>Starling Pokémon</t>
  </si>
  <si>
    <t>Predator Pokémon</t>
  </si>
  <si>
    <t>Plump Mouse Pokémon</t>
  </si>
  <si>
    <t>Beaver Pokémon</t>
  </si>
  <si>
    <t>Cricket Pokémon</t>
  </si>
  <si>
    <t>Flash Pokémon</t>
  </si>
  <si>
    <t>Spark Pokémon</t>
  </si>
  <si>
    <t>Gleam Eyes Pokémon</t>
  </si>
  <si>
    <t>Bud Pokémon</t>
  </si>
  <si>
    <t>Thorn Pokémon</t>
  </si>
  <si>
    <t>Bouquet Pokémon</t>
  </si>
  <si>
    <t>Head Butt Pokémon</t>
  </si>
  <si>
    <t>Shield Pokémon</t>
  </si>
  <si>
    <t>Bagworm Pokémon</t>
  </si>
  <si>
    <t>Moth Pokémon</t>
  </si>
  <si>
    <t>Tiny Bee Pokémon</t>
  </si>
  <si>
    <t>Beehive Pokémon</t>
  </si>
  <si>
    <t>EleSquirrel Pokémon</t>
  </si>
  <si>
    <t>Sea Weasel Pokémon</t>
  </si>
  <si>
    <t>Cherry Pokémon</t>
  </si>
  <si>
    <t>Blossom Pokémon</t>
  </si>
  <si>
    <t>Sea Slug Pokémon</t>
  </si>
  <si>
    <t>Long Tail Pokémon</t>
  </si>
  <si>
    <t>Balloon Pokémon</t>
  </si>
  <si>
    <t>Blimp Pokémon</t>
  </si>
  <si>
    <t>Rabbit Pokémon</t>
  </si>
  <si>
    <t>Screech Pokémon</t>
  </si>
  <si>
    <t>Magical Pokémon</t>
  </si>
  <si>
    <t>Darkness Pokémon</t>
  </si>
  <si>
    <t>Big Boss Pokémon</t>
  </si>
  <si>
    <t>Catty Pokémon</t>
  </si>
  <si>
    <t>Tiger Cat Pokémon</t>
  </si>
  <si>
    <t>Bell Pokémon</t>
  </si>
  <si>
    <t>Wind Chime Pokémon</t>
  </si>
  <si>
    <t>Skunk Pokémon</t>
  </si>
  <si>
    <t>Bronze Pokémon</t>
  </si>
  <si>
    <t>Bronze Bell Pokémon</t>
  </si>
  <si>
    <t>Bonsai Pokémon</t>
  </si>
  <si>
    <t>Imitation Pokémon</t>
  </si>
  <si>
    <t>Mime Pokémon</t>
  </si>
  <si>
    <t>Barrier Pokémon</t>
  </si>
  <si>
    <t>Playhouse Pokémon</t>
  </si>
  <si>
    <t>Egg Pokémon</t>
  </si>
  <si>
    <t>Happiness Pokémon</t>
  </si>
  <si>
    <t>Music Note Pokémon</t>
  </si>
  <si>
    <t>Forbidden Pokémon</t>
  </si>
  <si>
    <t>Land Shark Pokémon</t>
  </si>
  <si>
    <t>Cave Pokémon</t>
  </si>
  <si>
    <t>Mach Pokémon</t>
  </si>
  <si>
    <t>Big Eater Pokémon</t>
  </si>
  <si>
    <t>Sleeping Pokémon</t>
  </si>
  <si>
    <t>Emanation Pokémon</t>
  </si>
  <si>
    <t>Aura Pokémon</t>
  </si>
  <si>
    <t>Hippo Pokémon</t>
  </si>
  <si>
    <t>Heavyweight Pokémon</t>
  </si>
  <si>
    <t>Scorpion Pokémon</t>
  </si>
  <si>
    <t>Ogre Scorp Pokémon</t>
  </si>
  <si>
    <t>Toxic Mouth Pokémon</t>
  </si>
  <si>
    <t>Bug Catcher Pokémon</t>
  </si>
  <si>
    <t>Wing Fish Pokémon</t>
  </si>
  <si>
    <t>Neon Pokémon</t>
  </si>
  <si>
    <t>Kite Pokémon</t>
  </si>
  <si>
    <t>Frosted Tree Pokémon</t>
  </si>
  <si>
    <t>Sharp Claw Pokémon</t>
  </si>
  <si>
    <t>Magnet Pokémon</t>
  </si>
  <si>
    <t>Magnet Area Pokémon</t>
  </si>
  <si>
    <t>Licking Pokémon</t>
  </si>
  <si>
    <t>Spikes Pokémon</t>
  </si>
  <si>
    <t>Drill Pokémon</t>
  </si>
  <si>
    <t>Vine Pokémon</t>
  </si>
  <si>
    <t>Electric Pokémon</t>
  </si>
  <si>
    <t>Thunderbolt Pokémon</t>
  </si>
  <si>
    <t>Live Coal Pokémon</t>
  </si>
  <si>
    <t>Spitfire Pokémon</t>
  </si>
  <si>
    <t>Blast Pokémon</t>
  </si>
  <si>
    <t>Spike Ball Pokémon</t>
  </si>
  <si>
    <t>Jubilee Pokémon</t>
  </si>
  <si>
    <t>Clear Wing Pokémon</t>
  </si>
  <si>
    <t>Ogre Darner Pokémon</t>
  </si>
  <si>
    <t>Evolution Pokémon</t>
  </si>
  <si>
    <t>Bubble Jet Pokémon</t>
  </si>
  <si>
    <t>Lightning Pokémon</t>
  </si>
  <si>
    <t>Sun Pokémon</t>
  </si>
  <si>
    <t>Moonlight Pokémon</t>
  </si>
  <si>
    <t>Verdant Pokémon</t>
  </si>
  <si>
    <t>Fresh Snow Pokémon</t>
  </si>
  <si>
    <t>Flyscorpion Pokémon</t>
  </si>
  <si>
    <t>Fang Scorp Pokémon</t>
  </si>
  <si>
    <t>Pig Pokémon</t>
  </si>
  <si>
    <t>Swine Pokémon</t>
  </si>
  <si>
    <t>Twin Tusk Pokémon</t>
  </si>
  <si>
    <t>Feeling Pokémon</t>
  </si>
  <si>
    <t>Emotion Pokémon</t>
  </si>
  <si>
    <t>Embrace Pokémon</t>
  </si>
  <si>
    <t>Blade Pokémon</t>
  </si>
  <si>
    <t>Compass Pokémon</t>
  </si>
  <si>
    <t>Requiem Pokémon</t>
  </si>
  <si>
    <t>Beckon Pokémon</t>
  </si>
  <si>
    <t>Gripper Pokémon</t>
  </si>
  <si>
    <t>Snow Hat Pokémon</t>
  </si>
  <si>
    <t>Face Pokémon</t>
  </si>
  <si>
    <t>Snow Land Pokémon</t>
  </si>
  <si>
    <t>Dark Pokémon</t>
  </si>
  <si>
    <t>Disaster Pokémon</t>
  </si>
  <si>
    <t>Fish Pokémon</t>
  </si>
  <si>
    <t>Atrocious Pokémon</t>
  </si>
  <si>
    <t>Clap Pokémon</t>
  </si>
  <si>
    <t>Ball Roll Pokémon</t>
  </si>
  <si>
    <t>Ice Break Pokémon</t>
  </si>
  <si>
    <t>move_1</t>
  </si>
  <si>
    <t>move_2</t>
  </si>
  <si>
    <t>move_3</t>
  </si>
  <si>
    <t>evolve_cost</t>
  </si>
  <si>
    <t>West Ocean Shellos</t>
  </si>
  <si>
    <t>West Ocean Gastrodon</t>
  </si>
  <si>
    <t>East Ocean Shellos</t>
  </si>
  <si>
    <t>East Ocean Gastrodon</t>
  </si>
  <si>
    <t>internal_name</t>
  </si>
  <si>
    <t>evolve_into</t>
  </si>
  <si>
    <t>Iron Pokémon</t>
  </si>
  <si>
    <t>Iceberg Pokémon</t>
  </si>
  <si>
    <t>Rock Peak Pokémon</t>
  </si>
  <si>
    <t>Gratitude Pokémon</t>
  </si>
  <si>
    <t>Pitch-Black Pokémon</t>
  </si>
  <si>
    <t>Seafaring Pokémon</t>
  </si>
  <si>
    <t>Sea Drifter Pokémon</t>
  </si>
  <si>
    <t>Lunar Pokémon</t>
  </si>
  <si>
    <t>Renegade Pokémon</t>
  </si>
  <si>
    <t>Colossal Pokémon</t>
  </si>
  <si>
    <t>Lava Dome Pokémon</t>
  </si>
  <si>
    <t>Spatial Pokémon</t>
  </si>
  <si>
    <t>Temporal Pokémon</t>
  </si>
  <si>
    <t>is_legendary</t>
  </si>
  <si>
    <t>number_in_deck</t>
  </si>
  <si>
    <t>Porygon-Z</t>
  </si>
  <si>
    <t>Plasma Pokémon</t>
  </si>
  <si>
    <t>Wormadam/Mothim</t>
  </si>
  <si>
    <t>Gardevoir/Gallade</t>
  </si>
  <si>
    <t>Glalie/Froslass</t>
  </si>
  <si>
    <t>Cross Poison</t>
  </si>
  <si>
    <t>Double Hit</t>
  </si>
  <si>
    <t>female_grunt</t>
  </si>
  <si>
    <t>male_grunt</t>
  </si>
  <si>
    <t>trainer</t>
  </si>
  <si>
    <t>biome</t>
  </si>
  <si>
    <t>climate</t>
  </si>
  <si>
    <t>Chilling Acuity</t>
  </si>
  <si>
    <t>Blazing Valor</t>
  </si>
  <si>
    <t>jupiter</t>
  </si>
  <si>
    <t>mars</t>
  </si>
  <si>
    <t>saturn</t>
  </si>
  <si>
    <t>cyrus</t>
  </si>
  <si>
    <t>Spacial Rend</t>
  </si>
  <si>
    <t>Fire Blast</t>
  </si>
  <si>
    <t>Hydro Pump</t>
  </si>
  <si>
    <t>Flamethrower</t>
  </si>
  <si>
    <t>Volt Switch</t>
  </si>
  <si>
    <t>U-Turn</t>
  </si>
  <si>
    <t>Scald</t>
  </si>
  <si>
    <t>Earthquake</t>
  </si>
  <si>
    <t>Thunderbolt</t>
  </si>
  <si>
    <t>Thunder</t>
  </si>
  <si>
    <t>Giga Drain</t>
  </si>
  <si>
    <t>Blizzard</t>
  </si>
  <si>
    <t>Ice Beam</t>
  </si>
  <si>
    <t>Powder Snow</t>
  </si>
  <si>
    <t>Aura Sphere</t>
  </si>
  <si>
    <t>Close Combat</t>
  </si>
  <si>
    <t>Toxic</t>
  </si>
  <si>
    <t>Wing Attack</t>
  </si>
  <si>
    <t>Psychic</t>
  </si>
  <si>
    <t>Confusion</t>
  </si>
  <si>
    <t>Megahorn</t>
  </si>
  <si>
    <t>Stone Edge</t>
  </si>
  <si>
    <t>Rock Wrecker</t>
  </si>
  <si>
    <t>Rock Blast</t>
  </si>
  <si>
    <t>Hex</t>
  </si>
  <si>
    <t>Outrage</t>
  </si>
  <si>
    <t>Roar of Time</t>
  </si>
  <si>
    <t>Crunch</t>
  </si>
  <si>
    <t>Dark Void</t>
  </si>
  <si>
    <t>Iron Tail</t>
  </si>
  <si>
    <t>Flash Cannon</t>
  </si>
  <si>
    <t>Play Rough</t>
  </si>
  <si>
    <t>move_name</t>
  </si>
  <si>
    <t>Tackle</t>
  </si>
  <si>
    <t>Take Down</t>
  </si>
  <si>
    <t>Head Smash</t>
  </si>
  <si>
    <t>Bug Bite</t>
  </si>
  <si>
    <t>Air Slash</t>
  </si>
  <si>
    <t>Attack Order</t>
  </si>
  <si>
    <t>Explosion</t>
  </si>
  <si>
    <t>Heal Bell</t>
  </si>
  <si>
    <t>Mimic</t>
  </si>
  <si>
    <t>Grass Whistle</t>
  </si>
  <si>
    <t>Night Slash</t>
  </si>
  <si>
    <t>Shadow Force</t>
  </si>
  <si>
    <t>Soft-Boiled</t>
  </si>
  <si>
    <t>Chatter</t>
  </si>
  <si>
    <t>Sand Tomb</t>
  </si>
  <si>
    <t>Body Slam</t>
  </si>
  <si>
    <t>Bite</t>
  </si>
  <si>
    <t>Revenge</t>
  </si>
  <si>
    <t>Octazooka</t>
  </si>
  <si>
    <t>Wood Hammer</t>
  </si>
  <si>
    <t>Slash</t>
  </si>
  <si>
    <t>Tri Attack</t>
  </si>
  <si>
    <t>Rollout</t>
  </si>
  <si>
    <t>Ancient Power</t>
  </si>
  <si>
    <t>Moonblast</t>
  </si>
  <si>
    <t>Magma Storm</t>
  </si>
  <si>
    <t>Seed Flare</t>
  </si>
  <si>
    <t>Hidden Power</t>
  </si>
  <si>
    <t>count</t>
  </si>
  <si>
    <t>Teleport</t>
  </si>
  <si>
    <t>Metronome</t>
  </si>
  <si>
    <t>Water Pulse</t>
  </si>
  <si>
    <t>Silcoon/Cascoon</t>
  </si>
  <si>
    <t>Perish Song</t>
  </si>
  <si>
    <t>move_4</t>
  </si>
  <si>
    <t>Judgement</t>
  </si>
  <si>
    <t>Poltergeist</t>
  </si>
  <si>
    <t>Confuse Ray</t>
  </si>
  <si>
    <t>typeless</t>
  </si>
  <si>
    <t>Space</t>
  </si>
  <si>
    <t>Splash</t>
  </si>
  <si>
    <t>Team Galactic Grunt</t>
  </si>
  <si>
    <t>Commander Jupiter</t>
  </si>
  <si>
    <t>Commander Mars</t>
  </si>
  <si>
    <t>Commander Saturn</t>
  </si>
  <si>
    <t>health</t>
  </si>
  <si>
    <t>initiative</t>
  </si>
  <si>
    <t>total</t>
  </si>
  <si>
    <t>grunt</t>
  </si>
  <si>
    <t>commander</t>
  </si>
  <si>
    <t>boss</t>
  </si>
  <si>
    <t>Heavy Slam</t>
  </si>
  <si>
    <t>Choose any learnable type of the user as the type of this attack.</t>
  </si>
  <si>
    <t>High Jump Kick</t>
  </si>
  <si>
    <t>Triple Kick</t>
  </si>
  <si>
    <t>Hitmonlee/Hitmonchan/Hitmontop</t>
  </si>
  <si>
    <t>Thrash</t>
  </si>
  <si>
    <t>Thunder Shock</t>
  </si>
  <si>
    <t>Shocking Verity</t>
  </si>
  <si>
    <t>Sheer Cold</t>
  </si>
  <si>
    <t>Sky Attack</t>
  </si>
  <si>
    <t>Zap Cannon</t>
  </si>
  <si>
    <t>is_starter</t>
  </si>
  <si>
    <t>min_total</t>
  </si>
  <si>
    <t>max_total</t>
  </si>
  <si>
    <t>Cyrus</t>
  </si>
  <si>
    <t>Surf</t>
  </si>
  <si>
    <t>Force Palm</t>
  </si>
  <si>
    <t>variance</t>
  </si>
  <si>
    <t>Acrobatics</t>
  </si>
  <si>
    <t>Double-Edge</t>
  </si>
  <si>
    <t>Mystical Fire</t>
  </si>
  <si>
    <t>Headbutt</t>
  </si>
  <si>
    <t>Bulldoze</t>
  </si>
  <si>
    <t>Twister</t>
  </si>
  <si>
    <t>Dragon Rush</t>
  </si>
  <si>
    <t>encounter_tier</t>
  </si>
  <si>
    <t>_initiative</t>
  </si>
  <si>
    <t>_health</t>
  </si>
  <si>
    <t>Knowledge Pokémon</t>
  </si>
  <si>
    <t>Willpower Pokémon</t>
  </si>
  <si>
    <t>Alpha Pokémon</t>
  </si>
  <si>
    <t>Virtual Pokémon</t>
  </si>
  <si>
    <t>Metal Claw</t>
  </si>
  <si>
    <t>Leaf Storm</t>
  </si>
  <si>
    <t>Ice Punch</t>
  </si>
  <si>
    <t>Bug Buzz</t>
  </si>
  <si>
    <t>Razor Leaf</t>
  </si>
  <si>
    <t>Water Gun</t>
  </si>
  <si>
    <t>weak</t>
  </si>
  <si>
    <t>moderate</t>
  </si>
  <si>
    <t>strong</t>
  </si>
  <si>
    <t>Hoothoot</t>
  </si>
  <si>
    <t>Noctowl</t>
  </si>
  <si>
    <t>Owl Pokémon</t>
  </si>
  <si>
    <t>Wingull</t>
  </si>
  <si>
    <t>Pelipper</t>
  </si>
  <si>
    <t>Seagull Pokémon</t>
  </si>
  <si>
    <t>Water Bird Pokémon</t>
  </si>
  <si>
    <t>Spit Up</t>
  </si>
  <si>
    <t>Girafarig</t>
  </si>
  <si>
    <t>Long Neck Pokémon</t>
  </si>
  <si>
    <t>Tentacool</t>
  </si>
  <si>
    <t>Tentacruel</t>
  </si>
  <si>
    <t>Jellyfish Pokémon</t>
  </si>
  <si>
    <t>Sludge Wave</t>
  </si>
  <si>
    <t>Barboach</t>
  </si>
  <si>
    <t>Whiscash</t>
  </si>
  <si>
    <t>Whiskers Pokémon</t>
  </si>
  <si>
    <t>Psyduck</t>
  </si>
  <si>
    <t>Golduck</t>
  </si>
  <si>
    <t>Duck Pokémon</t>
  </si>
  <si>
    <t>Goldeen</t>
  </si>
  <si>
    <t>Seaking</t>
  </si>
  <si>
    <t>Goldfish Pokémon</t>
  </si>
  <si>
    <t>Aurora Beam</t>
  </si>
  <si>
    <t>pokemon</t>
  </si>
  <si>
    <t>moves</t>
  </si>
  <si>
    <t>ratio</t>
  </si>
  <si>
    <t>Nuzzle</t>
  </si>
  <si>
    <t>Flip Turn</t>
  </si>
  <si>
    <t>Ice Fang</t>
  </si>
  <si>
    <t>Smack Down</t>
  </si>
  <si>
    <t>Hostile Pokémon</t>
  </si>
  <si>
    <t>Basculin</t>
  </si>
  <si>
    <t>Aqua Jet</t>
  </si>
  <si>
    <t>Scyther</t>
  </si>
  <si>
    <t>Mantis Pokémon</t>
  </si>
  <si>
    <t>Scizor</t>
  </si>
  <si>
    <t>Pincer Pokémon</t>
  </si>
  <si>
    <t>X-Scissor</t>
  </si>
  <si>
    <t>Bullet Punch</t>
  </si>
  <si>
    <t>Sylveon</t>
  </si>
  <si>
    <t>Intertwining Pokémon</t>
  </si>
  <si>
    <t>Vaporeon/Jolteon/Flareon/Espeon/Umbreon/Leafeon/Glaceon/Sylveon</t>
  </si>
  <si>
    <t>Voltorb</t>
  </si>
  <si>
    <t>Electrode</t>
  </si>
  <si>
    <t>Ball Pokémon</t>
  </si>
  <si>
    <t>Electro Ball</t>
  </si>
  <si>
    <t>Poison Fang</t>
  </si>
  <si>
    <t>Zorua</t>
  </si>
  <si>
    <t>Zoroark</t>
  </si>
  <si>
    <t>Tricky Fox Pokémon</t>
  </si>
  <si>
    <t>Illusion Fox Pokémon</t>
  </si>
  <si>
    <t>Rufflet</t>
  </si>
  <si>
    <t>Braviary</t>
  </si>
  <si>
    <t>Eaglet Pokémon</t>
  </si>
  <si>
    <t>Valiant Pokémon</t>
  </si>
  <si>
    <t>Brave Bird</t>
  </si>
  <si>
    <t>Mimikyu</t>
  </si>
  <si>
    <t>Disguise Pokémon</t>
  </si>
  <si>
    <t>Wild Charge</t>
  </si>
  <si>
    <t>Crystallizing Pokémon</t>
  </si>
  <si>
    <t>Cryogonal</t>
  </si>
  <si>
    <t>Ice Chunk Pokémon</t>
  </si>
  <si>
    <t>Bergmite</t>
  </si>
  <si>
    <t>Avalugg</t>
  </si>
  <si>
    <t>Avalanche</t>
  </si>
  <si>
    <t>Ominous Wind</t>
  </si>
  <si>
    <t>Fire Fang</t>
  </si>
  <si>
    <t>Flare Blitz</t>
  </si>
  <si>
    <t>Dhelmise</t>
  </si>
  <si>
    <t>Sea Creeper Pokémon</t>
  </si>
  <si>
    <t>Anchor Shot</t>
  </si>
  <si>
    <t>Encore</t>
  </si>
  <si>
    <t>Shell Trap</t>
  </si>
  <si>
    <t>Turtonator</t>
  </si>
  <si>
    <t>Blast Turtle Pokémon</t>
  </si>
  <si>
    <t>Nihilego</t>
  </si>
  <si>
    <t>Parasite Pokémon</t>
  </si>
  <si>
    <t>Chomp</t>
  </si>
  <si>
    <t>Neurotoxin</t>
  </si>
  <si>
    <t>Buzzwole</t>
  </si>
  <si>
    <t>Pheromosa</t>
  </si>
  <si>
    <t>Xurkitree</t>
  </si>
  <si>
    <t>Celesteela</t>
  </si>
  <si>
    <t>Launch Pokémon</t>
  </si>
  <si>
    <t>Glowing Pokémon</t>
  </si>
  <si>
    <t>Lissome Pokémon</t>
  </si>
  <si>
    <t>Swollen Pokémon</t>
  </si>
  <si>
    <t>Kartana</t>
  </si>
  <si>
    <t>Drawn Sword Pokémon</t>
  </si>
  <si>
    <t>Junkivore Pokémon</t>
  </si>
  <si>
    <t>Guzzlord</t>
  </si>
  <si>
    <t>Stakataka</t>
  </si>
  <si>
    <t>Blacephalon</t>
  </si>
  <si>
    <t>Rampart Pokémon</t>
  </si>
  <si>
    <t>Fireworks Pokémon</t>
  </si>
  <si>
    <t>Mind Blown</t>
  </si>
  <si>
    <t>Stinging Punch</t>
  </si>
  <si>
    <t>Power Plant</t>
  </si>
  <si>
    <t>Infatuate</t>
  </si>
  <si>
    <t>Lift Off</t>
  </si>
  <si>
    <t>Overcut</t>
  </si>
  <si>
    <t>Seismic Toss</t>
  </si>
  <si>
    <t>Hidden Punch</t>
  </si>
  <si>
    <t>Dazzling Gleam</t>
  </si>
  <si>
    <t>Litwick</t>
  </si>
  <si>
    <t>Lampent</t>
  </si>
  <si>
    <t>Chandelure</t>
  </si>
  <si>
    <t>Candle Pokémon</t>
  </si>
  <si>
    <t>Lamp Pokémon</t>
  </si>
  <si>
    <t>Luring Pokémon</t>
  </si>
  <si>
    <t>Mud Bomb</t>
  </si>
  <si>
    <t>Headlong Rush</t>
  </si>
  <si>
    <t>Mach Punch</t>
  </si>
  <si>
    <t>Cyndaquil</t>
  </si>
  <si>
    <t>Fire Mouse Pokémon</t>
  </si>
  <si>
    <t>Quilava</t>
  </si>
  <si>
    <t>Volcano Pokémon</t>
  </si>
  <si>
    <t>Flame Wheel</t>
  </si>
  <si>
    <t>Quick Attack</t>
  </si>
  <si>
    <t>Will-O-Wisp</t>
  </si>
  <si>
    <t>Inferno</t>
  </si>
  <si>
    <t>Typhlosion</t>
  </si>
  <si>
    <t>Eruption</t>
  </si>
  <si>
    <t>Rowlet</t>
  </si>
  <si>
    <t>Grass Quill Pokémon</t>
  </si>
  <si>
    <t>Peck</t>
  </si>
  <si>
    <t>Leaf Blade</t>
  </si>
  <si>
    <t>Decidueye</t>
  </si>
  <si>
    <t>Blade Quill Pokémon</t>
  </si>
  <si>
    <t>Arrow Quill Pokémon</t>
  </si>
  <si>
    <t>Spirit Shackle</t>
  </si>
  <si>
    <t>Oshawott</t>
  </si>
  <si>
    <t>Sea Otter Pokémon</t>
  </si>
  <si>
    <t>Dewott</t>
  </si>
  <si>
    <t>Discipline Pokémon</t>
  </si>
  <si>
    <t>Formidable Pokémon</t>
  </si>
  <si>
    <t>Samurott</t>
  </si>
  <si>
    <t>Razor Shell</t>
  </si>
  <si>
    <t>Venoshock</t>
  </si>
  <si>
    <t>i_mod</t>
  </si>
  <si>
    <t>h_mod</t>
  </si>
  <si>
    <t>Prism Pokémon</t>
  </si>
  <si>
    <t>Prismatic Laser</t>
  </si>
  <si>
    <t>Porygon</t>
  </si>
  <si>
    <t>Conversion</t>
  </si>
  <si>
    <t>Conversion 2</t>
  </si>
  <si>
    <t>Porygon2</t>
  </si>
  <si>
    <t>Paras</t>
  </si>
  <si>
    <t>Mushroom Pokémon</t>
  </si>
  <si>
    <t>Spore</t>
  </si>
  <si>
    <t>Parasect</t>
  </si>
  <si>
    <t>Barb Barrage</t>
  </si>
  <si>
    <t>Goomy</t>
  </si>
  <si>
    <t>Soft Tissue Pokémon</t>
  </si>
  <si>
    <t>Shelter</t>
  </si>
  <si>
    <t>Dragon Pulse</t>
  </si>
  <si>
    <t>Sliggoo</t>
  </si>
  <si>
    <t>Goodra</t>
  </si>
  <si>
    <t>Petilil</t>
  </si>
  <si>
    <t>Bulb Pokémon</t>
  </si>
  <si>
    <t>Lilligant</t>
  </si>
  <si>
    <t>Flowering Pokémon</t>
  </si>
  <si>
    <t>Stun Spore</t>
  </si>
  <si>
    <t>Wave Crash</t>
  </si>
  <si>
    <t>Raging Fury</t>
  </si>
  <si>
    <t>Synthetic Pokémon</t>
  </si>
  <si>
    <t>Silvally</t>
  </si>
  <si>
    <t>Multi-Attack</t>
  </si>
  <si>
    <t>Ultra Beast</t>
  </si>
  <si>
    <t>Ancient Acuity Form</t>
  </si>
  <si>
    <t>Ancient Verity Form</t>
  </si>
  <si>
    <t>Ancient Valor Form</t>
  </si>
  <si>
    <t>If the target faints, any remaining damage from this attack is applied to the next Pokémon switched in.</t>
  </si>
  <si>
    <t>ultra_beast</t>
  </si>
  <si>
    <t>Noble</t>
  </si>
  <si>
    <t>Poipole</t>
  </si>
  <si>
    <t>Poison Pin Pokémon</t>
  </si>
  <si>
    <t>Naganadel</t>
  </si>
  <si>
    <t>uncapturable</t>
  </si>
  <si>
    <t>Ultra Necrozma</t>
  </si>
  <si>
    <t>ultra_burst</t>
  </si>
  <si>
    <t>Choose any learnable type of the user as the type of this attack. Ignores the effects of Prism Armour.</t>
  </si>
  <si>
    <t>Qwilfish</t>
  </si>
  <si>
    <t>Dartrix</t>
  </si>
  <si>
    <t>Necrozma</t>
  </si>
  <si>
    <t>800-m</t>
  </si>
  <si>
    <t>800-dw</t>
  </si>
  <si>
    <t>800-dm</t>
  </si>
  <si>
    <t>Phase 1</t>
  </si>
  <si>
    <t>Dusk Mane Necrozma</t>
  </si>
  <si>
    <t>Dawn Wings Necrozma</t>
  </si>
  <si>
    <t>Searing Sunraze</t>
  </si>
  <si>
    <t>Menacing Moonraze</t>
  </si>
  <si>
    <t>Photon Geyser</t>
  </si>
  <si>
    <t>Phase 2 - Dusk Mane Form</t>
  </si>
  <si>
    <t>Phase 2 - Dawn Wings Form</t>
  </si>
  <si>
    <t>Phase 3 - Ultra Burst Form</t>
  </si>
  <si>
    <t>Kinesis</t>
  </si>
  <si>
    <t>Ember</t>
  </si>
  <si>
    <t>Lava Plume</t>
  </si>
  <si>
    <t>Foul Play</t>
  </si>
  <si>
    <t>Muddy Water</t>
  </si>
  <si>
    <t>Steel Wing</t>
  </si>
  <si>
    <t>Psyshield Bash</t>
  </si>
  <si>
    <t>Shadow Sneak</t>
  </si>
  <si>
    <t>Inkay</t>
  </si>
  <si>
    <t>Revolving Pokémon</t>
  </si>
  <si>
    <t>Malamar</t>
  </si>
  <si>
    <t>Overturning Pokémon</t>
  </si>
  <si>
    <t>Topsy-Turvy</t>
  </si>
  <si>
    <t>Psycho Cut</t>
  </si>
  <si>
    <t>Tynamo</t>
  </si>
  <si>
    <t>Eelektrik</t>
  </si>
  <si>
    <t>Eelektross</t>
  </si>
  <si>
    <t>EleFish Pokémon</t>
  </si>
  <si>
    <t>Charge Beam</t>
  </si>
  <si>
    <t>Ion Deluge</t>
  </si>
  <si>
    <t>Coil</t>
  </si>
  <si>
    <t>Elgyem</t>
  </si>
  <si>
    <t>Beheeyem</t>
  </si>
  <si>
    <t>Cerebral Pokémon</t>
  </si>
  <si>
    <t>Imprison</t>
  </si>
  <si>
    <t>Future Sight</t>
  </si>
  <si>
    <t>Morelull</t>
  </si>
  <si>
    <t>Illuminating Pokémon</t>
  </si>
  <si>
    <t>Shiinotic</t>
  </si>
  <si>
    <t>Moonlight</t>
  </si>
  <si>
    <t>Barrier</t>
  </si>
  <si>
    <t>Struggle Bug</t>
  </si>
  <si>
    <t>Sweet Scent</t>
  </si>
  <si>
    <t>Solar Beam</t>
  </si>
  <si>
    <t>Flower Shield</t>
  </si>
  <si>
    <t>Sweet Kiss</t>
  </si>
  <si>
    <t>Flail</t>
  </si>
  <si>
    <t>Bug Trap</t>
  </si>
  <si>
    <t>Poison Jab</t>
  </si>
  <si>
    <t>Poison Sting</t>
  </si>
  <si>
    <t>Calm Mind</t>
  </si>
  <si>
    <t>Whirlpool</t>
  </si>
  <si>
    <t>Extreme Speed</t>
  </si>
  <si>
    <t>trainer_class</t>
  </si>
  <si>
    <t>Fisherman</t>
  </si>
  <si>
    <t>Super Rod</t>
  </si>
  <si>
    <t>Pokémon Breeder</t>
  </si>
  <si>
    <t>Ace Trainer</t>
  </si>
  <si>
    <t>Competitive Edge</t>
  </si>
  <si>
    <t>Hiker</t>
  </si>
  <si>
    <t>Hiking Gear</t>
  </si>
  <si>
    <t>Sturdy Footing</t>
  </si>
  <si>
    <t>Bug Catcher</t>
  </si>
  <si>
    <t>Swimmer</t>
  </si>
  <si>
    <t>Collector</t>
  </si>
  <si>
    <t>Scientist</t>
  </si>
  <si>
    <t>Weakness Analysis</t>
  </si>
  <si>
    <t>Lady</t>
  </si>
  <si>
    <t>Noble Heritage</t>
  </si>
  <si>
    <t>Hex Maniac</t>
  </si>
  <si>
    <t>Kindler</t>
  </si>
  <si>
    <t>Black Belt</t>
  </si>
  <si>
    <t>Dragon Tamer</t>
  </si>
  <si>
    <t>Apex Hatchling</t>
  </si>
  <si>
    <t>Apex Strength</t>
  </si>
  <si>
    <t>Poké Maniac</t>
  </si>
  <si>
    <t>Pokémon Ranger</t>
  </si>
  <si>
    <t>Team Rocket</t>
  </si>
  <si>
    <t>Pokémon Thief</t>
  </si>
  <si>
    <t>Blasting Off</t>
  </si>
  <si>
    <t>When one of your Pokémon faints, deal 2 damage to the opposing Pokémon. If you are out of usable Pokémon, you may travel to any tile on the map and are automatically fully restored at the start of your next turn.</t>
  </si>
  <si>
    <t>Ruin Maniac</t>
  </si>
  <si>
    <t>Artifact Expert</t>
  </si>
  <si>
    <t>Team Aqua</t>
  </si>
  <si>
    <t>Team Magma</t>
  </si>
  <si>
    <t>Primordial Sea</t>
  </si>
  <si>
    <t>Desolate Land</t>
  </si>
  <si>
    <t>Natural Remedy</t>
  </si>
  <si>
    <t>Expert</t>
  </si>
  <si>
    <t>Bird Keeper</t>
  </si>
  <si>
    <t>Bird Whistle</t>
  </si>
  <si>
    <t>Shrine Keeper</t>
  </si>
  <si>
    <t>Super Training</t>
  </si>
  <si>
    <t>Submarine Dive</t>
  </si>
  <si>
    <t>Magma Tunnels</t>
  </si>
  <si>
    <t>Telekinetic Reach</t>
  </si>
  <si>
    <t>Delinquent</t>
  </si>
  <si>
    <t>Youngster</t>
  </si>
  <si>
    <t>Intimidating Posture</t>
  </si>
  <si>
    <t>Triathlete</t>
  </si>
  <si>
    <t>Triple Threat</t>
  </si>
  <si>
    <t>Gentleman</t>
  </si>
  <si>
    <t>Interviewers</t>
  </si>
  <si>
    <t>Big Scoop</t>
  </si>
  <si>
    <t>Ninja Boy</t>
  </si>
  <si>
    <t>Artist</t>
  </si>
  <si>
    <t>Fairy Tale Girl</t>
  </si>
  <si>
    <t>Detailed Sketch</t>
  </si>
  <si>
    <t>Finished Masterpiece</t>
  </si>
  <si>
    <t>Legendary Protector</t>
  </si>
  <si>
    <t>Aroma Lady</t>
  </si>
  <si>
    <t>Wishing Star</t>
  </si>
  <si>
    <t>Spell Caster</t>
  </si>
  <si>
    <t>Beauty</t>
  </si>
  <si>
    <t>Lady Luck</t>
  </si>
  <si>
    <t>Guitarist</t>
  </si>
  <si>
    <t>Poké Fan</t>
  </si>
  <si>
    <t>Cute Charm</t>
  </si>
  <si>
    <t>Natural Charisma</t>
  </si>
  <si>
    <t>Amplifier Overload</t>
  </si>
  <si>
    <t>Worker</t>
  </si>
  <si>
    <t>Veteran</t>
  </si>
  <si>
    <t>Lunar Blessing</t>
  </si>
  <si>
    <t>Bubble Beam</t>
  </si>
  <si>
    <t>Lick</t>
  </si>
  <si>
    <t>Parasol Lady</t>
  </si>
  <si>
    <t>Weather Forecast</t>
  </si>
  <si>
    <t>Utility Umbrella</t>
  </si>
  <si>
    <t>Stamp Collector</t>
  </si>
  <si>
    <t>Pokémon Collector</t>
  </si>
  <si>
    <t>Gale Force</t>
  </si>
  <si>
    <t>Scuba Diver</t>
  </si>
  <si>
    <t>Sunken Treasure</t>
  </si>
  <si>
    <t>Road Works</t>
  </si>
  <si>
    <t>Ramp Up</t>
  </si>
  <si>
    <t>When you attack with an Electric-type move, you may double the value of your Amplifier dice when its used. Afterwards, you can no longer use your Amplifier dice during this battle.</t>
  </si>
  <si>
    <t>Scuba Dive</t>
  </si>
  <si>
    <t>Picnicker</t>
  </si>
  <si>
    <t>Sky Trainer</t>
  </si>
  <si>
    <t>Gardener</t>
  </si>
  <si>
    <t>Roller Skater</t>
  </si>
  <si>
    <t>Chef</t>
  </si>
  <si>
    <t>Tourist</t>
  </si>
  <si>
    <t>Backpacker</t>
  </si>
  <si>
    <t>Wing Suit</t>
  </si>
  <si>
    <t>Trimmed Form</t>
  </si>
  <si>
    <t>Protective Gear</t>
  </si>
  <si>
    <t>Roller Skates</t>
  </si>
  <si>
    <t>483-o</t>
  </si>
  <si>
    <t>484-o</t>
  </si>
  <si>
    <t>487-o</t>
  </si>
  <si>
    <t>state</t>
  </si>
  <si>
    <t>move_type</t>
  </si>
  <si>
    <t>move_attack_strength</t>
  </si>
  <si>
    <t>Origin Giratina</t>
  </si>
  <si>
    <t>Overheat</t>
  </si>
  <si>
    <t>Fan Rotom</t>
  </si>
  <si>
    <t>Frost Rotom</t>
  </si>
  <si>
    <t>Heat Rotom</t>
  </si>
  <si>
    <t>Mow Rotom</t>
  </si>
  <si>
    <t>Wash Rotom</t>
  </si>
  <si>
    <t>Sky Shaymin</t>
  </si>
  <si>
    <t>492-s</t>
  </si>
  <si>
    <t>479-s</t>
  </si>
  <si>
    <t>479-f</t>
  </si>
  <si>
    <t>479-h</t>
  </si>
  <si>
    <t>479-m</t>
  </si>
  <si>
    <t>479-w</t>
  </si>
  <si>
    <t>Honedge</t>
  </si>
  <si>
    <t>Sword Pokémon</t>
  </si>
  <si>
    <t>Doublade</t>
  </si>
  <si>
    <t>Aegislash</t>
  </si>
  <si>
    <t>Royal Sword Pokémon</t>
  </si>
  <si>
    <t>Sacred Sword</t>
  </si>
  <si>
    <t>681-b</t>
  </si>
  <si>
    <t>Blade Aegislash</t>
  </si>
  <si>
    <t>King's Blade</t>
  </si>
  <si>
    <t>King's Shield</t>
  </si>
  <si>
    <t>move_effect</t>
  </si>
  <si>
    <t>move_power</t>
  </si>
  <si>
    <t>Sandy Wormadam</t>
  </si>
  <si>
    <t>Trash Wormadam</t>
  </si>
  <si>
    <t>413-c</t>
  </si>
  <si>
    <t>413-t</t>
  </si>
  <si>
    <t>Adaptive Cloak</t>
  </si>
  <si>
    <t>421-s</t>
  </si>
  <si>
    <t>422-e</t>
  </si>
  <si>
    <t>423-e</t>
  </si>
  <si>
    <t>389-n</t>
  </si>
  <si>
    <t>392-n</t>
  </si>
  <si>
    <t>395-n</t>
  </si>
  <si>
    <t>398-n</t>
  </si>
  <si>
    <t>405-n</t>
  </si>
  <si>
    <t>468-n</t>
  </si>
  <si>
    <t>473-n</t>
  </si>
  <si>
    <t>477-n</t>
  </si>
  <si>
    <t>480-x</t>
  </si>
  <si>
    <t>481-x</t>
  </si>
  <si>
    <t>482-x</t>
  </si>
  <si>
    <t>Sunshine Cherrim</t>
  </si>
  <si>
    <t>Gather Sunlight</t>
  </si>
  <si>
    <t>Sunshine Form</t>
  </si>
  <si>
    <t>Fan Form</t>
  </si>
  <si>
    <t>Frost Form</t>
  </si>
  <si>
    <t>Heat Form</t>
  </si>
  <si>
    <t>Mow Form</t>
  </si>
  <si>
    <t>Wash Form</t>
  </si>
  <si>
    <t>Shield Form</t>
  </si>
  <si>
    <t>Blade Form</t>
  </si>
  <si>
    <t>Sky Form</t>
  </si>
  <si>
    <t>Sandy Cloak Form</t>
  </si>
  <si>
    <t>Trash Cloak Form</t>
  </si>
  <si>
    <t>Overcast Form</t>
  </si>
  <si>
    <t>Plant Cloak Form</t>
  </si>
  <si>
    <t>Noble Form</t>
  </si>
  <si>
    <t>407-n</t>
  </si>
  <si>
    <t>26-n</t>
  </si>
  <si>
    <t>68-n</t>
  </si>
  <si>
    <t>365-n</t>
  </si>
  <si>
    <t>474-n</t>
  </si>
  <si>
    <t>609-n</t>
  </si>
  <si>
    <t>724-n</t>
  </si>
  <si>
    <t>157-n</t>
  </si>
  <si>
    <t>503-n</t>
  </si>
  <si>
    <t>804-n</t>
  </si>
  <si>
    <t>Dual Chop</t>
  </si>
  <si>
    <t>Bulk Up</t>
  </si>
  <si>
    <t>Hyper Beam</t>
  </si>
  <si>
    <t>The dice rolled by this attack cannot be replaced or removed by any effect.</t>
  </si>
  <si>
    <t>Heal 1 damage and all status effects from the user and from all Pokémon in your party.</t>
  </si>
  <si>
    <t>Darumaka</t>
  </si>
  <si>
    <t>Zen Charm Pokémon</t>
  </si>
  <si>
    <t>Darmanitan</t>
  </si>
  <si>
    <t>555-d</t>
  </si>
  <si>
    <t>Blazing Pokémon</t>
  </si>
  <si>
    <t>Chest Thump</t>
  </si>
  <si>
    <t>Blazing Form</t>
  </si>
  <si>
    <t>Zen Restoration</t>
  </si>
  <si>
    <t>Uproar</t>
  </si>
  <si>
    <t>Zen Form</t>
  </si>
  <si>
    <t>Zen Darmanitan</t>
  </si>
  <si>
    <t>Draining Kiss</t>
  </si>
  <si>
    <t>Skrelp</t>
  </si>
  <si>
    <t>Dragalge</t>
  </si>
  <si>
    <t>Mock Kelp Pokémon</t>
  </si>
  <si>
    <t>Poison Tail</t>
  </si>
  <si>
    <t>Morpeko</t>
  </si>
  <si>
    <t>Two-Sided Pokémon</t>
  </si>
  <si>
    <t>877-h</t>
  </si>
  <si>
    <t>Hangry Morpeko</t>
  </si>
  <si>
    <t>Hangry Form</t>
  </si>
  <si>
    <t>Full Belly Form</t>
  </si>
  <si>
    <t>Electro Wheel</t>
  </si>
  <si>
    <t>Hangry Wheel</t>
  </si>
  <si>
    <t>Once per turn whilst on an Ocean tile, shuffle the Hidden Spot discard pile and then draw the top Hidden Spot. Place the drawn Hidden Spot on the tile you are on, you may then interact with it as usual.</t>
  </si>
  <si>
    <t>Catch of the Day</t>
  </si>
  <si>
    <t>Evasive Manoeuvres</t>
  </si>
  <si>
    <t>Butterfly Technique</t>
  </si>
  <si>
    <t>Fire Lash</t>
  </si>
  <si>
    <t>Salandit</t>
  </si>
  <si>
    <t>Toxic Lizard Pokémon</t>
  </si>
  <si>
    <t>Salazzle</t>
  </si>
  <si>
    <t>Ginkgo Merchant</t>
  </si>
  <si>
    <t>Swim Bike Run</t>
  </si>
  <si>
    <t>412-p</t>
  </si>
  <si>
    <t>Loyalty Card</t>
  </si>
  <si>
    <t>Deino</t>
  </si>
  <si>
    <t>Irate Pokémon</t>
  </si>
  <si>
    <t>Brutal Pokémon</t>
  </si>
  <si>
    <t>Draco Meteor</t>
  </si>
  <si>
    <t>Dragon Breath</t>
  </si>
  <si>
    <t>Zweilous</t>
  </si>
  <si>
    <t>Hydreigon</t>
  </si>
  <si>
    <t>When you attack with a Grass-type or Fairy-type move, the user heals for half the damage dealt, rounded up.</t>
  </si>
  <si>
    <t>Portable Tent</t>
  </si>
  <si>
    <t>Your Pokémon can now hold and use up to two Held Items so long as they are not the same item.</t>
  </si>
  <si>
    <t>Equipment Check</t>
  </si>
  <si>
    <t>Woodland Explorer</t>
  </si>
  <si>
    <t>During your turn whilst outside of battle, you may swap your taught moves between the Pokémon in your party. The Pokémon you give the move to must be able to learn it.</t>
  </si>
  <si>
    <t>legendary</t>
  </si>
  <si>
    <t>Ripple in Space</t>
  </si>
  <si>
    <t>Renegade Fury</t>
  </si>
  <si>
    <t>If your party has a move of every type, all your moves gain +2 attack strength. Typeless moves and abilities act as wildcards and can be considered as any type towards achieving this effect.</t>
  </si>
  <si>
    <t>Holiday Album</t>
  </si>
  <si>
    <t>starter</t>
  </si>
  <si>
    <t>Larvesta</t>
  </si>
  <si>
    <t>Torch Pokémon</t>
  </si>
  <si>
    <t>Volcarona</t>
  </si>
  <si>
    <t>Fiery Dance</t>
  </si>
  <si>
    <t>Mountain Gale</t>
  </si>
  <si>
    <t>Lunge</t>
  </si>
  <si>
    <t>Power Whip</t>
  </si>
  <si>
    <t>Petal Dance</t>
  </si>
  <si>
    <t>Air Cutter</t>
  </si>
  <si>
    <t>Klefki</t>
  </si>
  <si>
    <t>Key Ring Pokémon</t>
  </si>
  <si>
    <t>Fairy Lock</t>
  </si>
  <si>
    <t>Frost Song</t>
  </si>
  <si>
    <t>Thunder Song</t>
  </si>
  <si>
    <t>Fire Song</t>
  </si>
  <si>
    <t>God of Sinnoh</t>
  </si>
  <si>
    <t>Childhood Friends</t>
  </si>
  <si>
    <t>Your Weak Pokémon gain +1 health and +1 initiative.</t>
  </si>
  <si>
    <t>When unlocked, draw 5 trainer cards from the deck and swap this card with one of the drawn cards. Triggers the "when unlocked" effects on the new trainer card.</t>
  </si>
  <si>
    <t>Rampart Riposte</t>
  </si>
  <si>
    <t>Air Superiority</t>
  </si>
  <si>
    <t>Planning Ahead</t>
  </si>
  <si>
    <t>Opportune Strike</t>
  </si>
  <si>
    <t>When attacking, you may use the signature move of the opposing Pokémon against them.</t>
  </si>
  <si>
    <t>When claiming any stamp reward, you may claim the reward twice.</t>
  </si>
  <si>
    <t>Eternal Glade</t>
  </si>
  <si>
    <t>Carbink</t>
  </si>
  <si>
    <t>Jewel Pokémon</t>
  </si>
  <si>
    <t>Power Gem</t>
  </si>
  <si>
    <t>Your Pokémon heal 1 extra damage whenever they are healed by any effect.</t>
  </si>
  <si>
    <t>Cubone</t>
  </si>
  <si>
    <t>Lonely Pokémon</t>
  </si>
  <si>
    <t>Bone Rush</t>
  </si>
  <si>
    <t>Marowak</t>
  </si>
  <si>
    <t>Bone Keeper Pokémon</t>
  </si>
  <si>
    <t>Bonemerang</t>
  </si>
  <si>
    <t>Swift</t>
  </si>
  <si>
    <t>Fissure</t>
  </si>
  <si>
    <t>Temporal Guard</t>
  </si>
  <si>
    <t>If you are standing on an Ocean tile at the end of your turn, you may instantly move to any other Ocean tile.</t>
  </si>
  <si>
    <t>If you are standing on a Mountain tile at the end of your turn, you may instantly move to any other Mountain tile.</t>
  </si>
  <si>
    <t>Your Pokémon take 2 less damage from moves that match the current Weather.</t>
  </si>
  <si>
    <t>After you attack with a Water-type move, the user may switch out and then heal all status effects.</t>
  </si>
  <si>
    <t>You may add the moves gained from stamp rewards to your party as Pokémon instead.</t>
  </si>
  <si>
    <t>When unlocked, you receive the Amplifier dice. For every status symbol you roll, increase your Amplifier dice by 1. You may reset the Amplifier dice to add its value as damage to any attack. Your Amplifier dice value persists between battles.</t>
  </si>
  <si>
    <t>Dig Site</t>
  </si>
  <si>
    <t>Future Aspirations</t>
  </si>
  <si>
    <t>Young Couple</t>
  </si>
  <si>
    <t>Double Battle</t>
  </si>
  <si>
    <t>Wild Pokémon can only flee after defeating two of your Pokémon.</t>
  </si>
  <si>
    <t>Pledge of Devotion</t>
  </si>
  <si>
    <t>After any battle, fully restore 1 Pokémon in your party.</t>
  </si>
  <si>
    <t>Secret Agent</t>
  </si>
  <si>
    <t>The Swarm</t>
  </si>
  <si>
    <t>Blessing Thief</t>
  </si>
  <si>
    <t>During capture attempts at Apricorn Trees, replace all status symbols with regular hits.</t>
  </si>
  <si>
    <t>Floral Perfume</t>
  </si>
  <si>
    <t>You may fly to Villages from anywhere on the map but must still pay the Apricorn cost.</t>
  </si>
  <si>
    <t>Magnifying Glass</t>
  </si>
  <si>
    <t>Whenever another player gains a Journey Stamp, you may instantly move to that trainer to challenge them to a battle. If you win the battle, you may also gain that Journey Stamp.</t>
  </si>
  <si>
    <t>When unlocked, place the Weather Wheel in the middle of the arena on a Weather of your choice. Any player may change the Weather by discarding 3 Journey Points at a Shrine. All moves that match the Weather type gain +2 attack strength.</t>
  </si>
  <si>
    <t>448-a</t>
  </si>
  <si>
    <t>West Ocean Variant</t>
  </si>
  <si>
    <t>East Ocean Variant</t>
  </si>
  <si>
    <t>445-a</t>
  </si>
  <si>
    <t>143-a</t>
  </si>
  <si>
    <t>460-a</t>
  </si>
  <si>
    <t>466-a</t>
  </si>
  <si>
    <t>467-a</t>
  </si>
  <si>
    <t>469-a</t>
  </si>
  <si>
    <t>452-a</t>
  </si>
  <si>
    <t>Alpha</t>
  </si>
  <si>
    <t>Sleeping Glutton</t>
  </si>
  <si>
    <t>Ogre Darner</t>
  </si>
  <si>
    <t>Alpha Magmortar</t>
  </si>
  <si>
    <t>Alpha Electivire</t>
  </si>
  <si>
    <t>Alpha Yanmega</t>
  </si>
  <si>
    <t>Alpha Abomasnow</t>
  </si>
  <si>
    <t>Alpha Lucario</t>
  </si>
  <si>
    <t>Alpha Snorlax</t>
  </si>
  <si>
    <t>Alpha Garchomp</t>
  </si>
  <si>
    <t>Alpha Drapion</t>
  </si>
  <si>
    <t>Magma Blaster</t>
  </si>
  <si>
    <t>Howling Frost</t>
  </si>
  <si>
    <t>Dune Shark</t>
  </si>
  <si>
    <t>Corrupted Aura</t>
  </si>
  <si>
    <t>Motor Plant</t>
  </si>
  <si>
    <t>Iron Scorpion</t>
  </si>
  <si>
    <t>429-a</t>
  </si>
  <si>
    <t>Alpha Mismagius</t>
  </si>
  <si>
    <t>Shade Witch</t>
  </si>
  <si>
    <t>Sediment Rush</t>
  </si>
  <si>
    <t>Mid-Nap Snack</t>
  </si>
  <si>
    <t>Aura Storm</t>
  </si>
  <si>
    <t>Corrosive Crush</t>
  </si>
  <si>
    <t>Bitter Howl</t>
  </si>
  <si>
    <t>Solar Charge</t>
  </si>
  <si>
    <t>Lava Shot</t>
  </si>
  <si>
    <t>Dragon Boom</t>
  </si>
  <si>
    <t>Mystical Spell</t>
  </si>
  <si>
    <t>Inflict any status effect on the target.</t>
  </si>
  <si>
    <t>Repair Protocol</t>
  </si>
  <si>
    <t>Stasis Protocol</t>
  </si>
  <si>
    <t>Aegis Protocol</t>
  </si>
  <si>
    <t>Startup Sequence</t>
  </si>
  <si>
    <t>Regieleki</t>
  </si>
  <si>
    <t>Electron Pokémon</t>
  </si>
  <si>
    <t>Regidrago</t>
  </si>
  <si>
    <t>Dragon Orb Pokémon</t>
  </si>
  <si>
    <t>Galvanic Protocol</t>
  </si>
  <si>
    <t>Maw Protocol</t>
  </si>
  <si>
    <t>Origin Dialga</t>
  </si>
  <si>
    <t>Origin Palkia</t>
  </si>
  <si>
    <t>Origin Form</t>
  </si>
  <si>
    <t>474-a</t>
  </si>
  <si>
    <t>Prototype Zero</t>
  </si>
  <si>
    <t>Alpha Porygon-Z</t>
  </si>
  <si>
    <t>Alpha Release</t>
  </si>
  <si>
    <t>Disguised Strike</t>
  </si>
  <si>
    <t>Beldum</t>
  </si>
  <si>
    <t>Iron Ball Pokémon</t>
  </si>
  <si>
    <t>Iron Claw Pokémon</t>
  </si>
  <si>
    <t>Metang</t>
  </si>
  <si>
    <t>Metagross</t>
  </si>
  <si>
    <t>Iron Leg Pokémon</t>
  </si>
  <si>
    <t>Meteor Mash</t>
  </si>
  <si>
    <t>Minior</t>
  </si>
  <si>
    <t>Meteor Pokémon</t>
  </si>
  <si>
    <t>Shields Up</t>
  </si>
  <si>
    <t>Meteor Form</t>
  </si>
  <si>
    <t>Core Form</t>
  </si>
  <si>
    <t>Shield Burst</t>
  </si>
  <si>
    <t>Core Minior</t>
  </si>
  <si>
    <t>Staryu</t>
  </si>
  <si>
    <t>Starmie</t>
  </si>
  <si>
    <t>Starshape Pokémon</t>
  </si>
  <si>
    <t>Mysterious Pokémon</t>
  </si>
  <si>
    <t>Rapid Spin</t>
  </si>
  <si>
    <t>Poison Gas</t>
  </si>
  <si>
    <t>move_class</t>
  </si>
  <si>
    <t>Heal 2 damage at the end of your turns.</t>
  </si>
  <si>
    <t>Deal 2 damage to the user.</t>
  </si>
  <si>
    <t>Heal 3 damage.</t>
  </si>
  <si>
    <t>transform</t>
  </si>
  <si>
    <t>agile</t>
  </si>
  <si>
    <t>When the user is next attacked, take at most 1 damage.</t>
  </si>
  <si>
    <t>Heal 2 damage.</t>
  </si>
  <si>
    <t>Heal 5 damage.</t>
  </si>
  <si>
    <t>774-c</t>
  </si>
  <si>
    <t>Lunatone</t>
  </si>
  <si>
    <t>Meteorite Pokémon</t>
  </si>
  <si>
    <t>Solrock</t>
  </si>
  <si>
    <t>switch</t>
  </si>
  <si>
    <t>boost</t>
  </si>
  <si>
    <t>Remove all Boosts from the target.</t>
  </si>
  <si>
    <t>Sky Slash</t>
  </si>
  <si>
    <t>The user is now immune to all status effects. Heal all existing status effects.</t>
  </si>
  <si>
    <t>Heal 2 damage and all status effects.</t>
  </si>
  <si>
    <t>Soul Siphon</t>
  </si>
  <si>
    <t>When the user next attacks, heal damage equal to the damage dealt.</t>
  </si>
  <si>
    <t>Heal damage equal to half the damage dealt, rounded down.</t>
  </si>
  <si>
    <t>Heal damage equal to the damage dealt.</t>
  </si>
  <si>
    <t>Zen Headbutt</t>
  </si>
  <si>
    <t>If the target has a held item, deal 2 extra damage.</t>
  </si>
  <si>
    <t>The user takes 4 damage.</t>
  </si>
  <si>
    <t>Cosmic Power</t>
  </si>
  <si>
    <t>dynamic</t>
  </si>
  <si>
    <t>surge</t>
  </si>
  <si>
    <t>Guess the result of each attack dice. After rolling, deal -1 damage for each incorrect dice.</t>
  </si>
  <si>
    <t>Deal 1 damage to all Pokémon in the target party that is not the target.</t>
  </si>
  <si>
    <t>For each status effect on the target: Deal 1 extra damage.</t>
  </si>
  <si>
    <t>Dark Pulse</t>
  </si>
  <si>
    <t>Nettle Blade</t>
  </si>
  <si>
    <t>Illusionary Ploy</t>
  </si>
  <si>
    <t>Mystical Ice</t>
  </si>
  <si>
    <t>Twin Beam</t>
  </si>
  <si>
    <t>For each fainted Pokémon in your party: Attack Strength is increased by 1.</t>
  </si>
  <si>
    <t>For every 2 damage taken by the user: Attack Strength is increased by 1.</t>
  </si>
  <si>
    <t>Each time this attack is used this battle, Attack Strength is increased by 1.</t>
  </si>
  <si>
    <t>Attack Strength is increased equal to the damage taken last turn.</t>
  </si>
  <si>
    <t>Each time this attack is used this battle, Attack Strength is increased by 2.</t>
  </si>
  <si>
    <t>Heal damage equal to the current Battle Fatigue of the target.</t>
  </si>
  <si>
    <t>Increase the Battle Fatigue of the user by 1.</t>
  </si>
  <si>
    <t>Increase the Battle Fatigue of the user and the target to 5.</t>
  </si>
  <si>
    <t>Deal extra damage equal to your current Battle Fatigue and then reset your Battle Fatigue to 0.</t>
  </si>
  <si>
    <t>Increase the Battle Fatigue of the target to 5.</t>
  </si>
  <si>
    <t>This Move can be used from your party, the user is switched in immediately.</t>
  </si>
  <si>
    <t>This Move does not roll the attack dice. Deal damage equal to 6 minus your current Battle Fatigue. Increase your Battle Fatigue by 1.</t>
  </si>
  <si>
    <t>Copy the Attack Strength of a Move the target knows.</t>
  </si>
  <si>
    <t>For each other Song Move in your party: Attack Strength is increased by 1.</t>
  </si>
  <si>
    <t>If the user faints when it is next attacked, the user may use a final Move before fainting.</t>
  </si>
  <si>
    <t>Apply the effects of all Protocol Moves in your party to the user, Attack Strength is increased to 6.</t>
  </si>
  <si>
    <t>Select a Move from the target and then attack the target with this Move.</t>
  </si>
  <si>
    <t>Shuffle the Evolution Pokémon deck and then attack the target with the top Move of the deck.</t>
  </si>
  <si>
    <t>For each other Surf Move in your party: Attack Strength is increased by 1.</t>
  </si>
  <si>
    <t>Increase the Initiative of the user by 3 and the Attack Strength of their Moves by 1.</t>
  </si>
  <si>
    <t>Attack Strength is equal to half the Initiative of the user, rounded down.</t>
  </si>
  <si>
    <t>If the user has 2 or less Health remaining, deal 2 extra damage.</t>
  </si>
  <si>
    <t>Attack Strength is equal to half the base Health of the target, rounded down.</t>
  </si>
  <si>
    <t>Attack Strength is equal to the current Health of the user.</t>
  </si>
  <si>
    <t>If the target has 2 or less Health remaining after this attack, the target faints.</t>
  </si>
  <si>
    <t>Attack Strength is equal to half the base Health of the user, rounded down.</t>
  </si>
  <si>
    <t>This Boost and your currently active Boosts now last until the end of battle.</t>
  </si>
  <si>
    <t>Heal all status effects from the user and from the Pokémon you switch with.</t>
  </si>
  <si>
    <t>field_ability_description</t>
  </si>
  <si>
    <t>battle_ability_description</t>
  </si>
  <si>
    <t>field_ability_name</t>
  </si>
  <si>
    <t>battle_ability_name</t>
  </si>
  <si>
    <t>Martial Arts</t>
  </si>
  <si>
    <t>After defeating a wild Pokémon, gain [1,2,3,4] extra Journey Points.</t>
  </si>
  <si>
    <t>You may craft any Apricorn Stew regardless of Crafting Hammer level. When crafting an Apricorn Stew, you may add any 1 Apricorn from another Apricorn Stew's recipe to the cost to gain its effect as well.</t>
  </si>
  <si>
    <t>Gourmet Stews</t>
  </si>
  <si>
    <t>Added Spice</t>
  </si>
  <si>
    <t>After using your Healing Flask on your active Pokémon, they gain +[1,2,3,4] Attack Strength to their Moves for this turn.</t>
  </si>
  <si>
    <t>Your Strong-tier Pokémon have +[1,1,2,2] Health and +[0,1,1,2] Initiative.</t>
  </si>
  <si>
    <t>Your Bug-type Pokémon have +[1,1,2,2] Initiative and +[0,1,1,2] Attack Strength to their Bug-type Moves.</t>
  </si>
  <si>
    <t>Rigourous Training</t>
  </si>
  <si>
    <t>All of your evolve costs are increased by 1.</t>
  </si>
  <si>
    <t>You may teach Moves to any Pokémon in your party regardless of their learnable Move types.</t>
  </si>
  <si>
    <t>Extra Pockets</t>
  </si>
  <si>
    <t>You may search for an encounter at an Apricorn Tree up to 3 times before starting a battle.</t>
  </si>
  <si>
    <t>After a battle, you may move up to [2,3,4,5] tiles but cannot interact with anything else this turn.</t>
  </si>
  <si>
    <t>When you start a battle against a wild Pokémon, if you have not moved anywhere yet this turn, roll 1 extra dice during your first attack or capture roll.</t>
  </si>
  <si>
    <t>Instead of choosing a Starter Pokémon, search the Weak-tier Pokémon deck for a Dragon-type Pokémon to use as your first Pokémon. This Pokémon receives the Apex Dragon Held Item which cannot be unequipped.</t>
  </si>
  <si>
    <t>During a Shrine Offering, you may draw [1,2,3,4] extra Shrine Event cards. Discard [0,1,2,3] cards and play the rest.</t>
  </si>
  <si>
    <t>Your Legendary-tier Pokémon take 1 less damage when attacked.</t>
  </si>
  <si>
    <t>During your attacks, Critical Hits deal +2 damage but Status Symbols deal -1 damage. This also applies to capture rolls.</t>
  </si>
  <si>
    <t>Your Flying-type Pokémon take no damage from attacks that would only deal 2 or less damage to them.</t>
  </si>
  <si>
    <t>Your Dark-type Pokémon and Poison-type Pokémon take [0,1,2,3] less damage when attacked.</t>
  </si>
  <si>
    <t>When another trainer gains the effect of a Shrine Blessing card, you are also given that effect.</t>
  </si>
  <si>
    <t>Once per turn, you may gain [1,2,3,4] Apricorns from an Apricorn Tree you are standing on.</t>
  </si>
  <si>
    <t>Your Grass-type Pokémon and Rock-type Pokémon gain +3 Initiative but -1 Health.</t>
  </si>
  <si>
    <t>The Pokémon you catch in Ocean biomes gain Health equal to the capture roll total used to capture them.</t>
  </si>
  <si>
    <t>Pick Apricorns</t>
  </si>
  <si>
    <t>Trophy Garden</t>
  </si>
  <si>
    <t>You may choose any of the Starter Pokémon regardless of which Home Village you selected. You may also apply any 1 Sticker to this Pokémon.</t>
  </si>
  <si>
    <t>Mansion Staff</t>
  </si>
  <si>
    <t>Employee Benefits</t>
  </si>
  <si>
    <t>When your Pokémon switch out, they heal [1,2,3,4] damage.</t>
  </si>
  <si>
    <t>Restock Wares</t>
  </si>
  <si>
    <t>When using Trading Post services, you gain 1 extra Apricorn from Apricorn trades and all other trades cost 1 less Journey Point.</t>
  </si>
  <si>
    <t>Your Fighting-type Moves have +1 Attack Strength.</t>
  </si>
  <si>
    <t>Your Ghost-type Moves may inflict any 1 status effect on the target if any Status Symbols are rolled.</t>
  </si>
  <si>
    <t>Your Rock-type Pokémon and Ground-type Pokémon have +3 Health but -1 Initiative.</t>
  </si>
  <si>
    <t>Channel Spirits</t>
  </si>
  <si>
    <t>Immediately after a battle, you may revive and fully heal up to [1,2,4,6] fainted Ghost-type Pokémon in your party.</t>
  </si>
  <si>
    <t>Fire Starter</t>
  </si>
  <si>
    <t>Your Fire-type Moves always inflict the Burned status on the target. If the target is already Burned, deal [0,1,2,3] extra damage.</t>
  </si>
  <si>
    <t>Campfire Stories</t>
  </si>
  <si>
    <t>Family Resources</t>
  </si>
  <si>
    <t>At the start of each battle, your Healing Flask is always refilled.</t>
  </si>
  <si>
    <t>Gain [4,6,8,10] Journey Points. This ability is resolved at the start of the game and again each time this Trainer Card is upgraded.</t>
  </si>
  <si>
    <t>Ninjutsu Tactics</t>
  </si>
  <si>
    <t>If your attack is first after an Initiative check, it deals [2,3,4,5] extra damage. However, your Pokémon always take 1 extra damage when attacked.</t>
  </si>
  <si>
    <t>Leaping Ambush</t>
  </si>
  <si>
    <t>Once per turn, you may move to an adjacent tile to start a battle regardless of its elevation.</t>
  </si>
  <si>
    <t>Once per turn, if you craft 3 or more Ball/Battle Items, you may gain any 1 of those items again.</t>
  </si>
  <si>
    <t>Your Weak-tier Pokémon remove [1,2,3,4] Regular Hits when attacked.</t>
  </si>
  <si>
    <t>Scout Stickers</t>
  </si>
  <si>
    <t>Your Moderate-tier Pokémon receive double the bonuses from Stickers.</t>
  </si>
  <si>
    <t>Egg Moves</t>
  </si>
  <si>
    <t>Perfecting IVs</t>
  </si>
  <si>
    <t>Your Weak-tier Pokémon that were taught an Egg Move have +[3,4,5,6] Health and +[3,4,5,6] Initiative. They do not have to keep the Egg Move to retain these extra stats.</t>
  </si>
  <si>
    <t>When evolving a Weak-tier Pokémon, you may instead teach the Move of its evolution to the pre-evolution as an Egg Move. This Pokémon can no longer evolve.</t>
  </si>
  <si>
    <t>Once per turn, you may interact with something from up to [1,2,3,4] tiles away.</t>
  </si>
  <si>
    <t>Subtle Adjustment</t>
  </si>
  <si>
    <t>Your Psychic-type Moves may change the result of any 1 dice rolled to any other value.</t>
  </si>
  <si>
    <t>You may freely re-teach Moves in your party to other Pokémon in your party so long as they can learn that Move type.</t>
  </si>
  <si>
    <t>When trading Pokémon with the Pasture, you may trade any pair of Pokémon regardless of their encounter tiers.</t>
  </si>
  <si>
    <t>Trusted Handler</t>
  </si>
  <si>
    <t>Poké Assist</t>
  </si>
  <si>
    <t>You may teach [1,2,3,4] Moves to your Trainer Card. Each of these Moves can be used once per battle instead of attacking with one of your active Pokémon's Moves.</t>
  </si>
  <si>
    <t>Professional Mimic</t>
  </si>
  <si>
    <t>Your Artifacts have +1 Attack Strength to their bonuses.</t>
  </si>
  <si>
    <t>Once per turn, you may reveal 1 Special Hidden Spot up to [2,4,6,8] tiles away. If you reveal an Artifact, you may instantly move to it to pick it up.</t>
  </si>
  <si>
    <t>When attacking, +2 damage and +4 damage from type effectiveness become +3 damage and +6 damage respectively.</t>
  </si>
  <si>
    <t>Field Notes</t>
  </si>
  <si>
    <t>If a wild Pokémon flees the battle, you gain [1,2,3,4] Journey Points and you may still teach its Move to a Pokémon in your party.</t>
  </si>
  <si>
    <t>Your Pokémon can only be afflicted by 2 status effects and take 6 damage at most when attacked.</t>
  </si>
  <si>
    <t>Your Flying-type Pokémon gain +1 Attack Strength to all their Moves so long as they are not against another Flying-type Pokémon.</t>
  </si>
  <si>
    <t>Once per turn, you may move up to [2,3,4,5] Mountain tiles in a row for free. Additionally, you can move onto adjacent tiles regardless of their elevation.</t>
  </si>
  <si>
    <t>You can move onto adjacent tiles at any elevation lower than you. Once per turn after doing so, you may move up to [1,2,3,4] tiles in a row for free.</t>
  </si>
  <si>
    <t>Once per turn when leaving a Village or Settlement, you may move up to [1,2,3,4] tiles in a row for free.</t>
  </si>
  <si>
    <t>Once per turn, you may move up to [2,4,6,8] Ocean tiles in a row for free.</t>
  </si>
  <si>
    <t>Your Water-type Moves can be changed to either Bug-type or Flying-type for the turn.</t>
  </si>
  <si>
    <t>Swift Swimmer</t>
  </si>
  <si>
    <t>Once per battle, your Water-type Moves and Electric-type Moves gain +[1,2,3,4] Attack Strength for this turn.</t>
  </si>
  <si>
    <t>Once per battle, your Fire-type Moves and Ground-type Moves gain +[1,2,3,4] Attack Strength for this turn.</t>
  </si>
  <si>
    <t>Once per turn at Villages or Settlements, you may steal a [Weak,Moderate,Strong,Legendary]-tier or lower Pokémon from the Pasture. Add it to your party and take a free Poké Ball for it.</t>
  </si>
  <si>
    <t>During battles in Ocean biomes, your capture rolls are always successful against [Weak,Moderate,Strong,Legendary]-tier or lower Pokémon.</t>
  </si>
  <si>
    <t>Once per turn, you may move up to [2,3,4,5] non-Mountain tiles in a row for free.</t>
  </si>
  <si>
    <t>Your Ice-type Moves and Dragon-type Moves may add up to [1,2,3,4] Status Symbols to their rolls.</t>
  </si>
  <si>
    <t>When your active Pokémon knows Moves of 3 different types, you may change the type of your attack to any of those 3 types. Includes Typeless Moves too.</t>
  </si>
  <si>
    <t>Your Steel-type Pokémon and Electric-type Pokémon inflict the Paralysed status on the opposing Pokémon when switched in.</t>
  </si>
  <si>
    <t>Once per battle, after attacking or a capture attempt, you may immediately repeat the attack using the same move or retry the capture attempt using another ball.</t>
  </si>
  <si>
    <t>You may keep [2,3,4,5] Moves in your hand instead of teaching them immediately. Whilst not in battle, you may teach these Moves to Pokémon in your party that can learn them or discard them.</t>
  </si>
  <si>
    <t>Send Postcard</t>
  </si>
  <si>
    <t>Experienced Trainer</t>
  </si>
  <si>
    <t>Once per turn, you may move up to [2,3,4,5] Forest tiles in a row for free. Additionally, at the start of the game, upgrade your Pathfinding Compass once.</t>
  </si>
  <si>
    <t>Additionally, at the start of the game, upgrade your Crafting Hammer once.</t>
  </si>
  <si>
    <t>At the start of the game, upgrade your Healing Flask and Pathfinding Compass once.</t>
  </si>
  <si>
    <t>Civil Engineer</t>
  </si>
  <si>
    <t>Lugia</t>
  </si>
  <si>
    <t>Diving Pokémon</t>
  </si>
  <si>
    <t>Guardian of the Seas</t>
  </si>
  <si>
    <t>God of Time</t>
  </si>
  <si>
    <t>God of Space</t>
  </si>
  <si>
    <t>God of Antimatter</t>
  </si>
  <si>
    <t>Jirachi</t>
  </si>
  <si>
    <t>Wish Pokemon</t>
  </si>
  <si>
    <t>Doom Desire</t>
  </si>
  <si>
    <t>Remove 1 currently active Boost from the target.</t>
  </si>
  <si>
    <t>The Apex Dragon Held Item grants +[0,2,4,6] Health, +[1,1,2,2] Initiative and +1 Attack Strength to its Dragon-type Moves.</t>
  </si>
  <si>
    <t>Volt Tackle</t>
  </si>
  <si>
    <t>Titan of the Continents</t>
  </si>
  <si>
    <t>[status_symbol]s deal +1 damage.</t>
  </si>
  <si>
    <t xml:space="preserve">During this attack and when the user is next attacked, [status_symbol]s deal +1 damage. </t>
  </si>
  <si>
    <t>When the target next attacks, [status_symbol]s deal -1 damage.</t>
  </si>
  <si>
    <t>If any [status_symbol]s are rolled: Heal 2 damage.</t>
  </si>
  <si>
    <t>[status_symbol]s deal -1 damage.</t>
  </si>
  <si>
    <t>When the user next attacks, add 2 [status_symbol]s to the roll.</t>
  </si>
  <si>
    <t>When the target is next attacked, add 2 [status_symbol]s to the roll.</t>
  </si>
  <si>
    <t>If 2 or more [status_symbol]s are rolled: Deal 2 damage to a Pokémon in the target party that is not the target.</t>
  </si>
  <si>
    <t>[status_symbol]s deal -2 damage.</t>
  </si>
  <si>
    <t>If the target has 3 or less Health remaining after this attack, the target faints. [status_symbol]s deal -2 damage.</t>
  </si>
  <si>
    <t>On the next attack or capture roll against the target, [status_symbol]s deal +1 damage.</t>
  </si>
  <si>
    <t>If any [status_symbol]s are rolled: Inflict any status effect on the target.</t>
  </si>
  <si>
    <t>When the target next attacks, [status_symbol]s deal -2 damage.</t>
  </si>
  <si>
    <t>Inflict any status effect on the target. If any [status_symbol]s are rolled: Heal 1 status effect from the user.</t>
  </si>
  <si>
    <t>[critical_hit]s deal +1 damage.</t>
  </si>
  <si>
    <t>[critical_hit]s deal +1 damage but [status_symbol]s deal -1 damage.</t>
  </si>
  <si>
    <t>[critical_hit]s deal +2 damage.</t>
  </si>
  <si>
    <t>When the target is next attacked, add 1 [critical_hit] to the roll.</t>
  </si>
  <si>
    <t>When the user is attacked, all [critical_hit]s damage the attacker instead of the user.</t>
  </si>
  <si>
    <t>When the user is next attacked, remove 1 [critical_hit] from the roll.</t>
  </si>
  <si>
    <t>[critical_hit]s deal +1 damage and for each [critical_hit] rolled: Heal 2 damage.</t>
  </si>
  <si>
    <t>When the user is next attacked, the attacker takes 5 damage if any [critical_hit]s are rolled.</t>
  </si>
  <si>
    <t>[critical_hit]s deal +2 damage but for each [critical_hit] rolled: The user takes 2 damage.</t>
  </si>
  <si>
    <t>Add 1 [critical_hit] and 1 [status_symbol] to your future attack rolls.</t>
  </si>
  <si>
    <t>[critical_hit]s deal +2 damage but for each [critical_hit] rolled: The user takes 1 damage.</t>
  </si>
  <si>
    <t>When the user is next attacked, all [critical_hit]s damage the attacker instead of the user.</t>
  </si>
  <si>
    <t>[critical_hit]s deal +2 damage. The user takes 2 damage.</t>
  </si>
  <si>
    <t>When the target next attacks, remove 1 [regular_hit] from the roll.</t>
  </si>
  <si>
    <t>When the user is next attacked, remove 1 [regular_hit] from the roll.</t>
  </si>
  <si>
    <t>When the target is next attacked, add 1 [regular_hit] to the roll.</t>
  </si>
  <si>
    <t>[regular_hit]s deal +1 damage.</t>
  </si>
  <si>
    <t>Heal 1 damage at the end of your turns and add 1 [regular_hit] to your future attack rolls.</t>
  </si>
  <si>
    <t>When the user is next attacked, remove 2 [regular_hit]s from the roll.</t>
  </si>
  <si>
    <t>Add 2 [regular_hit]s to your future attack rolls.</t>
  </si>
  <si>
    <t>Add 1 [regular_hit] to your future attack rolls.</t>
  </si>
  <si>
    <t>When the target next attacks, remove 2 [regular_hit]s from the roll.</t>
  </si>
  <si>
    <t>Remove 1 [regular_hit] from future attack rolls against the user.</t>
  </si>
  <si>
    <t>When the user is next attacked, remove all [regular_hit]s from the roll.</t>
  </si>
  <si>
    <t>If any [status_symbol]s are rolled: Inflict the [paralysed] status on the target.</t>
  </si>
  <si>
    <t>Inflict the [paralysed] status on the target.</t>
  </si>
  <si>
    <t>If 2 or more [status_symbol]s are rolled: Inflict the [paralysed] status on the target.</t>
  </si>
  <si>
    <t>If any [status_symbol]s are rolled: Inflict the [paralysed] status on the target and another Pokémon in the target party.</t>
  </si>
  <si>
    <t>Inflict the [paralysed] status on the target. [status_symbol]s deal -1 damage.</t>
  </si>
  <si>
    <t>Inflict the [paralysed] status on the target and another Pokémon in the target party.</t>
  </si>
  <si>
    <t>Inflict the [paralysed] status on the target but increase the Battle Fatigue of the user by 3.</t>
  </si>
  <si>
    <t>Inflict the [paralysed] status on the target but the user takes 1 damage.</t>
  </si>
  <si>
    <t>If 2 or more [status_symbol]s are rolled: Inflict the [poisoned] status on the target.</t>
  </si>
  <si>
    <t>Inflict the [poisoned] status on the target.</t>
  </si>
  <si>
    <t>Inflict the [poisoned] status on the target. When the user is next attacked, remove 2 [regular_hit]s from the roll.</t>
  </si>
  <si>
    <t>Inflict both the [poisoned] and [paralysed] statuses on the target.</t>
  </si>
  <si>
    <t>Inflict the [poisoned] status on the target. [critical_hit]s deal +1 damage.</t>
  </si>
  <si>
    <t>If any [status_symbol]s are rolled: Inflict the [poisoned] status on the target.</t>
  </si>
  <si>
    <t>Inflict the [poisoned] status on the target and another Pokémon in the target party.</t>
  </si>
  <si>
    <t>If any [status_symbol]s are rolled: Inflict the [burned] status on the target.</t>
  </si>
  <si>
    <t>Inflict the [burned] status on the target.</t>
  </si>
  <si>
    <t>Inflict both the [burned] and [poisoned] statuses on the target.</t>
  </si>
  <si>
    <t>If any [status_symbol]s are rolled: Inflict the [burned] status on the target and another Pokémon in the target party.</t>
  </si>
  <si>
    <t>Inflict both the [burned] and [paralysed] statuses on the target.</t>
  </si>
  <si>
    <t>If 2 or more [status_symbol]s are rolled: Inflict the [burned] status on the target.</t>
  </si>
  <si>
    <t>Inflict the [burned] status on the target. [status_symbol]s deal -1 damage.</t>
  </si>
  <si>
    <t>Inflict the [frozen] status on the target.</t>
  </si>
  <si>
    <t>Inflict both the [frozen] and [paralysed] statuses on the target.</t>
  </si>
  <si>
    <t>When the user is attacked, inflict the [frozen] status on the attacker.</t>
  </si>
  <si>
    <t>If any [status_symbol]s are rolled: Inflict the [frozen] status on the target and another Pokémon in the target party.</t>
  </si>
  <si>
    <t>If any [status_symbol]s are rolled: Inflict the [frozen] status on the target.</t>
  </si>
  <si>
    <t>If 2 or more [status_symbol]s are rolled: Inflict the [frozen] status on the target.</t>
  </si>
  <si>
    <t>Inflict both the [paralysed] and [confused] statuses on the target.</t>
  </si>
  <si>
    <t>Inflict the [confused] status on the user. Deal any damage taken by the user during this attack to the target as well.</t>
  </si>
  <si>
    <t>Inflict the [confused] status on the target.</t>
  </si>
  <si>
    <t>Inflict the [confused] status on the target and all Pokémon in the target party.</t>
  </si>
  <si>
    <t>If 2 or more [status_symbol]s are rolled: Inflict the [confused] status on the target.</t>
  </si>
  <si>
    <t>If any [status_symbol]s are rolled: Inflict the [confused] status on the target.</t>
  </si>
  <si>
    <t>Inflict both the [confused] and [paralysed] statuses on the target.</t>
  </si>
  <si>
    <t>Inflict both the [drowsy] and [confused] statuses on the target.</t>
  </si>
  <si>
    <t>Inflict the [drowsy] status on the target and all Pokémon in the target party.</t>
  </si>
  <si>
    <t>Inflict the [drowsy] status on the target.</t>
  </si>
  <si>
    <t>If 2 or more [status_symbol]s are rolled: Inflict the [drowsy] status on the target.</t>
  </si>
  <si>
    <t>Heal 1 damage and inflict the [drowsy] status on the target.</t>
  </si>
  <si>
    <t>[status_symbol]s deal +1 damage. Heal any [drowsy] status effects from the user and the target.</t>
  </si>
  <si>
    <t>Inflict both the [poisoned] and [drowsy] statuses on the target.</t>
  </si>
  <si>
    <t>Inflict the [drowsy] status on the user. Heal 6 damage if the user has just become [drowsy].</t>
  </si>
  <si>
    <t>Aeroblast</t>
  </si>
  <si>
    <t>[critical_hit]s deal +1 damage. For each Song Move in your party: Attack Strength is increased by 1.</t>
  </si>
  <si>
    <t>Deals 2 extra damage to [flying]-Type Pokémon.</t>
  </si>
  <si>
    <t>For each other [bug]-Type Pokémon in your party: Attack Strength is increased by 1.</t>
  </si>
  <si>
    <t>If the user knows another [electric]-Type Move, deal 2 extra damage.</t>
  </si>
  <si>
    <t xml:space="preserve">Deals 4 extra damage to [flying]-Type Pokémon. For each [status_symbol] rolled: The user takes 1 damage. </t>
  </si>
  <si>
    <t>If the user knows another [fire]-Type Move, deal 2 extra damage.</t>
  </si>
  <si>
    <t>Inflict the [paralysed] status on the target. Deals 4 extra damage to [bug]-Type Pokémon.</t>
  </si>
  <si>
    <t>If the user knows an [electric]-Type Move, deal 2 extra damage.</t>
  </si>
  <si>
    <t>If the user knows a [fire]-Type Move, deal 2 extra damage.</t>
  </si>
  <si>
    <t>Inflict the [paralysed] status on the target. Deals 4 extra damage to [water]-Type Pokémon.</t>
  </si>
  <si>
    <t>At the end of the turn, inflict the [burned] status on the target.</t>
  </si>
  <si>
    <t>At the end of the turn, inflict the [frozen] status on the target.</t>
  </si>
  <si>
    <t>At the end of the turn, inflict any status effect on the target.</t>
  </si>
  <si>
    <t>Mew</t>
  </si>
  <si>
    <t>New Species Pokémon</t>
  </si>
  <si>
    <t>Mischievous Mimicry</t>
  </si>
  <si>
    <t>Heart Swap</t>
  </si>
  <si>
    <t>Increase the Battle Fatigue of the user by 2.</t>
  </si>
  <si>
    <t>Inflict the [confused] status on the target. Deals 4 extra damage to [steel]-Type Pokémon.</t>
  </si>
  <si>
    <t>Mirage of the Past</t>
  </si>
  <si>
    <t>Copy the effect of a Move the target knows.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</si>
</sst>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8"/>
      <name val="Calibri"/>
      <family val="2"/>
      <scheme val="minor"/>
    </font>
  </fonts>
  <fills count="5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64C864"/>
        <bgColor indexed="64"/>
      </patternFill>
    </fill>
    <fill>
      <patternFill patternType="solid">
        <fgColor rgb="FF6496FA"/>
        <bgColor indexed="64"/>
      </patternFill>
    </fill>
    <fill>
      <patternFill patternType="solid">
        <fgColor rgb="FFFAFA64"/>
        <bgColor indexed="64"/>
      </patternFill>
    </fill>
    <fill>
      <patternFill patternType="solid">
        <fgColor rgb="FF64FAFA"/>
        <bgColor indexed="64"/>
      </patternFill>
    </fill>
    <fill>
      <patternFill patternType="solid">
        <fgColor rgb="FFFA6464"/>
        <bgColor indexed="64"/>
      </patternFill>
    </fill>
    <fill>
      <patternFill patternType="solid">
        <fgColor rgb="FFC864FA"/>
        <bgColor indexed="64"/>
      </patternFill>
    </fill>
    <fill>
      <patternFill patternType="solid">
        <fgColor rgb="FFC86432"/>
        <bgColor indexed="64"/>
      </patternFill>
    </fill>
    <fill>
      <patternFill patternType="solid">
        <fgColor rgb="FFFA9632"/>
        <bgColor indexed="64"/>
      </patternFill>
    </fill>
    <fill>
      <patternFill patternType="solid">
        <fgColor rgb="FFC8C8FA"/>
        <bgColor indexed="64"/>
      </patternFill>
    </fill>
    <fill>
      <patternFill patternType="solid">
        <fgColor rgb="FFFA9696"/>
        <bgColor indexed="64"/>
      </patternFill>
    </fill>
    <fill>
      <patternFill patternType="solid">
        <fgColor rgb="FF96C832"/>
        <bgColor indexed="64"/>
      </patternFill>
    </fill>
    <fill>
      <patternFill patternType="solid">
        <fgColor rgb="FF969664"/>
        <bgColor indexed="64"/>
      </patternFill>
    </fill>
    <fill>
      <patternFill patternType="solid">
        <fgColor rgb="FF9664C8"/>
        <bgColor indexed="64"/>
      </patternFill>
    </fill>
    <fill>
      <patternFill patternType="solid">
        <fgColor rgb="FF6464C8"/>
        <bgColor indexed="64"/>
      </patternFill>
    </fill>
    <fill>
      <patternFill patternType="solid">
        <fgColor rgb="FF646464"/>
        <bgColor indexed="64"/>
      </patternFill>
    </fill>
    <fill>
      <patternFill patternType="solid">
        <fgColor rgb="FF9696C8"/>
        <bgColor indexed="64"/>
      </patternFill>
    </fill>
    <fill>
      <patternFill patternType="solid">
        <fgColor rgb="FFFA96C8"/>
        <bgColor indexed="64"/>
      </patternFill>
    </fill>
    <fill>
      <patternFill patternType="solid">
        <fgColor rgb="FFC8C8C8"/>
        <bgColor indexed="64"/>
      </patternFill>
    </fill>
    <fill>
      <patternFill patternType="solid">
        <fgColor theme="1"/>
        <bgColor indexed="64"/>
      </patternFill>
    </fill>
    <fill>
      <patternFill patternType="solid">
        <fgColor rgb="FFFFFF00"/>
        <bgColor indexed="64"/>
      </patternFill>
    </fill>
    <fill>
      <patternFill patternType="solid">
        <fgColor theme="2"/>
        <bgColor indexed="64"/>
      </patternFill>
    </fill>
    <fill>
      <patternFill patternType="solid">
        <fgColor rgb="FF92D050"/>
        <bgColor indexed="64"/>
      </patternFill>
    </fill>
    <fill>
      <patternFill patternType="solid">
        <fgColor theme="7" tint="0.39997558519241921"/>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indexed="64"/>
      </bottom>
      <diagonal/>
    </border>
    <border>
      <left/>
      <right style="thick">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3">
    <xf numFmtId="0" fontId="0" fillId="0" borderId="0" xfId="0"/>
    <xf numFmtId="49" fontId="0" fillId="0" borderId="0" xfId="0" applyNumberFormat="1"/>
    <xf numFmtId="0" fontId="17" fillId="51" borderId="0" xfId="0" applyFont="1" applyFill="1"/>
    <xf numFmtId="49" fontId="17" fillId="51" borderId="0" xfId="0" applyNumberFormat="1" applyFont="1" applyFill="1"/>
    <xf numFmtId="0" fontId="0" fillId="37" borderId="0" xfId="0" applyFill="1"/>
    <xf numFmtId="0" fontId="0" fillId="50" borderId="0" xfId="0" applyFill="1"/>
    <xf numFmtId="0" fontId="0" fillId="40" borderId="0" xfId="0" applyFill="1"/>
    <xf numFmtId="0" fontId="0" fillId="34" borderId="0" xfId="0" applyFill="1"/>
    <xf numFmtId="0" fontId="0" fillId="35" borderId="0" xfId="0" applyFill="1"/>
    <xf numFmtId="0" fontId="0" fillId="33" borderId="0" xfId="0" applyFill="1"/>
    <xf numFmtId="0" fontId="0" fillId="36" borderId="0" xfId="0" applyFill="1"/>
    <xf numFmtId="0" fontId="0" fillId="38" borderId="0" xfId="0" applyFill="1"/>
    <xf numFmtId="0" fontId="0" fillId="39" borderId="0" xfId="0" applyFill="1"/>
    <xf numFmtId="0" fontId="0" fillId="41" borderId="0" xfId="0" applyFill="1"/>
    <xf numFmtId="0" fontId="0" fillId="42" borderId="0" xfId="0" applyFill="1"/>
    <xf numFmtId="0" fontId="0" fillId="43" borderId="0" xfId="0" applyFill="1"/>
    <xf numFmtId="0" fontId="0" fillId="44" borderId="0" xfId="0" applyFill="1"/>
    <xf numFmtId="0" fontId="0" fillId="45" borderId="0" xfId="0" applyFill="1"/>
    <xf numFmtId="0" fontId="0" fillId="46" borderId="0" xfId="0" applyFill="1"/>
    <xf numFmtId="0" fontId="0" fillId="47" borderId="0" xfId="0" applyFill="1"/>
    <xf numFmtId="0" fontId="0" fillId="48" borderId="0" xfId="0" applyFill="1"/>
    <xf numFmtId="0" fontId="0" fillId="49" borderId="0" xfId="0" applyFill="1"/>
    <xf numFmtId="0" fontId="17" fillId="51" borderId="0" xfId="0" applyFont="1" applyFill="1" applyAlignment="1">
      <alignment wrapText="1"/>
    </xf>
    <xf numFmtId="0" fontId="0" fillId="0" borderId="0" xfId="0" applyAlignment="1">
      <alignment wrapText="1"/>
    </xf>
    <xf numFmtId="2" fontId="0" fillId="0" borderId="0" xfId="0" applyNumberFormat="1"/>
    <xf numFmtId="0" fontId="0" fillId="52" borderId="0" xfId="0" applyFill="1" applyAlignment="1">
      <alignment wrapText="1"/>
    </xf>
    <xf numFmtId="0" fontId="0" fillId="52" borderId="0" xfId="0" applyFill="1"/>
    <xf numFmtId="0" fontId="0" fillId="0" borderId="11" xfId="0" applyBorder="1"/>
    <xf numFmtId="0" fontId="0" fillId="53" borderId="0" xfId="0" applyFill="1"/>
    <xf numFmtId="0" fontId="0" fillId="54" borderId="0" xfId="0" applyFill="1"/>
    <xf numFmtId="0" fontId="0" fillId="55" borderId="0" xfId="0" applyFill="1"/>
    <xf numFmtId="0" fontId="0" fillId="0" borderId="10" xfId="0" applyBorder="1"/>
    <xf numFmtId="0" fontId="17"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1">
    <dxf>
      <fill>
        <patternFill>
          <bgColor rgb="FFFAC87D"/>
        </patternFill>
      </fill>
    </dxf>
    <dxf>
      <fill>
        <patternFill>
          <bgColor rgb="FF96C8FA"/>
        </patternFill>
      </fill>
    </dxf>
    <dxf>
      <fill>
        <patternFill>
          <bgColor rgb="FFC8C8FA"/>
        </patternFill>
      </fill>
    </dxf>
    <dxf>
      <fill>
        <patternFill>
          <bgColor rgb="FFFAFA64"/>
        </patternFill>
      </fill>
    </dxf>
    <dxf>
      <fill>
        <patternFill>
          <bgColor rgb="FFFA9696"/>
        </patternFill>
      </fill>
    </dxf>
    <dxf>
      <fill>
        <patternFill>
          <bgColor rgb="FFE1C8FA"/>
        </patternFill>
      </fill>
    </dxf>
    <dxf>
      <font>
        <color theme="0"/>
      </font>
      <fill>
        <patternFill>
          <bgColor rgb="FF649664"/>
        </patternFill>
      </fill>
    </dxf>
    <dxf>
      <font>
        <color theme="0"/>
      </font>
      <fill>
        <patternFill>
          <bgColor rgb="FF967D64"/>
        </patternFill>
      </fill>
    </dxf>
    <dxf>
      <font>
        <color theme="0"/>
      </font>
      <fill>
        <patternFill>
          <bgColor rgb="FF326432"/>
        </patternFill>
      </fill>
    </dxf>
    <dxf>
      <font>
        <color theme="0"/>
      </font>
      <fill>
        <patternFill>
          <bgColor rgb="FF64AFC8"/>
        </patternFill>
      </fill>
    </dxf>
    <dxf>
      <font>
        <color theme="0"/>
      </font>
      <fill>
        <patternFill>
          <bgColor rgb="FF64647D"/>
        </patternFill>
      </fill>
    </dxf>
    <dxf>
      <fill>
        <patternFill>
          <bgColor rgb="FFFAFAE1"/>
        </patternFill>
      </fill>
    </dxf>
    <dxf>
      <fill>
        <patternFill>
          <bgColor rgb="FF92D050"/>
        </patternFill>
      </fill>
    </dxf>
    <dxf>
      <font>
        <b/>
        <i val="0"/>
      </font>
      <fill>
        <patternFill>
          <bgColor rgb="FFFAFAE1"/>
        </patternFill>
      </fill>
    </dxf>
    <dxf>
      <font>
        <b val="0"/>
        <i/>
        <color rgb="FFE1E1E1"/>
      </font>
    </dxf>
    <dxf>
      <font>
        <b/>
        <i val="0"/>
      </font>
      <fill>
        <patternFill>
          <bgColor rgb="FFFAE1FA"/>
        </patternFill>
      </fill>
    </dxf>
    <dxf>
      <font>
        <b val="0"/>
        <i/>
        <color rgb="FFE1E1E1"/>
      </font>
    </dxf>
    <dxf>
      <font>
        <b/>
        <i val="0"/>
        <color auto="1"/>
      </font>
      <fill>
        <patternFill>
          <bgColor rgb="FFE1FAE1"/>
        </patternFill>
      </fill>
    </dxf>
    <dxf>
      <font>
        <b/>
        <i val="0"/>
        <color auto="1"/>
      </font>
      <fill>
        <patternFill>
          <bgColor rgb="FFFAE1E1"/>
        </patternFill>
      </fill>
    </dxf>
    <dxf>
      <fill>
        <patternFill>
          <bgColor rgb="FFFAFAE1"/>
        </patternFill>
      </fill>
    </dxf>
    <dxf>
      <fill>
        <patternFill>
          <bgColor rgb="FFFAC87D"/>
        </patternFill>
      </fill>
    </dxf>
    <dxf>
      <fill>
        <patternFill>
          <bgColor rgb="FF96C8FA"/>
        </patternFill>
      </fill>
    </dxf>
    <dxf>
      <fill>
        <patternFill>
          <bgColor rgb="FFC8C8FA"/>
        </patternFill>
      </fill>
    </dxf>
    <dxf>
      <fill>
        <patternFill>
          <bgColor rgb="FFFAFA64"/>
        </patternFill>
      </fill>
    </dxf>
    <dxf>
      <fill>
        <patternFill>
          <bgColor rgb="FFFA9696"/>
        </patternFill>
      </fill>
    </dxf>
    <dxf>
      <fill>
        <patternFill>
          <bgColor rgb="FFE1C8FA"/>
        </patternFill>
      </fill>
    </dxf>
    <dxf>
      <font>
        <color theme="0"/>
      </font>
      <fill>
        <patternFill>
          <bgColor rgb="FF649664"/>
        </patternFill>
      </fill>
    </dxf>
    <dxf>
      <font>
        <color theme="0"/>
      </font>
      <fill>
        <patternFill>
          <bgColor rgb="FF967D64"/>
        </patternFill>
      </fill>
    </dxf>
    <dxf>
      <font>
        <color theme="0"/>
      </font>
      <fill>
        <patternFill>
          <bgColor rgb="FF326432"/>
        </patternFill>
      </fill>
    </dxf>
    <dxf>
      <font>
        <color theme="0"/>
      </font>
      <fill>
        <patternFill>
          <bgColor rgb="FF64AFC8"/>
        </patternFill>
      </fill>
    </dxf>
    <dxf>
      <font>
        <color theme="0"/>
      </font>
      <fill>
        <patternFill>
          <bgColor rgb="FF64647D"/>
        </patternFill>
      </fill>
    </dxf>
  </dxfs>
  <tableStyles count="0" defaultTableStyle="TableStyleMedium2" defaultPivotStyle="PivotStyleLight16"/>
  <colors>
    <mruColors>
      <color rgb="FF64647D"/>
      <color rgb="FF9696AF"/>
      <color rgb="FFE1C8FA"/>
      <color rgb="FFFA9696"/>
      <color rgb="FFFAFA64"/>
      <color rgb="FFC8C8FA"/>
      <color rgb="FF96C8FA"/>
      <color rgb="FFFAC87D"/>
      <color rgb="FF64AFC8"/>
      <color rgb="FF3264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415"/>
  <sheetViews>
    <sheetView topLeftCell="R13" zoomScale="80" zoomScaleNormal="80" workbookViewId="0">
      <selection activeCell="AB63" sqref="AB63"/>
    </sheetView>
  </sheetViews>
  <sheetFormatPr defaultRowHeight="15" x14ac:dyDescent="0.25"/>
  <cols>
    <col min="1" max="1" width="7.42578125" customWidth="1"/>
    <col min="2" max="2" width="14.85546875" bestFit="1" customWidth="1"/>
    <col min="3" max="3" width="21.5703125" bestFit="1" customWidth="1"/>
    <col min="4" max="4" width="26.28515625" customWidth="1"/>
    <col min="5" max="5" width="8.42578125" bestFit="1" customWidth="1"/>
    <col min="6" max="6" width="7.85546875" customWidth="1"/>
    <col min="7" max="9" width="4" bestFit="1" customWidth="1"/>
    <col min="10" max="10" width="6.7109375" bestFit="1" customWidth="1"/>
    <col min="11" max="11" width="7" customWidth="1"/>
    <col min="12" max="12" width="4.140625" bestFit="1" customWidth="1"/>
    <col min="13" max="13" width="22.42578125" bestFit="1" customWidth="1"/>
    <col min="14" max="14" width="9.5703125" bestFit="1" customWidth="1"/>
    <col min="15" max="15" width="10.7109375" bestFit="1" customWidth="1"/>
    <col min="16" max="16" width="10" customWidth="1"/>
    <col min="17" max="17" width="7.7109375" customWidth="1"/>
    <col min="18" max="18" width="6.5703125" bestFit="1" customWidth="1"/>
    <col min="19" max="19" width="7.140625" bestFit="1" customWidth="1"/>
    <col min="20" max="20" width="9" bestFit="1" customWidth="1"/>
    <col min="21" max="21" width="6.7109375" bestFit="1" customWidth="1"/>
    <col min="22" max="22" width="5.140625" bestFit="1" customWidth="1"/>
    <col min="23" max="25" width="8" bestFit="1" customWidth="1"/>
    <col min="26" max="26" width="8" customWidth="1"/>
    <col min="27" max="27" width="21.28515625" customWidth="1"/>
    <col min="28" max="28" width="8.5703125" customWidth="1"/>
    <col min="29" max="29" width="22.42578125" bestFit="1" customWidth="1"/>
    <col min="30" max="30" width="9" customWidth="1"/>
    <col min="31" max="31" width="3.5703125" customWidth="1"/>
    <col min="32" max="32" width="11.7109375" bestFit="1" customWidth="1"/>
    <col min="33" max="33" width="16" customWidth="1"/>
    <col min="34" max="34" width="9.28515625" bestFit="1" customWidth="1"/>
    <col min="35" max="35" width="12.28515625" customWidth="1"/>
    <col min="36" max="36" width="14.42578125" bestFit="1" customWidth="1"/>
    <col min="37" max="37" width="13.140625" bestFit="1" customWidth="1"/>
    <col min="38" max="38" width="16.42578125" bestFit="1" customWidth="1"/>
    <col min="39" max="39" width="13.5703125" bestFit="1" customWidth="1"/>
    <col min="40" max="40" width="5.85546875" bestFit="1" customWidth="1"/>
    <col min="41" max="41" width="10.7109375" bestFit="1" customWidth="1"/>
  </cols>
  <sheetData>
    <row r="1" spans="1:41" x14ac:dyDescent="0.25">
      <c r="A1" s="2" t="s">
        <v>1</v>
      </c>
      <c r="B1" s="2" t="s">
        <v>307</v>
      </c>
      <c r="C1" s="2" t="s">
        <v>442</v>
      </c>
      <c r="D1" s="2" t="s">
        <v>313</v>
      </c>
      <c r="E1" s="2" t="s">
        <v>305</v>
      </c>
      <c r="F1" s="2" t="s">
        <v>306</v>
      </c>
      <c r="G1" s="2" t="s">
        <v>0</v>
      </c>
      <c r="H1" s="2" t="s">
        <v>308</v>
      </c>
      <c r="I1" s="2" t="s">
        <v>309</v>
      </c>
      <c r="J1" s="2" t="s">
        <v>310</v>
      </c>
      <c r="K1" s="2" t="s">
        <v>311</v>
      </c>
      <c r="L1" s="2" t="s">
        <v>312</v>
      </c>
      <c r="M1" s="2" t="s">
        <v>316</v>
      </c>
      <c r="N1" s="2" t="s">
        <v>469</v>
      </c>
      <c r="O1" s="2" t="s">
        <v>470</v>
      </c>
      <c r="P1" s="2" t="s">
        <v>587</v>
      </c>
      <c r="Q1" s="2" t="s">
        <v>588</v>
      </c>
      <c r="R1" s="2" t="s">
        <v>742</v>
      </c>
      <c r="S1" s="2" t="s">
        <v>743</v>
      </c>
      <c r="T1" s="2" t="s">
        <v>556</v>
      </c>
      <c r="U1" s="2" t="s">
        <v>555</v>
      </c>
      <c r="V1" s="2" t="s">
        <v>557</v>
      </c>
      <c r="W1" s="2" t="s">
        <v>434</v>
      </c>
      <c r="X1" s="2" t="s">
        <v>435</v>
      </c>
      <c r="Y1" s="2" t="s">
        <v>436</v>
      </c>
      <c r="Z1" s="2" t="s">
        <v>544</v>
      </c>
      <c r="AA1" s="2" t="s">
        <v>443</v>
      </c>
      <c r="AB1" s="2" t="s">
        <v>437</v>
      </c>
      <c r="AC1" s="2" t="s">
        <v>509</v>
      </c>
      <c r="AD1" s="2" t="s">
        <v>942</v>
      </c>
      <c r="AE1" s="2" t="s">
        <v>943</v>
      </c>
      <c r="AF1" s="2" t="s">
        <v>1214</v>
      </c>
      <c r="AG1" s="2" t="s">
        <v>968</v>
      </c>
      <c r="AH1" s="2" t="s">
        <v>572</v>
      </c>
      <c r="AI1" s="2" t="s">
        <v>457</v>
      </c>
      <c r="AJ1" s="2" t="s">
        <v>586</v>
      </c>
      <c r="AK1" s="2" t="s">
        <v>468</v>
      </c>
      <c r="AL1" s="2" t="s">
        <v>458</v>
      </c>
      <c r="AM1" s="2" t="s">
        <v>781</v>
      </c>
      <c r="AN1" s="2" t="s">
        <v>941</v>
      </c>
      <c r="AO1" s="32"/>
    </row>
    <row r="2" spans="1:41" x14ac:dyDescent="0.25">
      <c r="A2">
        <v>387</v>
      </c>
      <c r="B2" t="s">
        <v>143</v>
      </c>
      <c r="C2" t="str">
        <f t="shared" ref="C2:C35" si="0">B2</f>
        <v>Turtwig</v>
      </c>
      <c r="E2" t="s">
        <v>2</v>
      </c>
      <c r="G2">
        <v>55</v>
      </c>
      <c r="H2">
        <v>68</v>
      </c>
      <c r="I2">
        <v>64</v>
      </c>
      <c r="J2">
        <v>45</v>
      </c>
      <c r="K2">
        <v>55</v>
      </c>
      <c r="L2">
        <v>31</v>
      </c>
      <c r="M2" t="s">
        <v>317</v>
      </c>
      <c r="N2" t="s">
        <v>298</v>
      </c>
      <c r="O2" t="s">
        <v>300</v>
      </c>
      <c r="P2">
        <f>(0.4*L2 + 0.5*MAX(H2,J2) + 0.1*MIN(H2,J2)) / 10</f>
        <v>5.09</v>
      </c>
      <c r="Q2">
        <f>(0.4*G2 + 0.3*I2 + 0.3*K2) / 10</f>
        <v>5.7700000000000005</v>
      </c>
      <c r="R2">
        <v>-1</v>
      </c>
      <c r="S2">
        <v>0</v>
      </c>
      <c r="T2">
        <f>ROUND(P2,0)+R2</f>
        <v>4</v>
      </c>
      <c r="U2">
        <f>ROUND(Q2,0)+S2</f>
        <v>6</v>
      </c>
      <c r="V2">
        <f>SUM(ROUND(T2,0),ROUND(U2,0))</f>
        <v>10</v>
      </c>
      <c r="W2" t="str">
        <f t="shared" ref="W2:W75" si="1">E2</f>
        <v>grass</v>
      </c>
      <c r="X2" t="s">
        <v>13</v>
      </c>
      <c r="Y2" t="s">
        <v>9</v>
      </c>
      <c r="Z2" t="s">
        <v>8</v>
      </c>
      <c r="AA2" t="str">
        <f>B3</f>
        <v>Grotle</v>
      </c>
      <c r="AB2">
        <f t="shared" ref="AB2:AB28" si="2">IF(ISBLANK(AA2), "", ROUND(( (V3-6)*(V3-7) - (V2-6)*(V2-7) )/15, 0) + 1)</f>
        <v>4</v>
      </c>
      <c r="AC2" t="s">
        <v>597</v>
      </c>
      <c r="AD2" t="str">
        <f>VLOOKUP(AC2,moves!A:B,2,FALSE)</f>
        <v>grass</v>
      </c>
      <c r="AE2">
        <f>VLOOKUP(AC2,moves!A:D,4,FALSE)</f>
        <v>3</v>
      </c>
      <c r="AF2" t="str">
        <f>IF(VLOOKUP(AC2,moves!A:F,5,FALSE)=0, "", VLOOKUP(AC2,moves!A:F,5,FALSE))</f>
        <v/>
      </c>
      <c r="AG2" t="str">
        <f>VLOOKUP(AC2,moves!A:F,6,FALSE)</f>
        <v>[critical_hit]s deal +1 damage.</v>
      </c>
      <c r="AH2">
        <v>1</v>
      </c>
      <c r="AI2">
        <v>0</v>
      </c>
      <c r="AJ2" t="str" cm="1">
        <f t="array" ref="AJ2">_xlfn.IFS(AH2=1, "starter", AI2=1, "legendary",V2&lt; 13, "weak",V2&lt; 17, "moderate", TRUE, "strong")</f>
        <v>starter</v>
      </c>
      <c r="AL2">
        <v>1</v>
      </c>
      <c r="AM2">
        <v>0</v>
      </c>
    </row>
    <row r="3" spans="1:41" x14ac:dyDescent="0.25">
      <c r="A3">
        <v>388</v>
      </c>
      <c r="B3" t="s">
        <v>144</v>
      </c>
      <c r="C3" t="str">
        <f t="shared" si="0"/>
        <v>Grotle</v>
      </c>
      <c r="E3" t="s">
        <v>2</v>
      </c>
      <c r="G3">
        <v>75</v>
      </c>
      <c r="H3">
        <v>89</v>
      </c>
      <c r="I3">
        <v>85</v>
      </c>
      <c r="J3">
        <v>55</v>
      </c>
      <c r="K3">
        <v>65</v>
      </c>
      <c r="L3">
        <v>36</v>
      </c>
      <c r="M3" t="s">
        <v>318</v>
      </c>
      <c r="N3" t="s">
        <v>298</v>
      </c>
      <c r="O3" t="s">
        <v>300</v>
      </c>
      <c r="P3">
        <f t="shared" ref="P3:P76" si="3">(0.4*L3 + 0.5*MAX(H3,J3) + 0.1*MIN(H3,J3)) / 10</f>
        <v>6.44</v>
      </c>
      <c r="Q3">
        <f t="shared" ref="Q3:Q76" si="4">(0.4*G3 + 0.3*I3 + 0.3*K3) / 10</f>
        <v>7.5</v>
      </c>
      <c r="R3">
        <v>0</v>
      </c>
      <c r="S3">
        <v>0</v>
      </c>
      <c r="T3">
        <f t="shared" ref="T3:T76" si="5">ROUND(P3,0)+R3</f>
        <v>6</v>
      </c>
      <c r="U3">
        <f t="shared" ref="U3:U76" si="6">ROUND(Q3,0)+S3</f>
        <v>8</v>
      </c>
      <c r="V3">
        <f t="shared" ref="V3:V76" si="7">SUM(ROUND(T3,0),ROUND(U3,0))</f>
        <v>14</v>
      </c>
      <c r="W3" t="str">
        <f t="shared" si="1"/>
        <v>grass</v>
      </c>
      <c r="X3" t="s">
        <v>13</v>
      </c>
      <c r="Y3" t="s">
        <v>9</v>
      </c>
      <c r="Z3" t="s">
        <v>8</v>
      </c>
      <c r="AA3" t="str">
        <f>B4</f>
        <v>Torterra</v>
      </c>
      <c r="AB3">
        <f t="shared" si="2"/>
        <v>6</v>
      </c>
      <c r="AC3" t="s">
        <v>526</v>
      </c>
      <c r="AD3" t="str">
        <f>VLOOKUP(AC3,moves!A:B,2,FALSE)</f>
        <v>dark</v>
      </c>
      <c r="AE3">
        <f>VLOOKUP(AC3,moves!A:D,4,FALSE)</f>
        <v>3</v>
      </c>
      <c r="AF3" t="str">
        <f>IF(VLOOKUP(AC3,moves!A:F,5,FALSE)=0, "", VLOOKUP(AC3,moves!A:F,5,FALSE))</f>
        <v/>
      </c>
      <c r="AG3" t="str">
        <f>VLOOKUP(AC3,moves!A:F,6,FALSE)</f>
        <v>When the target is next attacked, add 1 [regular_hit] to the roll.</v>
      </c>
      <c r="AH3">
        <v>0</v>
      </c>
      <c r="AI3">
        <v>0</v>
      </c>
      <c r="AJ3" t="str" cm="1">
        <f t="array" ref="AJ3">_xlfn.IFS(AH3=1, "starter", AI3=1, "legendary",V3&lt; 13, "weak",V3&lt; 17, "moderate", TRUE, "strong")</f>
        <v>moderate</v>
      </c>
      <c r="AL3">
        <v>2</v>
      </c>
      <c r="AM3">
        <v>0</v>
      </c>
    </row>
    <row r="4" spans="1:41" x14ac:dyDescent="0.25">
      <c r="A4">
        <v>389</v>
      </c>
      <c r="B4" t="s">
        <v>145</v>
      </c>
      <c r="C4" t="str">
        <f t="shared" si="0"/>
        <v>Torterra</v>
      </c>
      <c r="E4" t="s">
        <v>2</v>
      </c>
      <c r="F4" t="s">
        <v>13</v>
      </c>
      <c r="G4">
        <v>95</v>
      </c>
      <c r="H4">
        <v>109</v>
      </c>
      <c r="I4">
        <v>105</v>
      </c>
      <c r="J4">
        <v>75</v>
      </c>
      <c r="K4">
        <v>85</v>
      </c>
      <c r="L4">
        <v>56</v>
      </c>
      <c r="M4" t="s">
        <v>319</v>
      </c>
      <c r="N4" t="s">
        <v>298</v>
      </c>
      <c r="O4" t="s">
        <v>300</v>
      </c>
      <c r="P4">
        <f t="shared" si="3"/>
        <v>8.4400000000000013</v>
      </c>
      <c r="Q4">
        <f t="shared" si="4"/>
        <v>9.5</v>
      </c>
      <c r="R4">
        <v>0</v>
      </c>
      <c r="S4">
        <v>0</v>
      </c>
      <c r="T4">
        <f t="shared" si="5"/>
        <v>8</v>
      </c>
      <c r="U4">
        <f t="shared" si="6"/>
        <v>10</v>
      </c>
      <c r="V4">
        <f t="shared" si="7"/>
        <v>18</v>
      </c>
      <c r="W4" t="str">
        <f t="shared" si="1"/>
        <v>grass</v>
      </c>
      <c r="X4" t="str">
        <f>IF(F4 = 0, "", F4)</f>
        <v>ground</v>
      </c>
      <c r="Y4" t="s">
        <v>9</v>
      </c>
      <c r="Z4" t="s">
        <v>8</v>
      </c>
      <c r="AB4" t="str">
        <f t="shared" si="2"/>
        <v/>
      </c>
      <c r="AC4" t="s">
        <v>714</v>
      </c>
      <c r="AD4" t="str">
        <f>VLOOKUP(AC4,moves!A:B,2,FALSE)</f>
        <v>ground</v>
      </c>
      <c r="AE4">
        <f>VLOOKUP(AC4,moves!A:D,4,FALSE)</f>
        <v>5</v>
      </c>
      <c r="AF4" t="str">
        <f>IF(VLOOKUP(AC4,moves!A:F,5,FALSE)=0, "", VLOOKUP(AC4,moves!A:F,5,FALSE))</f>
        <v/>
      </c>
      <c r="AG4" t="str">
        <f>VLOOKUP(AC4,moves!A:F,6,FALSE)</f>
        <v xml:space="preserve">During this attack and when the user is next attacked, [status_symbol]s deal +1 damage. </v>
      </c>
      <c r="AH4">
        <v>0</v>
      </c>
      <c r="AI4">
        <v>0</v>
      </c>
      <c r="AJ4" t="str" cm="1">
        <f t="array" ref="AJ4">_xlfn.IFS(AH4=1, "starter", AI4=1, "legendary",V4&lt; 13, "weak",V4&lt; 17, "moderate", TRUE, "strong")</f>
        <v>strong</v>
      </c>
      <c r="AL4">
        <v>3</v>
      </c>
      <c r="AM4">
        <v>0</v>
      </c>
      <c r="AN4">
        <v>1</v>
      </c>
    </row>
    <row r="5" spans="1:41" x14ac:dyDescent="0.25">
      <c r="A5" t="s">
        <v>978</v>
      </c>
      <c r="B5" t="s">
        <v>145</v>
      </c>
      <c r="C5" t="str">
        <f t="shared" si="0"/>
        <v>Torterra</v>
      </c>
      <c r="D5" t="s">
        <v>1004</v>
      </c>
      <c r="E5" t="s">
        <v>2</v>
      </c>
      <c r="F5" t="s">
        <v>13</v>
      </c>
      <c r="G5">
        <v>95</v>
      </c>
      <c r="H5">
        <v>109</v>
      </c>
      <c r="I5">
        <v>105</v>
      </c>
      <c r="J5">
        <v>75</v>
      </c>
      <c r="K5">
        <v>85</v>
      </c>
      <c r="L5">
        <v>56</v>
      </c>
      <c r="M5" t="s">
        <v>319</v>
      </c>
      <c r="O5" t="s">
        <v>777</v>
      </c>
      <c r="P5">
        <f>(0.4*L5 + 0.5*MAX(H5,J5) + 0.1*MIN(H5,J5)) / 10</f>
        <v>8.4400000000000013</v>
      </c>
      <c r="Q5">
        <f>(0.4*G5 + 0.3*I5 + 0.3*K5) / 10</f>
        <v>9.5</v>
      </c>
      <c r="R5">
        <v>2</v>
      </c>
      <c r="S5">
        <v>2</v>
      </c>
      <c r="T5">
        <f>ROUND(P5,0)+R5</f>
        <v>10</v>
      </c>
      <c r="U5">
        <f>ROUND(Q5,0)+S5</f>
        <v>12</v>
      </c>
      <c r="V5">
        <f>SUM(ROUND(T5,0),ROUND(U5,0))</f>
        <v>22</v>
      </c>
      <c r="W5" t="str">
        <f>E5</f>
        <v>grass</v>
      </c>
      <c r="X5" t="str">
        <f>IF(F5 = 0, "", F5)</f>
        <v>ground</v>
      </c>
      <c r="Y5" t="s">
        <v>9</v>
      </c>
      <c r="Z5" t="s">
        <v>8</v>
      </c>
      <c r="AB5" t="str">
        <f t="shared" si="2"/>
        <v/>
      </c>
      <c r="AC5" t="s">
        <v>714</v>
      </c>
      <c r="AD5" t="str">
        <f>VLOOKUP(AC5,moves!A:B,2,FALSE)</f>
        <v>ground</v>
      </c>
      <c r="AE5">
        <f>VLOOKUP(AC5,moves!A:D,4,FALSE)</f>
        <v>5</v>
      </c>
      <c r="AF5" t="str">
        <f>IF(VLOOKUP(AC5,moves!A:F,5,FALSE)=0, "", VLOOKUP(AC5,moves!A:F,5,FALSE))</f>
        <v/>
      </c>
      <c r="AG5" t="str">
        <f>VLOOKUP(AC5,moves!A:F,6,FALSE)</f>
        <v xml:space="preserve">During this attack and when the user is next attacked, [status_symbol]s deal +1 damage. </v>
      </c>
      <c r="AH5">
        <v>0</v>
      </c>
      <c r="AI5">
        <v>1</v>
      </c>
      <c r="AJ5" t="str" cm="1">
        <f t="array" ref="AJ5">_xlfn.IFS(AH5=1, "starter", AI5=1, "legendary",V5&lt; 13, "weak",V5&lt; 17, "moderate", TRUE, "strong")</f>
        <v>legendary</v>
      </c>
      <c r="AL5">
        <v>3</v>
      </c>
      <c r="AM5">
        <v>0</v>
      </c>
      <c r="AN5">
        <v>2</v>
      </c>
    </row>
    <row r="6" spans="1:41" x14ac:dyDescent="0.25">
      <c r="A6">
        <v>390</v>
      </c>
      <c r="B6" t="s">
        <v>146</v>
      </c>
      <c r="C6" t="str">
        <f t="shared" si="0"/>
        <v>Chimchar</v>
      </c>
      <c r="E6" t="s">
        <v>4</v>
      </c>
      <c r="G6">
        <v>44</v>
      </c>
      <c r="H6">
        <v>58</v>
      </c>
      <c r="I6">
        <v>44</v>
      </c>
      <c r="J6">
        <v>58</v>
      </c>
      <c r="K6">
        <v>44</v>
      </c>
      <c r="L6">
        <v>61</v>
      </c>
      <c r="M6" t="s">
        <v>320</v>
      </c>
      <c r="N6" t="s">
        <v>298</v>
      </c>
      <c r="O6" t="s">
        <v>302</v>
      </c>
      <c r="P6">
        <f t="shared" si="3"/>
        <v>5.92</v>
      </c>
      <c r="Q6">
        <f t="shared" si="4"/>
        <v>4.4000000000000004</v>
      </c>
      <c r="R6">
        <v>0</v>
      </c>
      <c r="S6">
        <v>0</v>
      </c>
      <c r="T6">
        <f t="shared" si="5"/>
        <v>6</v>
      </c>
      <c r="U6">
        <f t="shared" si="6"/>
        <v>4</v>
      </c>
      <c r="V6">
        <f t="shared" si="7"/>
        <v>10</v>
      </c>
      <c r="W6" t="str">
        <f t="shared" si="1"/>
        <v>fire</v>
      </c>
      <c r="X6" t="s">
        <v>22</v>
      </c>
      <c r="Y6" t="s">
        <v>33</v>
      </c>
      <c r="Z6" t="s">
        <v>5</v>
      </c>
      <c r="AA6" t="str">
        <f>B7</f>
        <v>Monferno</v>
      </c>
      <c r="AB6">
        <f t="shared" si="2"/>
        <v>4</v>
      </c>
      <c r="AC6" t="s">
        <v>801</v>
      </c>
      <c r="AD6" t="str">
        <f>VLOOKUP(AC6,moves!A:B,2,FALSE)</f>
        <v>fire</v>
      </c>
      <c r="AE6">
        <f>VLOOKUP(AC6,moves!A:D,4,FALSE)</f>
        <v>2</v>
      </c>
      <c r="AF6" t="str">
        <f>IF(VLOOKUP(AC6,moves!A:F,5,FALSE)=0, "", VLOOKUP(AC6,moves!A:F,5,FALSE))</f>
        <v/>
      </c>
      <c r="AG6" t="str">
        <f>VLOOKUP(AC6,moves!A:F,6,FALSE)</f>
        <v>Inflict the [burned] status on the target.</v>
      </c>
      <c r="AH6">
        <v>1</v>
      </c>
      <c r="AI6">
        <v>0</v>
      </c>
      <c r="AJ6" t="str" cm="1">
        <f t="array" ref="AJ6">_xlfn.IFS(AH6=1, "starter", AI6=1, "legendary",V6&lt; 13, "weak",V6&lt; 17, "moderate", TRUE, "strong")</f>
        <v>starter</v>
      </c>
      <c r="AL6">
        <v>1</v>
      </c>
      <c r="AM6">
        <v>0</v>
      </c>
    </row>
    <row r="7" spans="1:41" x14ac:dyDescent="0.25">
      <c r="A7">
        <v>391</v>
      </c>
      <c r="B7" t="s">
        <v>147</v>
      </c>
      <c r="C7" t="str">
        <f t="shared" si="0"/>
        <v>Monferno</v>
      </c>
      <c r="E7" t="s">
        <v>4</v>
      </c>
      <c r="F7" t="s">
        <v>22</v>
      </c>
      <c r="G7">
        <v>64</v>
      </c>
      <c r="H7">
        <v>78</v>
      </c>
      <c r="I7">
        <v>52</v>
      </c>
      <c r="J7">
        <v>78</v>
      </c>
      <c r="K7">
        <v>52</v>
      </c>
      <c r="L7">
        <v>81</v>
      </c>
      <c r="M7" t="s">
        <v>321</v>
      </c>
      <c r="N7" t="s">
        <v>298</v>
      </c>
      <c r="O7" t="s">
        <v>302</v>
      </c>
      <c r="P7">
        <f t="shared" si="3"/>
        <v>7.92</v>
      </c>
      <c r="Q7">
        <f t="shared" si="4"/>
        <v>5.6800000000000006</v>
      </c>
      <c r="R7">
        <v>0</v>
      </c>
      <c r="S7">
        <v>0</v>
      </c>
      <c r="T7">
        <f t="shared" si="5"/>
        <v>8</v>
      </c>
      <c r="U7">
        <f t="shared" si="6"/>
        <v>6</v>
      </c>
      <c r="V7">
        <f t="shared" si="7"/>
        <v>14</v>
      </c>
      <c r="W7" t="str">
        <f t="shared" si="1"/>
        <v>fire</v>
      </c>
      <c r="X7" t="str">
        <f>IF(F7 = 0, "", F7)</f>
        <v>fighting</v>
      </c>
      <c r="Y7" t="s">
        <v>33</v>
      </c>
      <c r="Z7" t="s">
        <v>5</v>
      </c>
      <c r="AA7" t="str">
        <f>B8</f>
        <v>Infernape</v>
      </c>
      <c r="AB7">
        <f t="shared" si="2"/>
        <v>6</v>
      </c>
      <c r="AC7" t="s">
        <v>715</v>
      </c>
      <c r="AD7" t="str">
        <f>VLOOKUP(AC7,moves!A:B,2,FALSE)</f>
        <v>fighting</v>
      </c>
      <c r="AE7">
        <f>VLOOKUP(AC7,moves!A:D,4,FALSE)</f>
        <v>2</v>
      </c>
      <c r="AF7" t="str">
        <f>IF(VLOOKUP(AC7,moves!A:F,5,FALSE)=0, "", VLOOKUP(AC7,moves!A:F,5,FALSE))</f>
        <v>agile</v>
      </c>
      <c r="AG7" t="str">
        <f>VLOOKUP(AC7,moves!A:F,6,FALSE)</f>
        <v>[status_symbol]s deal -1 damage.</v>
      </c>
      <c r="AH7">
        <v>0</v>
      </c>
      <c r="AI7">
        <v>0</v>
      </c>
      <c r="AJ7" t="str" cm="1">
        <f t="array" ref="AJ7">_xlfn.IFS(AH7=1, "starter", AI7=1, "legendary",V7&lt; 13, "weak",V7&lt; 17, "moderate", TRUE, "strong")</f>
        <v>moderate</v>
      </c>
      <c r="AL7">
        <v>2</v>
      </c>
      <c r="AM7">
        <v>0</v>
      </c>
    </row>
    <row r="8" spans="1:41" x14ac:dyDescent="0.25">
      <c r="A8">
        <v>392</v>
      </c>
      <c r="B8" t="s">
        <v>148</v>
      </c>
      <c r="C8" t="str">
        <f t="shared" si="0"/>
        <v>Infernape</v>
      </c>
      <c r="E8" t="s">
        <v>4</v>
      </c>
      <c r="F8" t="s">
        <v>22</v>
      </c>
      <c r="G8">
        <v>76</v>
      </c>
      <c r="H8">
        <v>104</v>
      </c>
      <c r="I8">
        <v>71</v>
      </c>
      <c r="J8">
        <v>104</v>
      </c>
      <c r="K8">
        <v>71</v>
      </c>
      <c r="L8">
        <v>108</v>
      </c>
      <c r="M8" t="s">
        <v>322</v>
      </c>
      <c r="N8" t="s">
        <v>298</v>
      </c>
      <c r="O8" t="s">
        <v>302</v>
      </c>
      <c r="P8">
        <f t="shared" si="3"/>
        <v>10.56</v>
      </c>
      <c r="Q8">
        <f t="shared" si="4"/>
        <v>7.3</v>
      </c>
      <c r="R8">
        <v>0</v>
      </c>
      <c r="S8">
        <v>0</v>
      </c>
      <c r="T8">
        <f t="shared" si="5"/>
        <v>11</v>
      </c>
      <c r="U8">
        <f t="shared" si="6"/>
        <v>7</v>
      </c>
      <c r="V8">
        <f t="shared" si="7"/>
        <v>18</v>
      </c>
      <c r="W8" t="str">
        <f t="shared" si="1"/>
        <v>fire</v>
      </c>
      <c r="X8" t="str">
        <f>IF(F8 = 0, "", F8)</f>
        <v>fighting</v>
      </c>
      <c r="Y8" t="s">
        <v>33</v>
      </c>
      <c r="Z8" t="s">
        <v>5</v>
      </c>
      <c r="AB8" t="str">
        <f t="shared" si="2"/>
        <v/>
      </c>
      <c r="AC8" t="s">
        <v>767</v>
      </c>
      <c r="AD8" t="str">
        <f>VLOOKUP(AC8,moves!A:B,2,FALSE)</f>
        <v>fire</v>
      </c>
      <c r="AE8">
        <f>VLOOKUP(AC8,moves!A:D,4,FALSE)</f>
        <v>5</v>
      </c>
      <c r="AF8" t="str">
        <f>IF(VLOOKUP(AC8,moves!A:F,5,FALSE)=0, "", VLOOKUP(AC8,moves!A:F,5,FALSE))</f>
        <v/>
      </c>
      <c r="AG8" t="str">
        <f>VLOOKUP(AC8,moves!A:F,6,FALSE)</f>
        <v>Inflict the [confused] status on the user. Deal any damage taken by the user during this attack to the target as well.</v>
      </c>
      <c r="AH8">
        <v>0</v>
      </c>
      <c r="AI8">
        <v>0</v>
      </c>
      <c r="AJ8" t="str" cm="1">
        <f t="array" ref="AJ8">_xlfn.IFS(AH8=1, "starter", AI8=1, "legendary",V8&lt; 13, "weak",V8&lt; 17, "moderate", TRUE, "strong")</f>
        <v>strong</v>
      </c>
      <c r="AL8">
        <v>3</v>
      </c>
      <c r="AM8">
        <v>0</v>
      </c>
      <c r="AN8">
        <v>1</v>
      </c>
    </row>
    <row r="9" spans="1:41" x14ac:dyDescent="0.25">
      <c r="A9" t="s">
        <v>979</v>
      </c>
      <c r="B9" t="s">
        <v>148</v>
      </c>
      <c r="C9" t="str">
        <f t="shared" si="0"/>
        <v>Infernape</v>
      </c>
      <c r="D9" t="s">
        <v>1004</v>
      </c>
      <c r="E9" t="s">
        <v>4</v>
      </c>
      <c r="F9" t="s">
        <v>22</v>
      </c>
      <c r="G9">
        <v>76</v>
      </c>
      <c r="H9">
        <v>104</v>
      </c>
      <c r="I9">
        <v>71</v>
      </c>
      <c r="J9">
        <v>104</v>
      </c>
      <c r="K9">
        <v>71</v>
      </c>
      <c r="L9">
        <v>108</v>
      </c>
      <c r="M9" t="s">
        <v>322</v>
      </c>
      <c r="O9" t="s">
        <v>777</v>
      </c>
      <c r="P9">
        <f t="shared" ref="P9" si="8">(0.4*L9 + 0.5*MAX(H9,J9) + 0.1*MIN(H9,J9)) / 10</f>
        <v>10.56</v>
      </c>
      <c r="Q9">
        <f t="shared" ref="Q9" si="9">(0.4*G9 + 0.3*I9 + 0.3*K9) / 10</f>
        <v>7.3</v>
      </c>
      <c r="R9">
        <v>2</v>
      </c>
      <c r="S9">
        <v>2</v>
      </c>
      <c r="T9">
        <f t="shared" ref="T9" si="10">ROUND(P9,0)+R9</f>
        <v>13</v>
      </c>
      <c r="U9">
        <f t="shared" ref="U9" si="11">ROUND(Q9,0)+S9</f>
        <v>9</v>
      </c>
      <c r="V9">
        <f t="shared" ref="V9" si="12">SUM(ROUND(T9,0),ROUND(U9,0))</f>
        <v>22</v>
      </c>
      <c r="W9" t="str">
        <f t="shared" ref="W9" si="13">E9</f>
        <v>fire</v>
      </c>
      <c r="X9" t="str">
        <f>IF(F9 = 0, "", F9)</f>
        <v>fighting</v>
      </c>
      <c r="Y9" t="s">
        <v>33</v>
      </c>
      <c r="Z9" t="s">
        <v>5</v>
      </c>
      <c r="AB9" t="str">
        <f t="shared" si="2"/>
        <v/>
      </c>
      <c r="AC9" t="s">
        <v>767</v>
      </c>
      <c r="AD9" t="str">
        <f>VLOOKUP(AC9,moves!A:B,2,FALSE)</f>
        <v>fire</v>
      </c>
      <c r="AE9">
        <f>VLOOKUP(AC9,moves!A:D,4,FALSE)</f>
        <v>5</v>
      </c>
      <c r="AF9" t="str">
        <f>IF(VLOOKUP(AC9,moves!A:F,5,FALSE)=0, "", VLOOKUP(AC9,moves!A:F,5,FALSE))</f>
        <v/>
      </c>
      <c r="AG9" t="str">
        <f>VLOOKUP(AC9,moves!A:F,6,FALSE)</f>
        <v>Inflict the [confused] status on the user. Deal any damage taken by the user during this attack to the target as well.</v>
      </c>
      <c r="AH9">
        <v>0</v>
      </c>
      <c r="AI9">
        <v>1</v>
      </c>
      <c r="AJ9" t="str" cm="1">
        <f t="array" ref="AJ9">_xlfn.IFS(AH9=1, "starter", AI9=1, "legendary",V9&lt; 13, "weak",V9&lt; 17, "moderate", TRUE, "strong")</f>
        <v>legendary</v>
      </c>
      <c r="AL9">
        <v>3</v>
      </c>
      <c r="AM9">
        <v>0</v>
      </c>
      <c r="AN9">
        <v>2</v>
      </c>
    </row>
    <row r="10" spans="1:41" x14ac:dyDescent="0.25">
      <c r="A10">
        <v>393</v>
      </c>
      <c r="B10" t="s">
        <v>149</v>
      </c>
      <c r="C10" t="str">
        <f t="shared" si="0"/>
        <v>Piplup</v>
      </c>
      <c r="E10" t="s">
        <v>6</v>
      </c>
      <c r="G10">
        <v>53</v>
      </c>
      <c r="H10">
        <v>51</v>
      </c>
      <c r="I10">
        <v>53</v>
      </c>
      <c r="J10">
        <v>61</v>
      </c>
      <c r="K10">
        <v>56</v>
      </c>
      <c r="L10">
        <v>40</v>
      </c>
      <c r="M10" t="s">
        <v>323</v>
      </c>
      <c r="N10" t="s">
        <v>303</v>
      </c>
      <c r="O10" t="s">
        <v>299</v>
      </c>
      <c r="P10">
        <f t="shared" si="3"/>
        <v>5.16</v>
      </c>
      <c r="Q10">
        <f t="shared" si="4"/>
        <v>5.3900000000000006</v>
      </c>
      <c r="R10">
        <v>0</v>
      </c>
      <c r="S10">
        <v>0</v>
      </c>
      <c r="T10">
        <f t="shared" si="5"/>
        <v>5</v>
      </c>
      <c r="U10">
        <f t="shared" si="6"/>
        <v>5</v>
      </c>
      <c r="V10">
        <f t="shared" si="7"/>
        <v>10</v>
      </c>
      <c r="W10" t="str">
        <f t="shared" si="1"/>
        <v>water</v>
      </c>
      <c r="X10" t="s">
        <v>39</v>
      </c>
      <c r="Y10" t="s">
        <v>5</v>
      </c>
      <c r="Z10" t="s">
        <v>14</v>
      </c>
      <c r="AA10" t="str">
        <f>B11</f>
        <v>Prinplup</v>
      </c>
      <c r="AB10">
        <f t="shared" si="2"/>
        <v>4</v>
      </c>
      <c r="AC10" t="s">
        <v>913</v>
      </c>
      <c r="AD10" t="str">
        <f>VLOOKUP(AC10,moves!A:B,2,FALSE)</f>
        <v>water</v>
      </c>
      <c r="AE10">
        <f>VLOOKUP(AC10,moves!A:D,4,FALSE)</f>
        <v>3</v>
      </c>
      <c r="AF10" t="str">
        <f>IF(VLOOKUP(AC10,moves!A:F,5,FALSE)=0, "", VLOOKUP(AC10,moves!A:F,5,FALSE))</f>
        <v/>
      </c>
      <c r="AG10" t="str">
        <f>VLOOKUP(AC10,moves!A:F,6,FALSE)</f>
        <v>When the target is next attacked, add 2 [status_symbol]s to the roll.</v>
      </c>
      <c r="AH10">
        <v>1</v>
      </c>
      <c r="AI10">
        <v>0</v>
      </c>
      <c r="AJ10" t="str" cm="1">
        <f t="array" ref="AJ10">_xlfn.IFS(AH10=1, "starter", AI10=1, "legendary",V10&lt; 13, "weak",V10&lt; 17, "moderate", TRUE, "strong")</f>
        <v>starter</v>
      </c>
      <c r="AL10">
        <v>1</v>
      </c>
      <c r="AM10">
        <v>0</v>
      </c>
    </row>
    <row r="11" spans="1:41" x14ac:dyDescent="0.25">
      <c r="A11">
        <v>394</v>
      </c>
      <c r="B11" t="s">
        <v>150</v>
      </c>
      <c r="C11" t="str">
        <f t="shared" si="0"/>
        <v>Prinplup</v>
      </c>
      <c r="E11" t="s">
        <v>6</v>
      </c>
      <c r="G11">
        <v>64</v>
      </c>
      <c r="H11">
        <v>66</v>
      </c>
      <c r="I11">
        <v>68</v>
      </c>
      <c r="J11">
        <v>81</v>
      </c>
      <c r="K11">
        <v>76</v>
      </c>
      <c r="L11">
        <v>50</v>
      </c>
      <c r="M11" t="s">
        <v>323</v>
      </c>
      <c r="N11" t="s">
        <v>303</v>
      </c>
      <c r="O11" t="s">
        <v>299</v>
      </c>
      <c r="P11">
        <f t="shared" si="3"/>
        <v>6.7099999999999991</v>
      </c>
      <c r="Q11">
        <f t="shared" si="4"/>
        <v>6.88</v>
      </c>
      <c r="R11">
        <v>0</v>
      </c>
      <c r="S11">
        <v>0</v>
      </c>
      <c r="T11">
        <f t="shared" si="5"/>
        <v>7</v>
      </c>
      <c r="U11">
        <f t="shared" si="6"/>
        <v>7</v>
      </c>
      <c r="V11">
        <f t="shared" si="7"/>
        <v>14</v>
      </c>
      <c r="W11" t="str">
        <f t="shared" si="1"/>
        <v>water</v>
      </c>
      <c r="X11" t="s">
        <v>39</v>
      </c>
      <c r="Y11" t="s">
        <v>5</v>
      </c>
      <c r="Z11" t="s">
        <v>14</v>
      </c>
      <c r="AA11" t="str">
        <f>B12</f>
        <v>Empoleon</v>
      </c>
      <c r="AB11">
        <f t="shared" si="2"/>
        <v>6</v>
      </c>
      <c r="AC11" t="s">
        <v>593</v>
      </c>
      <c r="AD11" t="str">
        <f>VLOOKUP(AC11,moves!A:B,2,FALSE)</f>
        <v>steel</v>
      </c>
      <c r="AE11">
        <f>VLOOKUP(AC11,moves!A:D,4,FALSE)</f>
        <v>3</v>
      </c>
      <c r="AF11" t="str">
        <f>IF(VLOOKUP(AC11,moves!A:F,5,FALSE)=0, "", VLOOKUP(AC11,moves!A:F,5,FALSE))</f>
        <v/>
      </c>
      <c r="AG11" t="str">
        <f>VLOOKUP(AC11,moves!A:F,6,FALSE)</f>
        <v>[status_symbol]s deal +1 damage.</v>
      </c>
      <c r="AH11">
        <v>0</v>
      </c>
      <c r="AI11">
        <v>0</v>
      </c>
      <c r="AJ11" t="str" cm="1">
        <f t="array" ref="AJ11">_xlfn.IFS(AH11=1, "starter", AI11=1, "legendary",V11&lt; 13, "weak",V11&lt; 17, "moderate", TRUE, "strong")</f>
        <v>moderate</v>
      </c>
      <c r="AL11">
        <v>2</v>
      </c>
      <c r="AM11">
        <v>0</v>
      </c>
    </row>
    <row r="12" spans="1:41" x14ac:dyDescent="0.25">
      <c r="A12">
        <v>395</v>
      </c>
      <c r="B12" t="s">
        <v>151</v>
      </c>
      <c r="C12" t="str">
        <f t="shared" si="0"/>
        <v>Empoleon</v>
      </c>
      <c r="E12" t="s">
        <v>6</v>
      </c>
      <c r="F12" t="s">
        <v>39</v>
      </c>
      <c r="G12">
        <v>84</v>
      </c>
      <c r="H12">
        <v>86</v>
      </c>
      <c r="I12">
        <v>88</v>
      </c>
      <c r="J12">
        <v>111</v>
      </c>
      <c r="K12">
        <v>101</v>
      </c>
      <c r="L12">
        <v>60</v>
      </c>
      <c r="M12" t="s">
        <v>324</v>
      </c>
      <c r="N12" t="s">
        <v>303</v>
      </c>
      <c r="O12" t="s">
        <v>299</v>
      </c>
      <c r="P12">
        <f t="shared" si="3"/>
        <v>8.8099999999999987</v>
      </c>
      <c r="Q12">
        <f t="shared" si="4"/>
        <v>9.0299999999999994</v>
      </c>
      <c r="R12">
        <v>0</v>
      </c>
      <c r="S12">
        <v>0</v>
      </c>
      <c r="T12">
        <f t="shared" si="5"/>
        <v>9</v>
      </c>
      <c r="U12">
        <f t="shared" si="6"/>
        <v>9</v>
      </c>
      <c r="V12">
        <f t="shared" si="7"/>
        <v>18</v>
      </c>
      <c r="W12" t="str">
        <f t="shared" si="1"/>
        <v>water</v>
      </c>
      <c r="X12" t="s">
        <v>39</v>
      </c>
      <c r="Y12" t="s">
        <v>5</v>
      </c>
      <c r="Z12" t="s">
        <v>14</v>
      </c>
      <c r="AB12" t="str">
        <f t="shared" si="2"/>
        <v/>
      </c>
      <c r="AC12" t="s">
        <v>766</v>
      </c>
      <c r="AD12" t="str">
        <f>VLOOKUP(AC12,moves!A:B,2,FALSE)</f>
        <v>water</v>
      </c>
      <c r="AE12">
        <f>VLOOKUP(AC12,moves!A:D,4,FALSE)</f>
        <v>5</v>
      </c>
      <c r="AF12" t="str">
        <f>IF(VLOOKUP(AC12,moves!A:F,5,FALSE)=0, "", VLOOKUP(AC12,moves!A:F,5,FALSE))</f>
        <v/>
      </c>
      <c r="AG12" t="str">
        <f>VLOOKUP(AC12,moves!A:F,6,FALSE)</f>
        <v>[critical_hit]s deal +2 damage but for each [critical_hit] rolled: The user takes 2 damage.</v>
      </c>
      <c r="AH12">
        <v>0</v>
      </c>
      <c r="AI12">
        <v>0</v>
      </c>
      <c r="AJ12" t="str" cm="1">
        <f t="array" ref="AJ12">_xlfn.IFS(AH12=1, "starter", AI12=1, "legendary",V12&lt; 13, "weak",V12&lt; 17, "moderate", TRUE, "strong")</f>
        <v>strong</v>
      </c>
      <c r="AL12">
        <v>3</v>
      </c>
      <c r="AM12">
        <v>0</v>
      </c>
      <c r="AN12">
        <v>1</v>
      </c>
    </row>
    <row r="13" spans="1:41" x14ac:dyDescent="0.25">
      <c r="A13" t="s">
        <v>980</v>
      </c>
      <c r="B13" t="s">
        <v>151</v>
      </c>
      <c r="C13" t="str">
        <f t="shared" si="0"/>
        <v>Empoleon</v>
      </c>
      <c r="D13" t="s">
        <v>1004</v>
      </c>
      <c r="E13" t="s">
        <v>6</v>
      </c>
      <c r="F13" t="s">
        <v>39</v>
      </c>
      <c r="G13">
        <v>84</v>
      </c>
      <c r="H13">
        <v>86</v>
      </c>
      <c r="I13">
        <v>88</v>
      </c>
      <c r="J13">
        <v>111</v>
      </c>
      <c r="K13">
        <v>101</v>
      </c>
      <c r="L13">
        <v>60</v>
      </c>
      <c r="M13" t="s">
        <v>324</v>
      </c>
      <c r="O13" t="s">
        <v>777</v>
      </c>
      <c r="P13">
        <f t="shared" ref="P13" si="14">(0.4*L13 + 0.5*MAX(H13,J13) + 0.1*MIN(H13,J13)) / 10</f>
        <v>8.8099999999999987</v>
      </c>
      <c r="Q13">
        <f t="shared" ref="Q13" si="15">(0.4*G13 + 0.3*I13 + 0.3*K13) / 10</f>
        <v>9.0299999999999994</v>
      </c>
      <c r="R13">
        <v>2</v>
      </c>
      <c r="S13">
        <v>2</v>
      </c>
      <c r="T13">
        <f t="shared" ref="T13" si="16">ROUND(P13,0)+R13</f>
        <v>11</v>
      </c>
      <c r="U13">
        <f t="shared" ref="U13" si="17">ROUND(Q13,0)+S13</f>
        <v>11</v>
      </c>
      <c r="V13">
        <f t="shared" ref="V13" si="18">SUM(ROUND(T13,0),ROUND(U13,0))</f>
        <v>22</v>
      </c>
      <c r="W13" t="str">
        <f t="shared" ref="W13" si="19">E13</f>
        <v>water</v>
      </c>
      <c r="X13" t="s">
        <v>39</v>
      </c>
      <c r="Y13" t="s">
        <v>5</v>
      </c>
      <c r="Z13" t="s">
        <v>14</v>
      </c>
      <c r="AB13" t="str">
        <f t="shared" si="2"/>
        <v/>
      </c>
      <c r="AC13" t="s">
        <v>766</v>
      </c>
      <c r="AD13" t="str">
        <f>VLOOKUP(AC13,moves!A:B,2,FALSE)</f>
        <v>water</v>
      </c>
      <c r="AE13">
        <f>VLOOKUP(AC13,moves!A:D,4,FALSE)</f>
        <v>5</v>
      </c>
      <c r="AF13" t="str">
        <f>IF(VLOOKUP(AC13,moves!A:F,5,FALSE)=0, "", VLOOKUP(AC13,moves!A:F,5,FALSE))</f>
        <v/>
      </c>
      <c r="AG13" t="str">
        <f>VLOOKUP(AC13,moves!A:F,6,FALSE)</f>
        <v>[critical_hit]s deal +2 damage but for each [critical_hit] rolled: The user takes 2 damage.</v>
      </c>
      <c r="AH13">
        <v>0</v>
      </c>
      <c r="AI13">
        <v>1</v>
      </c>
      <c r="AJ13" t="str" cm="1">
        <f t="array" ref="AJ13">_xlfn.IFS(AH13=1, "starter", AI13=1, "legendary",V13&lt; 13, "weak",V13&lt; 17, "moderate", TRUE, "strong")</f>
        <v>legendary</v>
      </c>
      <c r="AL13">
        <v>3</v>
      </c>
      <c r="AM13">
        <v>0</v>
      </c>
      <c r="AN13">
        <v>2</v>
      </c>
    </row>
    <row r="14" spans="1:41" x14ac:dyDescent="0.25">
      <c r="A14">
        <v>396</v>
      </c>
      <c r="B14" t="s">
        <v>152</v>
      </c>
      <c r="C14" t="str">
        <f t="shared" si="0"/>
        <v>Starly</v>
      </c>
      <c r="E14" t="s">
        <v>8</v>
      </c>
      <c r="F14" t="s">
        <v>5</v>
      </c>
      <c r="G14">
        <v>40</v>
      </c>
      <c r="H14">
        <v>55</v>
      </c>
      <c r="I14">
        <v>30</v>
      </c>
      <c r="J14">
        <v>30</v>
      </c>
      <c r="K14">
        <v>30</v>
      </c>
      <c r="L14">
        <v>60</v>
      </c>
      <c r="M14" t="s">
        <v>325</v>
      </c>
      <c r="N14" t="s">
        <v>304</v>
      </c>
      <c r="O14" t="s">
        <v>300</v>
      </c>
      <c r="P14">
        <f t="shared" si="3"/>
        <v>5.45</v>
      </c>
      <c r="Q14">
        <f t="shared" si="4"/>
        <v>3.4</v>
      </c>
      <c r="R14">
        <v>1</v>
      </c>
      <c r="S14">
        <v>1</v>
      </c>
      <c r="T14">
        <f t="shared" si="5"/>
        <v>6</v>
      </c>
      <c r="U14">
        <f t="shared" si="6"/>
        <v>4</v>
      </c>
      <c r="V14">
        <f t="shared" si="7"/>
        <v>10</v>
      </c>
      <c r="W14" t="str">
        <f t="shared" si="1"/>
        <v>normal</v>
      </c>
      <c r="X14" t="str">
        <f>IF(F14 = 0, "", F14)</f>
        <v>flying</v>
      </c>
      <c r="Y14" t="s">
        <v>22</v>
      </c>
      <c r="Z14" t="s">
        <v>39</v>
      </c>
      <c r="AA14" t="str">
        <f>B15</f>
        <v>Staravia</v>
      </c>
      <c r="AB14">
        <f t="shared" si="2"/>
        <v>3</v>
      </c>
      <c r="AC14" t="s">
        <v>494</v>
      </c>
      <c r="AD14" t="str">
        <f>VLOOKUP(AC14,moves!A:B,2,FALSE)</f>
        <v>flying</v>
      </c>
      <c r="AE14">
        <f>VLOOKUP(AC14,moves!A:D,4,FALSE)</f>
        <v>3</v>
      </c>
      <c r="AF14" t="str">
        <f>IF(VLOOKUP(AC14,moves!A:F,5,FALSE)=0, "", VLOOKUP(AC14,moves!A:F,5,FALSE))</f>
        <v/>
      </c>
      <c r="AG14" t="str">
        <f>VLOOKUP(AC14,moves!A:F,6,FALSE)</f>
        <v>When the target next attacks, remove 1 [regular_hit] from the roll.</v>
      </c>
      <c r="AH14">
        <v>1</v>
      </c>
      <c r="AI14">
        <v>0</v>
      </c>
      <c r="AJ14" t="str" cm="1">
        <f t="array" ref="AJ14">_xlfn.IFS(AH14=1, "starter", AI14=1, "legendary",V14&lt; 13, "weak",V14&lt; 17, "moderate", TRUE, "strong")</f>
        <v>starter</v>
      </c>
      <c r="AL14">
        <v>1</v>
      </c>
      <c r="AM14">
        <v>0</v>
      </c>
    </row>
    <row r="15" spans="1:41" x14ac:dyDescent="0.25">
      <c r="A15">
        <v>397</v>
      </c>
      <c r="B15" t="s">
        <v>153</v>
      </c>
      <c r="C15" t="str">
        <f t="shared" si="0"/>
        <v>Staravia</v>
      </c>
      <c r="E15" t="s">
        <v>8</v>
      </c>
      <c r="F15" t="s">
        <v>5</v>
      </c>
      <c r="G15">
        <v>55</v>
      </c>
      <c r="H15">
        <v>75</v>
      </c>
      <c r="I15">
        <v>50</v>
      </c>
      <c r="J15">
        <v>40</v>
      </c>
      <c r="K15">
        <v>40</v>
      </c>
      <c r="L15">
        <v>80</v>
      </c>
      <c r="M15" t="s">
        <v>325</v>
      </c>
      <c r="N15" t="s">
        <v>304</v>
      </c>
      <c r="O15" t="s">
        <v>300</v>
      </c>
      <c r="P15">
        <f t="shared" si="3"/>
        <v>7.35</v>
      </c>
      <c r="Q15">
        <f t="shared" si="4"/>
        <v>4.9000000000000004</v>
      </c>
      <c r="R15">
        <v>0</v>
      </c>
      <c r="S15">
        <v>1</v>
      </c>
      <c r="T15">
        <f t="shared" si="5"/>
        <v>7</v>
      </c>
      <c r="U15">
        <f t="shared" si="6"/>
        <v>6</v>
      </c>
      <c r="V15">
        <f t="shared" si="7"/>
        <v>13</v>
      </c>
      <c r="W15" t="str">
        <f t="shared" si="1"/>
        <v>normal</v>
      </c>
      <c r="X15" t="str">
        <f>IF(F15 = 0, "", F15)</f>
        <v>flying</v>
      </c>
      <c r="Y15" t="s">
        <v>22</v>
      </c>
      <c r="Z15" t="s">
        <v>39</v>
      </c>
      <c r="AA15" t="str">
        <f>B16</f>
        <v>Staraptor</v>
      </c>
      <c r="AB15">
        <f t="shared" si="2"/>
        <v>7</v>
      </c>
      <c r="AC15" t="s">
        <v>805</v>
      </c>
      <c r="AD15" t="str">
        <f>VLOOKUP(AC15,moves!A:B,2,FALSE)</f>
        <v>steel</v>
      </c>
      <c r="AE15">
        <f>VLOOKUP(AC15,moves!A:D,4,FALSE)</f>
        <v>3</v>
      </c>
      <c r="AF15" t="str">
        <f>IF(VLOOKUP(AC15,moves!A:F,5,FALSE)=0, "", VLOOKUP(AC15,moves!A:F,5,FALSE))</f>
        <v/>
      </c>
      <c r="AG15" t="str">
        <f>VLOOKUP(AC15,moves!A:F,6,FALSE)</f>
        <v>When the user is next attacked, remove 1 [regular_hit] from the roll.</v>
      </c>
      <c r="AH15">
        <v>0</v>
      </c>
      <c r="AI15">
        <v>0</v>
      </c>
      <c r="AJ15" t="str" cm="1">
        <f t="array" ref="AJ15">_xlfn.IFS(AH15=1, "starter", AI15=1, "legendary",V15&lt; 13, "weak",V15&lt; 17, "moderate", TRUE, "strong")</f>
        <v>moderate</v>
      </c>
      <c r="AL15">
        <v>2</v>
      </c>
      <c r="AM15">
        <v>0</v>
      </c>
    </row>
    <row r="16" spans="1:41" x14ac:dyDescent="0.25">
      <c r="A16">
        <v>398</v>
      </c>
      <c r="B16" t="s">
        <v>154</v>
      </c>
      <c r="C16" t="str">
        <f t="shared" si="0"/>
        <v>Staraptor</v>
      </c>
      <c r="E16" t="s">
        <v>8</v>
      </c>
      <c r="F16" t="s">
        <v>5</v>
      </c>
      <c r="G16">
        <v>85</v>
      </c>
      <c r="H16">
        <v>120</v>
      </c>
      <c r="I16">
        <v>70</v>
      </c>
      <c r="J16">
        <v>50</v>
      </c>
      <c r="K16">
        <v>60</v>
      </c>
      <c r="L16">
        <v>100</v>
      </c>
      <c r="M16" t="s">
        <v>326</v>
      </c>
      <c r="N16" t="s">
        <v>304</v>
      </c>
      <c r="O16" t="s">
        <v>300</v>
      </c>
      <c r="P16">
        <f t="shared" si="3"/>
        <v>10.5</v>
      </c>
      <c r="Q16">
        <f t="shared" si="4"/>
        <v>7.3</v>
      </c>
      <c r="R16">
        <v>0</v>
      </c>
      <c r="S16">
        <v>0</v>
      </c>
      <c r="T16">
        <f t="shared" si="5"/>
        <v>11</v>
      </c>
      <c r="U16">
        <f t="shared" si="6"/>
        <v>7</v>
      </c>
      <c r="V16">
        <f t="shared" si="7"/>
        <v>18</v>
      </c>
      <c r="W16" t="str">
        <f t="shared" si="1"/>
        <v>normal</v>
      </c>
      <c r="X16" t="str">
        <f>IF(F16 = 0, "", F16)</f>
        <v>flying</v>
      </c>
      <c r="Y16" t="s">
        <v>22</v>
      </c>
      <c r="Z16" t="s">
        <v>39</v>
      </c>
      <c r="AB16" t="str">
        <f t="shared" si="2"/>
        <v/>
      </c>
      <c r="AC16" t="s">
        <v>492</v>
      </c>
      <c r="AD16" t="str">
        <f>VLOOKUP(AC16,moves!A:B,2,FALSE)</f>
        <v>fighting</v>
      </c>
      <c r="AE16">
        <f>VLOOKUP(AC16,moves!A:D,4,FALSE)</f>
        <v>5</v>
      </c>
      <c r="AF16" t="str">
        <f>IF(VLOOKUP(AC16,moves!A:F,5,FALSE)=0, "", VLOOKUP(AC16,moves!A:F,5,FALSE))</f>
        <v/>
      </c>
      <c r="AG16" t="str">
        <f>VLOOKUP(AC16,moves!A:F,6,FALSE)</f>
        <v xml:space="preserve">During this attack and when the user is next attacked, [status_symbol]s deal +1 damage. </v>
      </c>
      <c r="AH16">
        <v>0</v>
      </c>
      <c r="AI16">
        <v>0</v>
      </c>
      <c r="AJ16" t="str" cm="1">
        <f t="array" ref="AJ16">_xlfn.IFS(AH16=1, "starter", AI16=1, "legendary",V16&lt; 13, "weak",V16&lt; 17, "moderate", TRUE, "strong")</f>
        <v>strong</v>
      </c>
      <c r="AL16">
        <v>3</v>
      </c>
      <c r="AM16">
        <v>0</v>
      </c>
      <c r="AN16">
        <v>1</v>
      </c>
    </row>
    <row r="17" spans="1:40" x14ac:dyDescent="0.25">
      <c r="A17" t="s">
        <v>981</v>
      </c>
      <c r="B17" t="s">
        <v>154</v>
      </c>
      <c r="C17" t="str">
        <f t="shared" si="0"/>
        <v>Staraptor</v>
      </c>
      <c r="D17" t="s">
        <v>1004</v>
      </c>
      <c r="E17" t="s">
        <v>8</v>
      </c>
      <c r="F17" t="s">
        <v>5</v>
      </c>
      <c r="G17">
        <v>85</v>
      </c>
      <c r="H17">
        <v>120</v>
      </c>
      <c r="I17">
        <v>70</v>
      </c>
      <c r="J17">
        <v>50</v>
      </c>
      <c r="K17">
        <v>60</v>
      </c>
      <c r="L17">
        <v>100</v>
      </c>
      <c r="M17" t="s">
        <v>326</v>
      </c>
      <c r="O17" t="s">
        <v>777</v>
      </c>
      <c r="P17">
        <f t="shared" ref="P17" si="20">(0.4*L17 + 0.5*MAX(H17,J17) + 0.1*MIN(H17,J17)) / 10</f>
        <v>10.5</v>
      </c>
      <c r="Q17">
        <f t="shared" ref="Q17" si="21">(0.4*G17 + 0.3*I17 + 0.3*K17) / 10</f>
        <v>7.3</v>
      </c>
      <c r="R17">
        <v>2</v>
      </c>
      <c r="S17">
        <v>2</v>
      </c>
      <c r="T17">
        <f t="shared" ref="T17" si="22">ROUND(P17,0)+R17</f>
        <v>13</v>
      </c>
      <c r="U17">
        <f t="shared" ref="U17" si="23">ROUND(Q17,0)+S17</f>
        <v>9</v>
      </c>
      <c r="V17">
        <f t="shared" ref="V17" si="24">SUM(ROUND(T17,0),ROUND(U17,0))</f>
        <v>22</v>
      </c>
      <c r="W17" t="str">
        <f t="shared" ref="W17" si="25">E17</f>
        <v>normal</v>
      </c>
      <c r="X17" t="str">
        <f>IF(F17 = 0, "", F17)</f>
        <v>flying</v>
      </c>
      <c r="Y17" t="s">
        <v>22</v>
      </c>
      <c r="Z17" t="s">
        <v>39</v>
      </c>
      <c r="AB17" t="str">
        <f t="shared" si="2"/>
        <v/>
      </c>
      <c r="AC17" t="s">
        <v>492</v>
      </c>
      <c r="AD17" t="str">
        <f>VLOOKUP(AC17,moves!A:B,2,FALSE)</f>
        <v>fighting</v>
      </c>
      <c r="AE17">
        <f>VLOOKUP(AC17,moves!A:D,4,FALSE)</f>
        <v>5</v>
      </c>
      <c r="AF17" t="str">
        <f>IF(VLOOKUP(AC17,moves!A:F,5,FALSE)=0, "", VLOOKUP(AC17,moves!A:F,5,FALSE))</f>
        <v/>
      </c>
      <c r="AG17" t="str">
        <f>VLOOKUP(AC17,moves!A:F,6,FALSE)</f>
        <v xml:space="preserve">During this attack and when the user is next attacked, [status_symbol]s deal +1 damage. </v>
      </c>
      <c r="AH17">
        <v>0</v>
      </c>
      <c r="AI17">
        <v>1</v>
      </c>
      <c r="AJ17" t="str" cm="1">
        <f t="array" ref="AJ17">_xlfn.IFS(AH17=1, "starter", AI17=1, "legendary",V17&lt; 13, "weak",V17&lt; 17, "moderate", TRUE, "strong")</f>
        <v>legendary</v>
      </c>
      <c r="AL17">
        <v>3</v>
      </c>
      <c r="AM17">
        <v>0</v>
      </c>
      <c r="AN17">
        <v>2</v>
      </c>
    </row>
    <row r="18" spans="1:40" x14ac:dyDescent="0.25">
      <c r="A18">
        <v>399</v>
      </c>
      <c r="B18" t="s">
        <v>155</v>
      </c>
      <c r="C18" t="str">
        <f t="shared" si="0"/>
        <v>Bidoof</v>
      </c>
      <c r="E18" t="s">
        <v>8</v>
      </c>
      <c r="G18">
        <v>59</v>
      </c>
      <c r="H18">
        <v>45</v>
      </c>
      <c r="I18">
        <v>40</v>
      </c>
      <c r="J18">
        <v>35</v>
      </c>
      <c r="K18">
        <v>40</v>
      </c>
      <c r="L18">
        <v>31</v>
      </c>
      <c r="M18" t="s">
        <v>327</v>
      </c>
      <c r="N18" t="s">
        <v>301</v>
      </c>
      <c r="O18" t="s">
        <v>300</v>
      </c>
      <c r="P18">
        <f t="shared" si="3"/>
        <v>3.84</v>
      </c>
      <c r="Q18">
        <f t="shared" si="4"/>
        <v>4.76</v>
      </c>
      <c r="R18">
        <v>0</v>
      </c>
      <c r="S18">
        <v>0</v>
      </c>
      <c r="T18">
        <f t="shared" si="5"/>
        <v>4</v>
      </c>
      <c r="U18">
        <f t="shared" si="6"/>
        <v>5</v>
      </c>
      <c r="V18">
        <f t="shared" si="7"/>
        <v>9</v>
      </c>
      <c r="W18" t="str">
        <f t="shared" si="1"/>
        <v>normal</v>
      </c>
      <c r="X18" t="s">
        <v>6</v>
      </c>
      <c r="Y18" t="s">
        <v>22</v>
      </c>
      <c r="Z18" t="s">
        <v>11</v>
      </c>
      <c r="AA18" t="str">
        <f>B19</f>
        <v>Bibarel</v>
      </c>
      <c r="AB18">
        <f t="shared" si="2"/>
        <v>5</v>
      </c>
      <c r="AC18" t="s">
        <v>510</v>
      </c>
      <c r="AD18" t="str">
        <f>VLOOKUP(AC18,moves!A:B,2,FALSE)</f>
        <v>normal</v>
      </c>
      <c r="AE18">
        <f>VLOOKUP(AC18,moves!A:D,4,FALSE)</f>
        <v>2</v>
      </c>
      <c r="AF18" t="str">
        <f>IF(VLOOKUP(AC18,moves!A:F,5,FALSE)=0, "", VLOOKUP(AC18,moves!A:F,5,FALSE))</f>
        <v/>
      </c>
      <c r="AG18" t="str">
        <f>VLOOKUP(AC18,moves!A:F,6,FALSE)</f>
        <v>When the target next attacks, remove 1 [regular_hit] from the roll.</v>
      </c>
      <c r="AH18">
        <v>0</v>
      </c>
      <c r="AI18">
        <v>0</v>
      </c>
      <c r="AJ18" t="str" cm="1">
        <f t="array" ref="AJ18">_xlfn.IFS(AH18=1, "starter", AI18=1, "legendary",V18&lt; 13, "weak",V18&lt; 17, "moderate", TRUE, "strong")</f>
        <v>weak</v>
      </c>
      <c r="AL18">
        <v>1</v>
      </c>
      <c r="AM18">
        <v>0</v>
      </c>
    </row>
    <row r="19" spans="1:40" x14ac:dyDescent="0.25">
      <c r="A19">
        <v>400</v>
      </c>
      <c r="B19" t="s">
        <v>156</v>
      </c>
      <c r="C19" t="str">
        <f t="shared" si="0"/>
        <v>Bibarel</v>
      </c>
      <c r="E19" t="s">
        <v>8</v>
      </c>
      <c r="F19" t="s">
        <v>6</v>
      </c>
      <c r="G19">
        <v>79</v>
      </c>
      <c r="H19">
        <v>85</v>
      </c>
      <c r="I19">
        <v>60</v>
      </c>
      <c r="J19">
        <v>55</v>
      </c>
      <c r="K19">
        <v>60</v>
      </c>
      <c r="L19">
        <v>71</v>
      </c>
      <c r="M19" t="s">
        <v>328</v>
      </c>
      <c r="N19" t="s">
        <v>301</v>
      </c>
      <c r="O19" t="s">
        <v>300</v>
      </c>
      <c r="P19">
        <f t="shared" si="3"/>
        <v>7.6400000000000006</v>
      </c>
      <c r="Q19">
        <f t="shared" si="4"/>
        <v>6.76</v>
      </c>
      <c r="R19">
        <v>0</v>
      </c>
      <c r="S19">
        <v>0</v>
      </c>
      <c r="T19">
        <f t="shared" si="5"/>
        <v>8</v>
      </c>
      <c r="U19">
        <f t="shared" si="6"/>
        <v>7</v>
      </c>
      <c r="V19">
        <f t="shared" si="7"/>
        <v>15</v>
      </c>
      <c r="W19" t="str">
        <f t="shared" si="1"/>
        <v>normal</v>
      </c>
      <c r="X19" t="str">
        <f>IF(F19 = 0, "", F19)</f>
        <v>water</v>
      </c>
      <c r="Y19" t="s">
        <v>22</v>
      </c>
      <c r="Z19" t="s">
        <v>11</v>
      </c>
      <c r="AB19" t="str">
        <f t="shared" si="2"/>
        <v/>
      </c>
      <c r="AC19" t="s">
        <v>576</v>
      </c>
      <c r="AD19" t="str">
        <f>VLOOKUP(AC19,moves!A:B,2,FALSE)</f>
        <v>water</v>
      </c>
      <c r="AE19">
        <f>VLOOKUP(AC19,moves!A:D,4,FALSE)</f>
        <v>4</v>
      </c>
      <c r="AF19" t="str">
        <f>IF(VLOOKUP(AC19,moves!A:F,5,FALSE)=0, "", VLOOKUP(AC19,moves!A:F,5,FALSE))</f>
        <v>dynamic</v>
      </c>
      <c r="AG19" t="str">
        <f>VLOOKUP(AC19,moves!A:F,6,FALSE)</f>
        <v>For each other Surf Move in your party: Attack Strength is increased by 1.</v>
      </c>
      <c r="AH19">
        <v>0</v>
      </c>
      <c r="AI19">
        <v>0</v>
      </c>
      <c r="AJ19" t="str" cm="1">
        <f t="array" ref="AJ19">_xlfn.IFS(AH19=1, "starter", AI19=1, "legendary",V19&lt; 13, "weak",V19&lt; 17, "moderate", TRUE, "strong")</f>
        <v>moderate</v>
      </c>
      <c r="AL19">
        <v>2</v>
      </c>
      <c r="AM19">
        <v>0</v>
      </c>
    </row>
    <row r="20" spans="1:40" x14ac:dyDescent="0.25">
      <c r="A20">
        <v>401</v>
      </c>
      <c r="B20" t="s">
        <v>157</v>
      </c>
      <c r="C20" t="str">
        <f t="shared" si="0"/>
        <v>Kricketot</v>
      </c>
      <c r="E20" t="s">
        <v>7</v>
      </c>
      <c r="G20">
        <v>37</v>
      </c>
      <c r="H20">
        <v>25</v>
      </c>
      <c r="I20">
        <v>41</v>
      </c>
      <c r="J20">
        <v>25</v>
      </c>
      <c r="K20">
        <v>41</v>
      </c>
      <c r="L20">
        <v>25</v>
      </c>
      <c r="M20" t="s">
        <v>329</v>
      </c>
      <c r="N20" t="s">
        <v>301</v>
      </c>
      <c r="O20" t="s">
        <v>302</v>
      </c>
      <c r="P20">
        <f t="shared" si="3"/>
        <v>2.5</v>
      </c>
      <c r="Q20">
        <f t="shared" si="4"/>
        <v>3.94</v>
      </c>
      <c r="R20">
        <v>0</v>
      </c>
      <c r="S20">
        <v>0</v>
      </c>
      <c r="T20">
        <f t="shared" si="5"/>
        <v>3</v>
      </c>
      <c r="U20">
        <f t="shared" si="6"/>
        <v>4</v>
      </c>
      <c r="V20">
        <f t="shared" si="7"/>
        <v>7</v>
      </c>
      <c r="W20" t="str">
        <f t="shared" si="1"/>
        <v>bug</v>
      </c>
      <c r="X20" t="s">
        <v>8</v>
      </c>
      <c r="Y20" t="s">
        <v>9</v>
      </c>
      <c r="Z20" t="s">
        <v>2</v>
      </c>
      <c r="AA20" t="str">
        <f>B21</f>
        <v>Kricketune</v>
      </c>
      <c r="AB20">
        <f t="shared" si="2"/>
        <v>4</v>
      </c>
      <c r="AC20" t="s">
        <v>831</v>
      </c>
      <c r="AD20" t="str">
        <f>VLOOKUP(AC20,moves!A:B,2,FALSE)</f>
        <v>bug</v>
      </c>
      <c r="AE20">
        <f>VLOOKUP(AC20,moves!A:D,4,FALSE)</f>
        <v>2</v>
      </c>
      <c r="AF20" t="str">
        <f>IF(VLOOKUP(AC20,moves!A:F,5,FALSE)=0, "", VLOOKUP(AC20,moves!A:F,5,FALSE))</f>
        <v/>
      </c>
      <c r="AG20" t="str">
        <f>VLOOKUP(AC20,moves!A:F,6,FALSE)</f>
        <v>If the user has 2 or less Health remaining, deal 2 extra damage.</v>
      </c>
      <c r="AH20">
        <v>0</v>
      </c>
      <c r="AI20">
        <v>0</v>
      </c>
      <c r="AJ20" t="str" cm="1">
        <f t="array" ref="AJ20">_xlfn.IFS(AH20=1, "starter", AI20=1, "legendary",V20&lt; 13, "weak",V20&lt; 17, "moderate", TRUE, "strong")</f>
        <v>weak</v>
      </c>
      <c r="AL20">
        <v>1</v>
      </c>
      <c r="AM20">
        <v>0</v>
      </c>
    </row>
    <row r="21" spans="1:40" x14ac:dyDescent="0.25">
      <c r="A21">
        <v>402</v>
      </c>
      <c r="B21" t="s">
        <v>158</v>
      </c>
      <c r="C21" t="str">
        <f t="shared" si="0"/>
        <v>Kricketune</v>
      </c>
      <c r="E21" t="s">
        <v>7</v>
      </c>
      <c r="G21">
        <v>77</v>
      </c>
      <c r="H21">
        <v>85</v>
      </c>
      <c r="I21">
        <v>51</v>
      </c>
      <c r="J21">
        <v>55</v>
      </c>
      <c r="K21">
        <v>51</v>
      </c>
      <c r="L21">
        <v>65</v>
      </c>
      <c r="M21" t="s">
        <v>329</v>
      </c>
      <c r="N21" t="s">
        <v>301</v>
      </c>
      <c r="O21" t="s">
        <v>302</v>
      </c>
      <c r="P21">
        <f t="shared" si="3"/>
        <v>7.4</v>
      </c>
      <c r="Q21">
        <f t="shared" si="4"/>
        <v>6.14</v>
      </c>
      <c r="R21">
        <v>0</v>
      </c>
      <c r="S21">
        <v>0</v>
      </c>
      <c r="T21">
        <f t="shared" si="5"/>
        <v>7</v>
      </c>
      <c r="U21">
        <f t="shared" si="6"/>
        <v>6</v>
      </c>
      <c r="V21">
        <f t="shared" si="7"/>
        <v>13</v>
      </c>
      <c r="W21" t="str">
        <f t="shared" si="1"/>
        <v>bug</v>
      </c>
      <c r="X21" t="s">
        <v>8</v>
      </c>
      <c r="Y21" t="s">
        <v>9</v>
      </c>
      <c r="Z21" t="s">
        <v>2</v>
      </c>
      <c r="AB21" t="str">
        <f t="shared" si="2"/>
        <v/>
      </c>
      <c r="AC21" t="s">
        <v>543</v>
      </c>
      <c r="AD21" t="str">
        <f>VLOOKUP(AC21,moves!A:B,2,FALSE)</f>
        <v>normal</v>
      </c>
      <c r="AE21">
        <f>VLOOKUP(AC21,moves!A:D,4,FALSE)</f>
        <v>1</v>
      </c>
      <c r="AF21" t="str">
        <f>IF(VLOOKUP(AC21,moves!A:F,5,FALSE)=0, "", VLOOKUP(AC21,moves!A:F,5,FALSE))</f>
        <v/>
      </c>
      <c r="AG21" t="str">
        <f>VLOOKUP(AC21,moves!A:F,6,FALSE)</f>
        <v>Increase the Battle Fatigue of the user and the target to 5.</v>
      </c>
      <c r="AH21">
        <v>0</v>
      </c>
      <c r="AI21">
        <v>0</v>
      </c>
      <c r="AJ21" t="str" cm="1">
        <f t="array" ref="AJ21">_xlfn.IFS(AH21=1, "starter", AI21=1, "legendary",V21&lt; 13, "weak",V21&lt; 17, "moderate", TRUE, "strong")</f>
        <v>moderate</v>
      </c>
      <c r="AL21">
        <v>2</v>
      </c>
      <c r="AM21">
        <v>0</v>
      </c>
    </row>
    <row r="22" spans="1:40" x14ac:dyDescent="0.25">
      <c r="A22">
        <v>403</v>
      </c>
      <c r="B22" t="s">
        <v>159</v>
      </c>
      <c r="C22" t="str">
        <f t="shared" si="0"/>
        <v>Shinx</v>
      </c>
      <c r="E22" t="s">
        <v>11</v>
      </c>
      <c r="G22">
        <v>45</v>
      </c>
      <c r="H22">
        <v>65</v>
      </c>
      <c r="I22">
        <v>34</v>
      </c>
      <c r="J22">
        <v>40</v>
      </c>
      <c r="K22">
        <v>34</v>
      </c>
      <c r="L22">
        <v>45</v>
      </c>
      <c r="M22" t="s">
        <v>330</v>
      </c>
      <c r="N22" t="s">
        <v>301</v>
      </c>
      <c r="O22" t="s">
        <v>302</v>
      </c>
      <c r="P22">
        <f t="shared" si="3"/>
        <v>5.45</v>
      </c>
      <c r="Q22">
        <f t="shared" si="4"/>
        <v>3.84</v>
      </c>
      <c r="R22">
        <v>1</v>
      </c>
      <c r="S22">
        <v>0</v>
      </c>
      <c r="T22">
        <f t="shared" si="5"/>
        <v>6</v>
      </c>
      <c r="U22">
        <f t="shared" si="6"/>
        <v>4</v>
      </c>
      <c r="V22">
        <f t="shared" si="7"/>
        <v>10</v>
      </c>
      <c r="W22" t="str">
        <f t="shared" si="1"/>
        <v>electric</v>
      </c>
      <c r="X22" t="s">
        <v>9</v>
      </c>
      <c r="Y22" t="s">
        <v>8</v>
      </c>
      <c r="Z22" t="s">
        <v>22</v>
      </c>
      <c r="AA22" t="str">
        <f>B23</f>
        <v>Luxio</v>
      </c>
      <c r="AB22">
        <f t="shared" si="2"/>
        <v>3</v>
      </c>
      <c r="AC22" t="s">
        <v>481</v>
      </c>
      <c r="AD22" t="str">
        <f>VLOOKUP(AC22,moves!A:B,2,FALSE)</f>
        <v>electric</v>
      </c>
      <c r="AE22">
        <f>VLOOKUP(AC22,moves!A:D,4,FALSE)</f>
        <v>3</v>
      </c>
      <c r="AF22" t="str">
        <f>IF(VLOOKUP(AC22,moves!A:F,5,FALSE)=0, "", VLOOKUP(AC22,moves!A:F,5,FALSE))</f>
        <v>switch</v>
      </c>
      <c r="AG22" t="str">
        <f>VLOOKUP(AC22,moves!A:F,6,FALSE)</f>
        <v>When the target next attacks, remove 1 [regular_hit] from the roll.</v>
      </c>
      <c r="AH22">
        <v>1</v>
      </c>
      <c r="AI22">
        <v>0</v>
      </c>
      <c r="AJ22" t="str" cm="1">
        <f t="array" ref="AJ22">_xlfn.IFS(AH22=1, "starter", AI22=1, "legendary",V22&lt; 13, "weak",V22&lt; 17, "moderate", TRUE, "strong")</f>
        <v>starter</v>
      </c>
      <c r="AL22">
        <v>1</v>
      </c>
      <c r="AM22">
        <v>0</v>
      </c>
    </row>
    <row r="23" spans="1:40" x14ac:dyDescent="0.25">
      <c r="A23">
        <v>404</v>
      </c>
      <c r="B23" t="s">
        <v>160</v>
      </c>
      <c r="C23" t="str">
        <f t="shared" si="0"/>
        <v>Luxio</v>
      </c>
      <c r="E23" t="s">
        <v>11</v>
      </c>
      <c r="G23">
        <v>60</v>
      </c>
      <c r="H23">
        <v>85</v>
      </c>
      <c r="I23">
        <v>49</v>
      </c>
      <c r="J23">
        <v>60</v>
      </c>
      <c r="K23">
        <v>49</v>
      </c>
      <c r="L23">
        <v>60</v>
      </c>
      <c r="M23" t="s">
        <v>331</v>
      </c>
      <c r="N23" t="s">
        <v>301</v>
      </c>
      <c r="O23" t="s">
        <v>302</v>
      </c>
      <c r="P23">
        <f t="shared" si="3"/>
        <v>7.25</v>
      </c>
      <c r="Q23">
        <f t="shared" si="4"/>
        <v>5.3400000000000007</v>
      </c>
      <c r="R23">
        <v>0</v>
      </c>
      <c r="S23">
        <v>1</v>
      </c>
      <c r="T23">
        <f t="shared" si="5"/>
        <v>7</v>
      </c>
      <c r="U23">
        <f t="shared" si="6"/>
        <v>6</v>
      </c>
      <c r="V23">
        <f t="shared" si="7"/>
        <v>13</v>
      </c>
      <c r="W23" t="str">
        <f t="shared" si="1"/>
        <v>electric</v>
      </c>
      <c r="X23" t="s">
        <v>9</v>
      </c>
      <c r="Y23" t="s">
        <v>8</v>
      </c>
      <c r="Z23" t="s">
        <v>22</v>
      </c>
      <c r="AA23" t="str">
        <f>B24</f>
        <v>Luxray</v>
      </c>
      <c r="AB23">
        <f t="shared" si="2"/>
        <v>7</v>
      </c>
      <c r="AC23" t="s">
        <v>526</v>
      </c>
      <c r="AD23" t="str">
        <f>VLOOKUP(AC23,moves!A:B,2,FALSE)</f>
        <v>dark</v>
      </c>
      <c r="AE23">
        <f>VLOOKUP(AC23,moves!A:D,4,FALSE)</f>
        <v>3</v>
      </c>
      <c r="AF23" t="str">
        <f>IF(VLOOKUP(AC23,moves!A:F,5,FALSE)=0, "", VLOOKUP(AC23,moves!A:F,5,FALSE))</f>
        <v/>
      </c>
      <c r="AG23" t="str">
        <f>VLOOKUP(AC23,moves!A:F,6,FALSE)</f>
        <v>When the target is next attacked, add 1 [regular_hit] to the roll.</v>
      </c>
      <c r="AH23">
        <v>0</v>
      </c>
      <c r="AI23">
        <v>0</v>
      </c>
      <c r="AJ23" t="str" cm="1">
        <f t="array" ref="AJ23">_xlfn.IFS(AH23=1, "starter", AI23=1, "legendary",V23&lt; 13, "weak",V23&lt; 17, "moderate", TRUE, "strong")</f>
        <v>moderate</v>
      </c>
      <c r="AL23">
        <v>2</v>
      </c>
      <c r="AM23">
        <v>0</v>
      </c>
    </row>
    <row r="24" spans="1:40" x14ac:dyDescent="0.25">
      <c r="A24">
        <v>405</v>
      </c>
      <c r="B24" t="s">
        <v>161</v>
      </c>
      <c r="C24" t="str">
        <f t="shared" si="0"/>
        <v>Luxray</v>
      </c>
      <c r="E24" t="s">
        <v>11</v>
      </c>
      <c r="G24">
        <v>80</v>
      </c>
      <c r="H24">
        <v>120</v>
      </c>
      <c r="I24">
        <v>79</v>
      </c>
      <c r="J24">
        <v>95</v>
      </c>
      <c r="K24">
        <v>79</v>
      </c>
      <c r="L24">
        <v>70</v>
      </c>
      <c r="M24" t="s">
        <v>332</v>
      </c>
      <c r="N24" t="s">
        <v>301</v>
      </c>
      <c r="O24" t="s">
        <v>302</v>
      </c>
      <c r="P24">
        <f t="shared" si="3"/>
        <v>9.75</v>
      </c>
      <c r="Q24">
        <f t="shared" si="4"/>
        <v>7.94</v>
      </c>
      <c r="R24">
        <v>0</v>
      </c>
      <c r="S24">
        <v>0</v>
      </c>
      <c r="T24">
        <f t="shared" si="5"/>
        <v>10</v>
      </c>
      <c r="U24">
        <f t="shared" si="6"/>
        <v>8</v>
      </c>
      <c r="V24">
        <f t="shared" si="7"/>
        <v>18</v>
      </c>
      <c r="W24" t="str">
        <f t="shared" si="1"/>
        <v>electric</v>
      </c>
      <c r="X24" t="s">
        <v>9</v>
      </c>
      <c r="Y24" t="s">
        <v>8</v>
      </c>
      <c r="Z24" t="s">
        <v>22</v>
      </c>
      <c r="AB24" t="str">
        <f t="shared" si="2"/>
        <v/>
      </c>
      <c r="AC24" t="s">
        <v>661</v>
      </c>
      <c r="AD24" t="str">
        <f>VLOOKUP(AC24,moves!A:B,2,FALSE)</f>
        <v>electric</v>
      </c>
      <c r="AE24">
        <f>VLOOKUP(AC24,moves!A:D,4,FALSE)</f>
        <v>4</v>
      </c>
      <c r="AF24" t="str">
        <f>IF(VLOOKUP(AC24,moves!A:F,5,FALSE)=0, "", VLOOKUP(AC24,moves!A:F,5,FALSE))</f>
        <v/>
      </c>
      <c r="AG24" t="str">
        <f>VLOOKUP(AC24,moves!A:F,6,FALSE)</f>
        <v>If the user knows another [electric]-Type Move, deal 2 extra damage.</v>
      </c>
      <c r="AH24">
        <v>0</v>
      </c>
      <c r="AI24">
        <v>0</v>
      </c>
      <c r="AJ24" t="str" cm="1">
        <f t="array" ref="AJ24">_xlfn.IFS(AH24=1, "starter", AI24=1, "legendary",V24&lt; 13, "weak",V24&lt; 17, "moderate", TRUE, "strong")</f>
        <v>strong</v>
      </c>
      <c r="AL24">
        <v>3</v>
      </c>
      <c r="AM24">
        <v>0</v>
      </c>
      <c r="AN24">
        <v>1</v>
      </c>
    </row>
    <row r="25" spans="1:40" x14ac:dyDescent="0.25">
      <c r="A25" t="s">
        <v>982</v>
      </c>
      <c r="B25" t="s">
        <v>161</v>
      </c>
      <c r="C25" t="str">
        <f t="shared" si="0"/>
        <v>Luxray</v>
      </c>
      <c r="D25" t="s">
        <v>1004</v>
      </c>
      <c r="E25" t="s">
        <v>11</v>
      </c>
      <c r="G25">
        <v>80</v>
      </c>
      <c r="H25">
        <v>120</v>
      </c>
      <c r="I25">
        <v>79</v>
      </c>
      <c r="J25">
        <v>95</v>
      </c>
      <c r="K25">
        <v>79</v>
      </c>
      <c r="L25">
        <v>70</v>
      </c>
      <c r="M25" t="s">
        <v>332</v>
      </c>
      <c r="O25" t="s">
        <v>777</v>
      </c>
      <c r="P25">
        <f t="shared" ref="P25" si="26">(0.4*L25 + 0.5*MAX(H25,J25) + 0.1*MIN(H25,J25)) / 10</f>
        <v>9.75</v>
      </c>
      <c r="Q25">
        <f t="shared" ref="Q25" si="27">(0.4*G25 + 0.3*I25 + 0.3*K25) / 10</f>
        <v>7.94</v>
      </c>
      <c r="R25">
        <v>2</v>
      </c>
      <c r="S25">
        <v>2</v>
      </c>
      <c r="T25">
        <f t="shared" ref="T25" si="28">ROUND(P25,0)+R25</f>
        <v>12</v>
      </c>
      <c r="U25">
        <f t="shared" ref="U25" si="29">ROUND(Q25,0)+S25</f>
        <v>10</v>
      </c>
      <c r="V25">
        <f t="shared" ref="V25" si="30">SUM(ROUND(T25,0),ROUND(U25,0))</f>
        <v>22</v>
      </c>
      <c r="W25" t="str">
        <f t="shared" ref="W25" si="31">E25</f>
        <v>electric</v>
      </c>
      <c r="X25" t="s">
        <v>9</v>
      </c>
      <c r="Y25" t="s">
        <v>8</v>
      </c>
      <c r="Z25" t="s">
        <v>22</v>
      </c>
      <c r="AB25" t="str">
        <f t="shared" si="2"/>
        <v/>
      </c>
      <c r="AC25" t="s">
        <v>661</v>
      </c>
      <c r="AD25" t="str">
        <f>VLOOKUP(AC25,moves!A:B,2,FALSE)</f>
        <v>electric</v>
      </c>
      <c r="AE25">
        <f>VLOOKUP(AC25,moves!A:D,4,FALSE)</f>
        <v>4</v>
      </c>
      <c r="AF25" t="str">
        <f>IF(VLOOKUP(AC25,moves!A:F,5,FALSE)=0, "", VLOOKUP(AC25,moves!A:F,5,FALSE))</f>
        <v/>
      </c>
      <c r="AG25" t="str">
        <f>VLOOKUP(AC25,moves!A:F,6,FALSE)</f>
        <v>If the user knows another [electric]-Type Move, deal 2 extra damage.</v>
      </c>
      <c r="AH25">
        <v>0</v>
      </c>
      <c r="AI25">
        <v>1</v>
      </c>
      <c r="AJ25" t="str" cm="1">
        <f t="array" ref="AJ25">_xlfn.IFS(AH25=1, "starter", AI25=1, "legendary",V25&lt; 13, "weak",V25&lt; 17, "moderate", TRUE, "strong")</f>
        <v>legendary</v>
      </c>
      <c r="AL25">
        <v>3</v>
      </c>
      <c r="AM25">
        <v>0</v>
      </c>
      <c r="AN25">
        <v>2</v>
      </c>
    </row>
    <row r="26" spans="1:40" x14ac:dyDescent="0.25">
      <c r="A26">
        <v>406</v>
      </c>
      <c r="B26" t="s">
        <v>162</v>
      </c>
      <c r="C26" t="str">
        <f t="shared" si="0"/>
        <v>Budew</v>
      </c>
      <c r="E26" t="s">
        <v>2</v>
      </c>
      <c r="F26" t="s">
        <v>3</v>
      </c>
      <c r="G26">
        <v>40</v>
      </c>
      <c r="H26">
        <v>30</v>
      </c>
      <c r="I26">
        <v>35</v>
      </c>
      <c r="J26">
        <v>50</v>
      </c>
      <c r="K26">
        <v>70</v>
      </c>
      <c r="L26">
        <v>55</v>
      </c>
      <c r="M26" t="s">
        <v>333</v>
      </c>
      <c r="N26" t="s">
        <v>301</v>
      </c>
      <c r="O26" t="s">
        <v>302</v>
      </c>
      <c r="P26">
        <f t="shared" si="3"/>
        <v>5</v>
      </c>
      <c r="Q26">
        <f t="shared" si="4"/>
        <v>4.75</v>
      </c>
      <c r="R26">
        <v>0</v>
      </c>
      <c r="S26">
        <v>0</v>
      </c>
      <c r="T26">
        <f t="shared" si="5"/>
        <v>5</v>
      </c>
      <c r="U26">
        <f t="shared" si="6"/>
        <v>5</v>
      </c>
      <c r="V26">
        <f t="shared" si="7"/>
        <v>10</v>
      </c>
      <c r="W26" t="str">
        <f t="shared" si="1"/>
        <v>grass</v>
      </c>
      <c r="X26" t="str">
        <f>IF(F26 = 0, "", F26)</f>
        <v>poison</v>
      </c>
      <c r="Y26" t="s">
        <v>8</v>
      </c>
      <c r="Z26" t="s">
        <v>16</v>
      </c>
      <c r="AA26" t="str">
        <f>B27</f>
        <v>Roselia</v>
      </c>
      <c r="AB26">
        <f t="shared" si="2"/>
        <v>4</v>
      </c>
      <c r="AC26" t="s">
        <v>519</v>
      </c>
      <c r="AD26" t="str">
        <f>VLOOKUP(AC26,moves!A:B,2,FALSE)</f>
        <v>grass</v>
      </c>
      <c r="AE26">
        <f>VLOOKUP(AC26,moves!A:D,4,FALSE)</f>
        <v>1</v>
      </c>
      <c r="AF26" t="str">
        <f>IF(VLOOKUP(AC26,moves!A:F,5,FALSE)=0, "", VLOOKUP(AC26,moves!A:F,5,FALSE))</f>
        <v>agile</v>
      </c>
      <c r="AG26" t="str">
        <f>VLOOKUP(AC26,moves!A:F,6,FALSE)</f>
        <v>Inflict the [drowsy] status on the target.</v>
      </c>
      <c r="AH26">
        <v>1</v>
      </c>
      <c r="AI26">
        <v>0</v>
      </c>
      <c r="AJ26" t="str" cm="1">
        <f t="array" ref="AJ26">_xlfn.IFS(AH26=1, "starter", AI26=1, "legendary",V26&lt; 13, "weak",V26&lt; 17, "moderate", TRUE, "strong")</f>
        <v>starter</v>
      </c>
      <c r="AL26">
        <v>1</v>
      </c>
      <c r="AM26">
        <v>0</v>
      </c>
    </row>
    <row r="27" spans="1:40" x14ac:dyDescent="0.25">
      <c r="A27">
        <v>315</v>
      </c>
      <c r="B27" t="s">
        <v>123</v>
      </c>
      <c r="C27" t="str">
        <f t="shared" si="0"/>
        <v>Roselia</v>
      </c>
      <c r="E27" t="s">
        <v>2</v>
      </c>
      <c r="F27" t="s">
        <v>3</v>
      </c>
      <c r="G27">
        <v>50</v>
      </c>
      <c r="H27">
        <v>60</v>
      </c>
      <c r="I27">
        <v>45</v>
      </c>
      <c r="J27">
        <v>100</v>
      </c>
      <c r="K27">
        <v>80</v>
      </c>
      <c r="L27">
        <v>65</v>
      </c>
      <c r="M27" t="s">
        <v>334</v>
      </c>
      <c r="N27" t="s">
        <v>301</v>
      </c>
      <c r="O27" t="s">
        <v>302</v>
      </c>
      <c r="P27">
        <f t="shared" si="3"/>
        <v>8.1999999999999993</v>
      </c>
      <c r="Q27">
        <f t="shared" si="4"/>
        <v>5.75</v>
      </c>
      <c r="R27">
        <v>0</v>
      </c>
      <c r="S27">
        <v>0</v>
      </c>
      <c r="T27">
        <f t="shared" si="5"/>
        <v>8</v>
      </c>
      <c r="U27">
        <f t="shared" si="6"/>
        <v>6</v>
      </c>
      <c r="V27">
        <f t="shared" si="7"/>
        <v>14</v>
      </c>
      <c r="W27" t="str">
        <f t="shared" si="1"/>
        <v>grass</v>
      </c>
      <c r="X27" t="str">
        <f>IF(F27 = 0, "", F27)</f>
        <v>poison</v>
      </c>
      <c r="Y27" t="s">
        <v>8</v>
      </c>
      <c r="Z27" t="s">
        <v>16</v>
      </c>
      <c r="AA27" t="str">
        <f>B28</f>
        <v>Roserade</v>
      </c>
      <c r="AB27">
        <f t="shared" si="2"/>
        <v>8</v>
      </c>
      <c r="AC27" t="s">
        <v>741</v>
      </c>
      <c r="AD27" t="str">
        <f>VLOOKUP(AC27,moves!A:B,2,FALSE)</f>
        <v>poison</v>
      </c>
      <c r="AE27">
        <f>VLOOKUP(AC27,moves!A:D,4,FALSE)</f>
        <v>3</v>
      </c>
      <c r="AF27" t="str">
        <f>IF(VLOOKUP(AC27,moves!A:F,5,FALSE)=0, "", VLOOKUP(AC27,moves!A:F,5,FALSE))</f>
        <v/>
      </c>
      <c r="AG27" t="str">
        <f>VLOOKUP(AC27,moves!A:F,6,FALSE)</f>
        <v>For each status effect on the target: Deal 1 extra damage.</v>
      </c>
      <c r="AH27">
        <v>0</v>
      </c>
      <c r="AI27">
        <v>0</v>
      </c>
      <c r="AJ27" t="str" cm="1">
        <f t="array" ref="AJ27">_xlfn.IFS(AH27=1, "starter", AI27=1, "legendary",V27&lt; 13, "weak",V27&lt; 17, "moderate", TRUE, "strong")</f>
        <v>moderate</v>
      </c>
      <c r="AL27">
        <v>2</v>
      </c>
      <c r="AM27">
        <v>0</v>
      </c>
    </row>
    <row r="28" spans="1:40" x14ac:dyDescent="0.25">
      <c r="A28">
        <v>407</v>
      </c>
      <c r="B28" t="s">
        <v>163</v>
      </c>
      <c r="C28" t="str">
        <f t="shared" si="0"/>
        <v>Roserade</v>
      </c>
      <c r="E28" t="s">
        <v>2</v>
      </c>
      <c r="F28" t="s">
        <v>3</v>
      </c>
      <c r="G28">
        <v>60</v>
      </c>
      <c r="H28">
        <v>70</v>
      </c>
      <c r="I28">
        <v>65</v>
      </c>
      <c r="J28">
        <v>125</v>
      </c>
      <c r="K28">
        <v>105</v>
      </c>
      <c r="L28">
        <v>90</v>
      </c>
      <c r="M28" t="s">
        <v>335</v>
      </c>
      <c r="N28" t="s">
        <v>301</v>
      </c>
      <c r="O28" t="s">
        <v>302</v>
      </c>
      <c r="P28">
        <f t="shared" si="3"/>
        <v>10.55</v>
      </c>
      <c r="Q28">
        <f t="shared" si="4"/>
        <v>7.5</v>
      </c>
      <c r="R28">
        <v>0</v>
      </c>
      <c r="S28">
        <v>0</v>
      </c>
      <c r="T28">
        <f t="shared" si="5"/>
        <v>11</v>
      </c>
      <c r="U28">
        <f t="shared" si="6"/>
        <v>8</v>
      </c>
      <c r="V28">
        <f t="shared" si="7"/>
        <v>19</v>
      </c>
      <c r="W28" t="str">
        <f t="shared" si="1"/>
        <v>grass</v>
      </c>
      <c r="X28" t="str">
        <f>IF(F28 = 0, "", F28)</f>
        <v>poison</v>
      </c>
      <c r="Y28" t="s">
        <v>8</v>
      </c>
      <c r="Z28" t="s">
        <v>16</v>
      </c>
      <c r="AB28" t="str">
        <f t="shared" si="2"/>
        <v/>
      </c>
      <c r="AC28" t="s">
        <v>1082</v>
      </c>
      <c r="AD28" t="str">
        <f>VLOOKUP(AC28,moves!A:B,2,FALSE)</f>
        <v>grass</v>
      </c>
      <c r="AE28">
        <f>VLOOKUP(AC28,moves!A:D,4,FALSE)</f>
        <v>5</v>
      </c>
      <c r="AF28" t="str">
        <f>IF(VLOOKUP(AC28,moves!A:F,5,FALSE)=0, "", VLOOKUP(AC28,moves!A:F,5,FALSE))</f>
        <v/>
      </c>
      <c r="AG28" t="str">
        <f>VLOOKUP(AC28,moves!A:F,6,FALSE)</f>
        <v>Inflict the [confused] status on the user. Deal any damage taken by the user during this attack to the target as well.</v>
      </c>
      <c r="AH28">
        <v>0</v>
      </c>
      <c r="AI28">
        <v>0</v>
      </c>
      <c r="AJ28" t="str" cm="1">
        <f t="array" ref="AJ28">_xlfn.IFS(AH28=1, "starter", AI28=1, "legendary",V28&lt; 13, "weak",V28&lt; 17, "moderate", TRUE, "strong")</f>
        <v>strong</v>
      </c>
      <c r="AL28">
        <v>3</v>
      </c>
      <c r="AM28">
        <v>0</v>
      </c>
      <c r="AN28">
        <v>1</v>
      </c>
    </row>
    <row r="29" spans="1:40" x14ac:dyDescent="0.25">
      <c r="A29" t="s">
        <v>1005</v>
      </c>
      <c r="B29" t="s">
        <v>163</v>
      </c>
      <c r="C29" t="str">
        <f t="shared" si="0"/>
        <v>Roserade</v>
      </c>
      <c r="D29" t="s">
        <v>1004</v>
      </c>
      <c r="E29" t="s">
        <v>2</v>
      </c>
      <c r="F29" t="s">
        <v>3</v>
      </c>
      <c r="G29">
        <v>60</v>
      </c>
      <c r="H29">
        <v>70</v>
      </c>
      <c r="I29">
        <v>65</v>
      </c>
      <c r="J29">
        <v>125</v>
      </c>
      <c r="K29">
        <v>105</v>
      </c>
      <c r="L29">
        <v>90</v>
      </c>
      <c r="M29" t="s">
        <v>335</v>
      </c>
      <c r="O29" t="s">
        <v>777</v>
      </c>
      <c r="P29">
        <f t="shared" ref="P29" si="32">(0.4*L29 + 0.5*MAX(H29,J29) + 0.1*MIN(H29,J29)) / 10</f>
        <v>10.55</v>
      </c>
      <c r="Q29">
        <f t="shared" ref="Q29" si="33">(0.4*G29 + 0.3*I29 + 0.3*K29) / 10</f>
        <v>7.5</v>
      </c>
      <c r="R29">
        <v>2</v>
      </c>
      <c r="S29">
        <v>2</v>
      </c>
      <c r="T29">
        <f t="shared" ref="T29" si="34">ROUND(P29,0)+R29</f>
        <v>13</v>
      </c>
      <c r="U29">
        <f t="shared" ref="U29" si="35">ROUND(Q29,0)+S29</f>
        <v>10</v>
      </c>
      <c r="V29">
        <f t="shared" ref="V29" si="36">SUM(ROUND(T29,0),ROUND(U29,0))</f>
        <v>23</v>
      </c>
      <c r="W29" t="str">
        <f t="shared" ref="W29" si="37">E29</f>
        <v>grass</v>
      </c>
      <c r="X29" t="str">
        <f>IF(F29 = 0, "", F29)</f>
        <v>poison</v>
      </c>
      <c r="Y29" t="s">
        <v>8</v>
      </c>
      <c r="Z29" t="s">
        <v>16</v>
      </c>
      <c r="AB29" t="str">
        <f t="shared" ref="AB29:AB75" si="38">IF(ISBLANK(AA29), "", ROUND(( (V30-6)*(V30-7) - (V29-6)*(V29-7) )/15, 0) + 1)</f>
        <v/>
      </c>
      <c r="AC29" t="s">
        <v>1082</v>
      </c>
      <c r="AD29" t="str">
        <f>VLOOKUP(AC29,moves!A:B,2,FALSE)</f>
        <v>grass</v>
      </c>
      <c r="AE29">
        <f>VLOOKUP(AC29,moves!A:D,4,FALSE)</f>
        <v>5</v>
      </c>
      <c r="AF29" t="str">
        <f>IF(VLOOKUP(AC29,moves!A:F,5,FALSE)=0, "", VLOOKUP(AC29,moves!A:F,5,FALSE))</f>
        <v/>
      </c>
      <c r="AG29" t="str">
        <f>VLOOKUP(AC29,moves!A:F,6,FALSE)</f>
        <v>Inflict the [confused] status on the user. Deal any damage taken by the user during this attack to the target as well.</v>
      </c>
      <c r="AH29">
        <v>0</v>
      </c>
      <c r="AI29">
        <v>1</v>
      </c>
      <c r="AJ29" t="str" cm="1">
        <f t="array" ref="AJ29">_xlfn.IFS(AH29=1, "starter", AI29=1, "legendary",V29&lt; 13, "weak",V29&lt; 17, "moderate", TRUE, "strong")</f>
        <v>legendary</v>
      </c>
      <c r="AL29">
        <v>3</v>
      </c>
      <c r="AM29">
        <v>0</v>
      </c>
      <c r="AN29">
        <v>2</v>
      </c>
    </row>
    <row r="30" spans="1:40" x14ac:dyDescent="0.25">
      <c r="A30">
        <v>408</v>
      </c>
      <c r="B30" t="s">
        <v>164</v>
      </c>
      <c r="C30" t="str">
        <f t="shared" si="0"/>
        <v>Cranidos</v>
      </c>
      <c r="E30" t="s">
        <v>33</v>
      </c>
      <c r="G30">
        <v>67</v>
      </c>
      <c r="H30">
        <v>125</v>
      </c>
      <c r="I30">
        <v>40</v>
      </c>
      <c r="J30">
        <v>30</v>
      </c>
      <c r="K30">
        <v>30</v>
      </c>
      <c r="L30">
        <v>58</v>
      </c>
      <c r="M30" t="s">
        <v>336</v>
      </c>
      <c r="N30" t="s">
        <v>301</v>
      </c>
      <c r="O30" t="s">
        <v>300</v>
      </c>
      <c r="P30">
        <f t="shared" si="3"/>
        <v>8.870000000000001</v>
      </c>
      <c r="Q30">
        <f t="shared" si="4"/>
        <v>4.7799999999999994</v>
      </c>
      <c r="R30">
        <v>0</v>
      </c>
      <c r="S30">
        <v>0</v>
      </c>
      <c r="T30">
        <f t="shared" si="5"/>
        <v>9</v>
      </c>
      <c r="U30">
        <f t="shared" si="6"/>
        <v>5</v>
      </c>
      <c r="V30">
        <f t="shared" si="7"/>
        <v>14</v>
      </c>
      <c r="W30" t="str">
        <f t="shared" si="1"/>
        <v>rock</v>
      </c>
      <c r="X30" t="s">
        <v>8</v>
      </c>
      <c r="Y30" t="s">
        <v>9</v>
      </c>
      <c r="Z30" t="s">
        <v>13</v>
      </c>
      <c r="AA30" t="str">
        <f>B31</f>
        <v>Rampardos</v>
      </c>
      <c r="AB30">
        <f t="shared" si="38"/>
        <v>6</v>
      </c>
      <c r="AC30" t="s">
        <v>582</v>
      </c>
      <c r="AD30" t="str">
        <f>VLOOKUP(AC30,moves!A:B,2,FALSE)</f>
        <v>normal</v>
      </c>
      <c r="AE30">
        <f>VLOOKUP(AC30,moves!A:D,4,FALSE)</f>
        <v>3</v>
      </c>
      <c r="AF30" t="str">
        <f>IF(VLOOKUP(AC30,moves!A:F,5,FALSE)=0, "", VLOOKUP(AC30,moves!A:F,5,FALSE))</f>
        <v/>
      </c>
      <c r="AG30" t="str">
        <f>VLOOKUP(AC30,moves!A:F,6,FALSE)</f>
        <v>Inflict the [paralysed] status on the target but the user takes 1 damage.</v>
      </c>
      <c r="AH30">
        <v>0</v>
      </c>
      <c r="AI30">
        <v>0</v>
      </c>
      <c r="AJ30" t="str" cm="1">
        <f t="array" ref="AJ30">_xlfn.IFS(AH30=1, "starter", AI30=1, "legendary",V30&lt; 13, "weak",V30&lt; 17, "moderate", TRUE, "strong")</f>
        <v>moderate</v>
      </c>
      <c r="AL30">
        <v>1</v>
      </c>
      <c r="AM30">
        <v>0</v>
      </c>
    </row>
    <row r="31" spans="1:40" x14ac:dyDescent="0.25">
      <c r="A31">
        <v>409</v>
      </c>
      <c r="B31" t="s">
        <v>165</v>
      </c>
      <c r="C31" t="str">
        <f t="shared" si="0"/>
        <v>Rampardos</v>
      </c>
      <c r="E31" t="s">
        <v>33</v>
      </c>
      <c r="G31">
        <v>97</v>
      </c>
      <c r="H31">
        <v>165</v>
      </c>
      <c r="I31">
        <v>60</v>
      </c>
      <c r="J31">
        <v>65</v>
      </c>
      <c r="K31">
        <v>50</v>
      </c>
      <c r="L31">
        <v>58</v>
      </c>
      <c r="M31" t="s">
        <v>336</v>
      </c>
      <c r="N31" t="s">
        <v>301</v>
      </c>
      <c r="O31" t="s">
        <v>300</v>
      </c>
      <c r="P31">
        <f t="shared" si="3"/>
        <v>11.22</v>
      </c>
      <c r="Q31">
        <f t="shared" si="4"/>
        <v>7.1800000000000015</v>
      </c>
      <c r="R31">
        <v>0</v>
      </c>
      <c r="S31">
        <v>0</v>
      </c>
      <c r="T31">
        <f t="shared" si="5"/>
        <v>11</v>
      </c>
      <c r="U31">
        <f t="shared" si="6"/>
        <v>7</v>
      </c>
      <c r="V31">
        <f t="shared" si="7"/>
        <v>18</v>
      </c>
      <c r="W31" t="str">
        <f t="shared" si="1"/>
        <v>rock</v>
      </c>
      <c r="X31" t="s">
        <v>8</v>
      </c>
      <c r="Y31" t="s">
        <v>9</v>
      </c>
      <c r="Z31" t="s">
        <v>13</v>
      </c>
      <c r="AB31" t="str">
        <f t="shared" si="38"/>
        <v/>
      </c>
      <c r="AC31" t="s">
        <v>512</v>
      </c>
      <c r="AD31" t="str">
        <f>VLOOKUP(AC31,moves!A:B,2,FALSE)</f>
        <v>rock</v>
      </c>
      <c r="AE31">
        <f>VLOOKUP(AC31,moves!A:D,4,FALSE)</f>
        <v>8</v>
      </c>
      <c r="AF31" t="str">
        <f>IF(VLOOKUP(AC31,moves!A:F,5,FALSE)=0, "", VLOOKUP(AC31,moves!A:F,5,FALSE))</f>
        <v>surge</v>
      </c>
      <c r="AG31" t="str">
        <f>VLOOKUP(AC31,moves!A:F,6,FALSE)</f>
        <v>The user takes 4 damage.</v>
      </c>
      <c r="AH31">
        <v>0</v>
      </c>
      <c r="AI31">
        <v>0</v>
      </c>
      <c r="AJ31" t="str" cm="1">
        <f t="array" ref="AJ31">_xlfn.IFS(AH31=1, "starter", AI31=1, "legendary",V31&lt; 13, "weak",V31&lt; 17, "moderate", TRUE, "strong")</f>
        <v>strong</v>
      </c>
      <c r="AL31">
        <v>2</v>
      </c>
      <c r="AM31">
        <v>0</v>
      </c>
    </row>
    <row r="32" spans="1:40" x14ac:dyDescent="0.25">
      <c r="A32">
        <v>410</v>
      </c>
      <c r="B32" t="s">
        <v>166</v>
      </c>
      <c r="C32" t="str">
        <f t="shared" si="0"/>
        <v>Shieldon</v>
      </c>
      <c r="E32" t="s">
        <v>33</v>
      </c>
      <c r="F32" t="s">
        <v>39</v>
      </c>
      <c r="G32">
        <v>30</v>
      </c>
      <c r="H32">
        <v>42</v>
      </c>
      <c r="I32">
        <v>118</v>
      </c>
      <c r="J32">
        <v>42</v>
      </c>
      <c r="K32">
        <v>88</v>
      </c>
      <c r="L32">
        <v>30</v>
      </c>
      <c r="M32" t="s">
        <v>337</v>
      </c>
      <c r="N32" t="s">
        <v>301</v>
      </c>
      <c r="O32" t="s">
        <v>300</v>
      </c>
      <c r="P32">
        <f t="shared" si="3"/>
        <v>3.72</v>
      </c>
      <c r="Q32">
        <f t="shared" si="4"/>
        <v>7.38</v>
      </c>
      <c r="R32">
        <v>0</v>
      </c>
      <c r="S32">
        <v>0</v>
      </c>
      <c r="T32">
        <f t="shared" si="5"/>
        <v>4</v>
      </c>
      <c r="U32">
        <f t="shared" si="6"/>
        <v>7</v>
      </c>
      <c r="V32">
        <f t="shared" si="7"/>
        <v>11</v>
      </c>
      <c r="W32" t="str">
        <f t="shared" si="1"/>
        <v>rock</v>
      </c>
      <c r="X32" t="s">
        <v>39</v>
      </c>
      <c r="Y32" t="s">
        <v>8</v>
      </c>
      <c r="Z32" t="s">
        <v>14</v>
      </c>
      <c r="AA32" t="str">
        <f>B33</f>
        <v>Bastiodon</v>
      </c>
      <c r="AB32">
        <f t="shared" si="38"/>
        <v>6</v>
      </c>
      <c r="AC32" t="s">
        <v>533</v>
      </c>
      <c r="AD32" t="str">
        <f>VLOOKUP(AC32,moves!A:B,2,FALSE)</f>
        <v>rock</v>
      </c>
      <c r="AE32">
        <f>VLOOKUP(AC32,moves!A:D,4,FALSE)</f>
        <v>2</v>
      </c>
      <c r="AF32" t="str">
        <f>IF(VLOOKUP(AC32,moves!A:F,5,FALSE)=0, "", VLOOKUP(AC32,moves!A:F,5,FALSE))</f>
        <v>boost</v>
      </c>
      <c r="AG32" t="str">
        <f>VLOOKUP(AC32,moves!A:F,6,FALSE)</f>
        <v>Add 1 [critical_hit] and 1 [status_symbol] to your future attack rolls.</v>
      </c>
      <c r="AH32">
        <v>0</v>
      </c>
      <c r="AI32">
        <v>0</v>
      </c>
      <c r="AJ32" t="str" cm="1">
        <f t="array" ref="AJ32">_xlfn.IFS(AH32=1, "starter", AI32=1, "legendary",V32&lt; 13, "weak",V32&lt; 17, "moderate", TRUE, "strong")</f>
        <v>weak</v>
      </c>
      <c r="AL32">
        <v>1</v>
      </c>
      <c r="AM32">
        <v>0</v>
      </c>
    </row>
    <row r="33" spans="1:40" x14ac:dyDescent="0.25">
      <c r="A33">
        <v>411</v>
      </c>
      <c r="B33" t="s">
        <v>167</v>
      </c>
      <c r="C33" t="str">
        <f t="shared" si="0"/>
        <v>Bastiodon</v>
      </c>
      <c r="E33" t="s">
        <v>33</v>
      </c>
      <c r="F33" t="s">
        <v>39</v>
      </c>
      <c r="G33">
        <v>60</v>
      </c>
      <c r="H33">
        <v>52</v>
      </c>
      <c r="I33">
        <v>168</v>
      </c>
      <c r="J33">
        <v>47</v>
      </c>
      <c r="K33">
        <v>138</v>
      </c>
      <c r="L33">
        <v>30</v>
      </c>
      <c r="M33" t="s">
        <v>337</v>
      </c>
      <c r="N33" t="s">
        <v>301</v>
      </c>
      <c r="O33" t="s">
        <v>300</v>
      </c>
      <c r="P33">
        <f t="shared" si="3"/>
        <v>4.2700000000000005</v>
      </c>
      <c r="Q33">
        <f t="shared" si="4"/>
        <v>11.580000000000002</v>
      </c>
      <c r="R33">
        <v>0</v>
      </c>
      <c r="S33">
        <v>0</v>
      </c>
      <c r="T33">
        <f t="shared" si="5"/>
        <v>4</v>
      </c>
      <c r="U33">
        <f t="shared" si="6"/>
        <v>12</v>
      </c>
      <c r="V33">
        <f t="shared" si="7"/>
        <v>16</v>
      </c>
      <c r="W33" t="str">
        <f t="shared" si="1"/>
        <v>rock</v>
      </c>
      <c r="X33" t="s">
        <v>39</v>
      </c>
      <c r="Y33" t="s">
        <v>8</v>
      </c>
      <c r="Z33" t="s">
        <v>14</v>
      </c>
      <c r="AB33" t="str">
        <f t="shared" si="38"/>
        <v/>
      </c>
      <c r="AC33" t="s">
        <v>561</v>
      </c>
      <c r="AD33" t="str">
        <f>VLOOKUP(AC33,moves!A:B,2,FALSE)</f>
        <v>steel</v>
      </c>
      <c r="AE33" t="str">
        <f>VLOOKUP(AC33,moves!A:D,4,FALSE)</f>
        <v/>
      </c>
      <c r="AF33" t="str">
        <f>IF(VLOOKUP(AC33,moves!A:F,5,FALSE)=0, "", VLOOKUP(AC33,moves!A:F,5,FALSE))</f>
        <v>dynamic</v>
      </c>
      <c r="AG33" t="str">
        <f>VLOOKUP(AC33,moves!A:F,6,FALSE)</f>
        <v>Attack Strength is equal to half the base Health of the user, rounded down.</v>
      </c>
      <c r="AH33">
        <v>0</v>
      </c>
      <c r="AI33">
        <v>0</v>
      </c>
      <c r="AJ33" t="str" cm="1">
        <f t="array" ref="AJ33">_xlfn.IFS(AH33=1, "starter", AI33=1, "legendary",V33&lt; 13, "weak",V33&lt; 17, "moderate", TRUE, "strong")</f>
        <v>moderate</v>
      </c>
      <c r="AL33">
        <v>2</v>
      </c>
      <c r="AM33">
        <v>0</v>
      </c>
    </row>
    <row r="34" spans="1:40" x14ac:dyDescent="0.25">
      <c r="A34" t="s">
        <v>1054</v>
      </c>
      <c r="B34" t="s">
        <v>168</v>
      </c>
      <c r="C34" t="str">
        <f t="shared" si="0"/>
        <v>Burmy</v>
      </c>
      <c r="E34" t="s">
        <v>7</v>
      </c>
      <c r="G34">
        <v>40</v>
      </c>
      <c r="H34">
        <v>29</v>
      </c>
      <c r="I34">
        <v>45</v>
      </c>
      <c r="J34">
        <v>29</v>
      </c>
      <c r="K34">
        <v>45</v>
      </c>
      <c r="L34">
        <v>36</v>
      </c>
      <c r="M34" t="s">
        <v>338</v>
      </c>
      <c r="N34" t="s">
        <v>298</v>
      </c>
      <c r="O34" t="s">
        <v>300</v>
      </c>
      <c r="P34">
        <f t="shared" si="3"/>
        <v>3.1799999999999997</v>
      </c>
      <c r="Q34">
        <f t="shared" si="4"/>
        <v>4.3</v>
      </c>
      <c r="R34">
        <v>0</v>
      </c>
      <c r="S34">
        <v>0</v>
      </c>
      <c r="T34">
        <f t="shared" si="5"/>
        <v>3</v>
      </c>
      <c r="U34">
        <f t="shared" si="6"/>
        <v>4</v>
      </c>
      <c r="V34">
        <f t="shared" si="7"/>
        <v>7</v>
      </c>
      <c r="W34" t="str">
        <f t="shared" si="1"/>
        <v>bug</v>
      </c>
      <c r="X34" t="s">
        <v>2</v>
      </c>
      <c r="Y34" t="s">
        <v>13</v>
      </c>
      <c r="Z34" t="s">
        <v>39</v>
      </c>
      <c r="AA34" t="s">
        <v>461</v>
      </c>
      <c r="AB34">
        <f t="shared" si="38"/>
        <v>5</v>
      </c>
      <c r="AC34" t="s">
        <v>513</v>
      </c>
      <c r="AD34" t="str">
        <f>VLOOKUP(AC34,moves!A:B,2,FALSE)</f>
        <v>bug</v>
      </c>
      <c r="AE34">
        <f>VLOOKUP(AC34,moves!A:D,4,FALSE)</f>
        <v>3</v>
      </c>
      <c r="AF34" t="str">
        <f>IF(VLOOKUP(AC34,moves!A:F,5,FALSE)=0, "", VLOOKUP(AC34,moves!A:F,5,FALSE))</f>
        <v/>
      </c>
      <c r="AG34" t="str">
        <f>VLOOKUP(AC34,moves!A:F,6,FALSE)</f>
        <v>If the target has a held item, deal 2 extra damage.</v>
      </c>
      <c r="AH34">
        <v>0</v>
      </c>
      <c r="AI34">
        <v>0</v>
      </c>
      <c r="AJ34" t="str" cm="1">
        <f t="array" ref="AJ34">_xlfn.IFS(AH34=1, "starter", AI34=1, "legendary",V34&lt; 13, "weak",V34&lt; 17, "moderate", TRUE, "strong")</f>
        <v>weak</v>
      </c>
      <c r="AL34">
        <v>1</v>
      </c>
      <c r="AM34">
        <v>0</v>
      </c>
    </row>
    <row r="35" spans="1:40" x14ac:dyDescent="0.25">
      <c r="A35">
        <v>413</v>
      </c>
      <c r="B35" t="s">
        <v>169</v>
      </c>
      <c r="C35" t="str">
        <f t="shared" si="0"/>
        <v>Wormadam</v>
      </c>
      <c r="D35" t="s">
        <v>1003</v>
      </c>
      <c r="E35" t="s">
        <v>7</v>
      </c>
      <c r="F35" t="s">
        <v>2</v>
      </c>
      <c r="G35">
        <v>60</v>
      </c>
      <c r="H35">
        <v>69</v>
      </c>
      <c r="I35">
        <v>95</v>
      </c>
      <c r="J35">
        <v>69</v>
      </c>
      <c r="K35">
        <v>95</v>
      </c>
      <c r="L35">
        <v>36</v>
      </c>
      <c r="M35" t="s">
        <v>338</v>
      </c>
      <c r="N35" t="s">
        <v>298</v>
      </c>
      <c r="O35" t="s">
        <v>300</v>
      </c>
      <c r="P35">
        <f t="shared" si="3"/>
        <v>5.58</v>
      </c>
      <c r="Q35">
        <f t="shared" si="4"/>
        <v>8.1</v>
      </c>
      <c r="R35">
        <v>0</v>
      </c>
      <c r="S35">
        <v>0</v>
      </c>
      <c r="T35">
        <f t="shared" si="5"/>
        <v>6</v>
      </c>
      <c r="U35">
        <f t="shared" si="6"/>
        <v>8</v>
      </c>
      <c r="V35">
        <f t="shared" si="7"/>
        <v>14</v>
      </c>
      <c r="W35" t="str">
        <f t="shared" si="1"/>
        <v>bug</v>
      </c>
      <c r="X35" t="s">
        <v>2</v>
      </c>
      <c r="Y35" t="s">
        <v>13</v>
      </c>
      <c r="Z35" t="s">
        <v>39</v>
      </c>
      <c r="AB35" t="str">
        <f t="shared" si="38"/>
        <v/>
      </c>
      <c r="AC35" t="s">
        <v>974</v>
      </c>
      <c r="AD35" t="str">
        <f>VLOOKUP(AC35,moves!A:B,2,FALSE)</f>
        <v>bug</v>
      </c>
      <c r="AE35">
        <f>VLOOKUP(AC35,moves!A:D,4,FALSE)</f>
        <v>4</v>
      </c>
      <c r="AF35" t="str">
        <f>IF(VLOOKUP(AC35,moves!A:F,5,FALSE)=0, "", VLOOKUP(AC35,moves!A:F,5,FALSE))</f>
        <v>transform</v>
      </c>
      <c r="AG35" t="str">
        <f>VLOOKUP(AC35,moves!A:F,6,FALSE)</f>
        <v>When the user is next attacked, remove 1 [regular_hit] from the roll.</v>
      </c>
      <c r="AH35">
        <v>0</v>
      </c>
      <c r="AI35">
        <v>0</v>
      </c>
      <c r="AJ35" t="str" cm="1">
        <f t="array" ref="AJ35">_xlfn.IFS(AH35=1, "starter", AI35=1, "legendary",V35&lt; 13, "weak",V35&lt; 17, "moderate", TRUE, "strong")</f>
        <v>moderate</v>
      </c>
      <c r="AL35">
        <v>2</v>
      </c>
      <c r="AM35">
        <v>0</v>
      </c>
      <c r="AN35">
        <v>1</v>
      </c>
    </row>
    <row r="36" spans="1:40" x14ac:dyDescent="0.25">
      <c r="A36" t="s">
        <v>972</v>
      </c>
      <c r="B36" t="s">
        <v>169</v>
      </c>
      <c r="C36" t="s">
        <v>970</v>
      </c>
      <c r="D36" t="s">
        <v>1000</v>
      </c>
      <c r="E36" t="s">
        <v>7</v>
      </c>
      <c r="F36" t="s">
        <v>13</v>
      </c>
      <c r="G36">
        <v>60</v>
      </c>
      <c r="H36">
        <v>69</v>
      </c>
      <c r="I36">
        <v>95</v>
      </c>
      <c r="J36">
        <v>69</v>
      </c>
      <c r="K36">
        <v>95</v>
      </c>
      <c r="L36">
        <v>36</v>
      </c>
      <c r="M36" t="s">
        <v>338</v>
      </c>
      <c r="N36" t="s">
        <v>298</v>
      </c>
      <c r="O36" t="s">
        <v>300</v>
      </c>
      <c r="P36">
        <f t="shared" ref="P36" si="39">(0.4*L36 + 0.5*MAX(H36,J36) + 0.1*MIN(H36,J36)) / 10</f>
        <v>5.58</v>
      </c>
      <c r="Q36">
        <f t="shared" ref="Q36" si="40">(0.4*G36 + 0.3*I36 + 0.3*K36) / 10</f>
        <v>8.1</v>
      </c>
      <c r="R36">
        <v>0</v>
      </c>
      <c r="S36">
        <v>0</v>
      </c>
      <c r="T36">
        <f t="shared" ref="T36" si="41">ROUND(P36,0)+R36</f>
        <v>6</v>
      </c>
      <c r="U36">
        <f t="shared" ref="U36" si="42">ROUND(Q36,0)+S36</f>
        <v>8</v>
      </c>
      <c r="V36">
        <f t="shared" ref="V36" si="43">SUM(ROUND(T36,0),ROUND(U36,0))</f>
        <v>14</v>
      </c>
      <c r="W36" t="str">
        <f t="shared" ref="W36" si="44">E36</f>
        <v>bug</v>
      </c>
      <c r="X36" t="s">
        <v>2</v>
      </c>
      <c r="Y36" t="s">
        <v>13</v>
      </c>
      <c r="Z36" t="s">
        <v>39</v>
      </c>
      <c r="AB36" t="str">
        <f t="shared" si="38"/>
        <v/>
      </c>
      <c r="AC36" t="s">
        <v>974</v>
      </c>
      <c r="AD36" t="str">
        <f>VLOOKUP(AC36,moves!A:B,2,FALSE)</f>
        <v>bug</v>
      </c>
      <c r="AE36">
        <f>VLOOKUP(AC36,moves!A:D,4,FALSE)</f>
        <v>4</v>
      </c>
      <c r="AF36" t="str">
        <f>IF(VLOOKUP(AC36,moves!A:F,5,FALSE)=0, "", VLOOKUP(AC36,moves!A:F,5,FALSE))</f>
        <v>transform</v>
      </c>
      <c r="AG36" t="str">
        <f>VLOOKUP(AC36,moves!A:F,6,FALSE)</f>
        <v>When the user is next attacked, remove 1 [regular_hit] from the roll.</v>
      </c>
      <c r="AH36">
        <v>0</v>
      </c>
      <c r="AI36">
        <v>0</v>
      </c>
      <c r="AJ36" t="str" cm="1">
        <f t="array" ref="AJ36">_xlfn.IFS(AH36=1, "starter", AI36=1, "legendary",V36&lt; 13, "weak",V36&lt; 17, "moderate", TRUE, "strong")</f>
        <v>moderate</v>
      </c>
      <c r="AL36">
        <v>2</v>
      </c>
      <c r="AM36">
        <v>0</v>
      </c>
      <c r="AN36">
        <v>2</v>
      </c>
    </row>
    <row r="37" spans="1:40" x14ac:dyDescent="0.25">
      <c r="A37" t="s">
        <v>973</v>
      </c>
      <c r="B37" t="s">
        <v>169</v>
      </c>
      <c r="C37" t="s">
        <v>971</v>
      </c>
      <c r="D37" t="s">
        <v>1001</v>
      </c>
      <c r="E37" t="s">
        <v>7</v>
      </c>
      <c r="F37" t="s">
        <v>39</v>
      </c>
      <c r="G37">
        <v>60</v>
      </c>
      <c r="H37">
        <v>69</v>
      </c>
      <c r="I37">
        <v>95</v>
      </c>
      <c r="J37">
        <v>69</v>
      </c>
      <c r="K37">
        <v>95</v>
      </c>
      <c r="L37">
        <v>36</v>
      </c>
      <c r="M37" t="s">
        <v>338</v>
      </c>
      <c r="N37" t="s">
        <v>298</v>
      </c>
      <c r="O37" t="s">
        <v>300</v>
      </c>
      <c r="P37">
        <f t="shared" ref="P37" si="45">(0.4*L37 + 0.5*MAX(H37,J37) + 0.1*MIN(H37,J37)) / 10</f>
        <v>5.58</v>
      </c>
      <c r="Q37">
        <f t="shared" ref="Q37" si="46">(0.4*G37 + 0.3*I37 + 0.3*K37) / 10</f>
        <v>8.1</v>
      </c>
      <c r="R37">
        <v>0</v>
      </c>
      <c r="S37">
        <v>0</v>
      </c>
      <c r="T37">
        <f t="shared" ref="T37" si="47">ROUND(P37,0)+R37</f>
        <v>6</v>
      </c>
      <c r="U37">
        <f t="shared" ref="U37" si="48">ROUND(Q37,0)+S37</f>
        <v>8</v>
      </c>
      <c r="V37">
        <f t="shared" ref="V37" si="49">SUM(ROUND(T37,0),ROUND(U37,0))</f>
        <v>14</v>
      </c>
      <c r="W37" t="str">
        <f t="shared" ref="W37" si="50">E37</f>
        <v>bug</v>
      </c>
      <c r="X37" t="s">
        <v>2</v>
      </c>
      <c r="Y37" t="s">
        <v>13</v>
      </c>
      <c r="Z37" t="s">
        <v>39</v>
      </c>
      <c r="AB37" t="str">
        <f t="shared" si="38"/>
        <v/>
      </c>
      <c r="AC37" t="s">
        <v>974</v>
      </c>
      <c r="AD37" t="str">
        <f>VLOOKUP(AC37,moves!A:B,2,FALSE)</f>
        <v>bug</v>
      </c>
      <c r="AE37">
        <f>VLOOKUP(AC37,moves!A:D,4,FALSE)</f>
        <v>4</v>
      </c>
      <c r="AF37" t="str">
        <f>IF(VLOOKUP(AC37,moves!A:F,5,FALSE)=0, "", VLOOKUP(AC37,moves!A:F,5,FALSE))</f>
        <v>transform</v>
      </c>
      <c r="AG37" t="str">
        <f>VLOOKUP(AC37,moves!A:F,6,FALSE)</f>
        <v>When the user is next attacked, remove 1 [regular_hit] from the roll.</v>
      </c>
      <c r="AH37">
        <v>0</v>
      </c>
      <c r="AI37">
        <v>0</v>
      </c>
      <c r="AJ37" t="str" cm="1">
        <f t="array" ref="AJ37">_xlfn.IFS(AH37=1, "starter", AI37=1, "legendary",V37&lt; 13, "weak",V37&lt; 17, "moderate", TRUE, "strong")</f>
        <v>moderate</v>
      </c>
      <c r="AL37">
        <v>2</v>
      </c>
      <c r="AM37">
        <v>0</v>
      </c>
      <c r="AN37">
        <v>3</v>
      </c>
    </row>
    <row r="38" spans="1:40" x14ac:dyDescent="0.25">
      <c r="A38">
        <v>414</v>
      </c>
      <c r="B38" t="s">
        <v>170</v>
      </c>
      <c r="C38" t="str">
        <f t="shared" ref="C38:C45" si="51">B38</f>
        <v>Mothim</v>
      </c>
      <c r="E38" t="s">
        <v>7</v>
      </c>
      <c r="F38" t="s">
        <v>5</v>
      </c>
      <c r="G38">
        <v>70</v>
      </c>
      <c r="H38">
        <v>94</v>
      </c>
      <c r="I38">
        <v>50</v>
      </c>
      <c r="J38">
        <v>94</v>
      </c>
      <c r="K38">
        <v>50</v>
      </c>
      <c r="L38">
        <v>66</v>
      </c>
      <c r="M38" t="s">
        <v>339</v>
      </c>
      <c r="N38" t="s">
        <v>298</v>
      </c>
      <c r="O38" t="s">
        <v>300</v>
      </c>
      <c r="P38">
        <f t="shared" si="3"/>
        <v>8.2800000000000011</v>
      </c>
      <c r="Q38">
        <f t="shared" si="4"/>
        <v>5.8</v>
      </c>
      <c r="R38">
        <v>0</v>
      </c>
      <c r="S38">
        <v>0</v>
      </c>
      <c r="T38">
        <f t="shared" si="5"/>
        <v>8</v>
      </c>
      <c r="U38">
        <f t="shared" si="6"/>
        <v>6</v>
      </c>
      <c r="V38">
        <f t="shared" si="7"/>
        <v>14</v>
      </c>
      <c r="W38" t="str">
        <f t="shared" si="1"/>
        <v>bug</v>
      </c>
      <c r="X38" t="str">
        <f>IF(F38 = 0, "", F38)</f>
        <v>flying</v>
      </c>
      <c r="Y38" t="s">
        <v>26</v>
      </c>
      <c r="Z38" t="s">
        <v>42</v>
      </c>
      <c r="AB38" t="str">
        <f t="shared" si="38"/>
        <v/>
      </c>
      <c r="AC38" t="s">
        <v>1080</v>
      </c>
      <c r="AD38" t="str">
        <f>VLOOKUP(AC38,moves!A:B,2,FALSE)</f>
        <v>bug</v>
      </c>
      <c r="AE38">
        <f>VLOOKUP(AC38,moves!A:D,4,FALSE)</f>
        <v>3</v>
      </c>
      <c r="AF38" t="str">
        <f>IF(VLOOKUP(AC38,moves!A:F,5,FALSE)=0, "", VLOOKUP(AC38,moves!A:F,5,FALSE))</f>
        <v>switch</v>
      </c>
      <c r="AG38" t="str">
        <f>VLOOKUP(AC38,moves!A:F,6,FALSE)</f>
        <v>This Move can be used from your party, the user is switched in immediately.</v>
      </c>
      <c r="AH38">
        <v>0</v>
      </c>
      <c r="AI38">
        <v>0</v>
      </c>
      <c r="AJ38" t="str" cm="1">
        <f t="array" ref="AJ38">_xlfn.IFS(AH38=1, "starter", AI38=1, "legendary",V38&lt; 13, "weak",V38&lt; 17, "moderate", TRUE, "strong")</f>
        <v>moderate</v>
      </c>
      <c r="AL38">
        <v>2</v>
      </c>
      <c r="AM38">
        <v>0</v>
      </c>
    </row>
    <row r="39" spans="1:40" x14ac:dyDescent="0.25">
      <c r="A39">
        <v>415</v>
      </c>
      <c r="B39" t="s">
        <v>171</v>
      </c>
      <c r="C39" t="str">
        <f t="shared" si="51"/>
        <v>Combee</v>
      </c>
      <c r="E39" t="s">
        <v>7</v>
      </c>
      <c r="F39" t="s">
        <v>5</v>
      </c>
      <c r="G39">
        <v>30</v>
      </c>
      <c r="H39">
        <v>30</v>
      </c>
      <c r="I39">
        <v>42</v>
      </c>
      <c r="J39">
        <v>30</v>
      </c>
      <c r="K39">
        <v>42</v>
      </c>
      <c r="L39">
        <v>70</v>
      </c>
      <c r="M39" t="s">
        <v>340</v>
      </c>
      <c r="N39" t="s">
        <v>298</v>
      </c>
      <c r="O39" t="s">
        <v>300</v>
      </c>
      <c r="P39">
        <f t="shared" si="3"/>
        <v>4.5999999999999996</v>
      </c>
      <c r="Q39">
        <f t="shared" si="4"/>
        <v>3.72</v>
      </c>
      <c r="R39">
        <v>0</v>
      </c>
      <c r="S39">
        <v>0</v>
      </c>
      <c r="T39">
        <f t="shared" si="5"/>
        <v>5</v>
      </c>
      <c r="U39">
        <f t="shared" si="6"/>
        <v>4</v>
      </c>
      <c r="V39">
        <f t="shared" si="7"/>
        <v>9</v>
      </c>
      <c r="W39" t="str">
        <f t="shared" si="1"/>
        <v>bug</v>
      </c>
      <c r="X39" t="str">
        <f>IF(F39 = 0, "", F39)</f>
        <v>flying</v>
      </c>
      <c r="Y39" t="s">
        <v>3</v>
      </c>
      <c r="Z39" t="s">
        <v>8</v>
      </c>
      <c r="AA39" t="str">
        <f>B40</f>
        <v>Vespiquen</v>
      </c>
      <c r="AB39">
        <f t="shared" si="38"/>
        <v>5</v>
      </c>
      <c r="AC39" t="s">
        <v>832</v>
      </c>
      <c r="AD39" t="str">
        <f>VLOOKUP(AC39,moves!A:B,2,FALSE)</f>
        <v>normal</v>
      </c>
      <c r="AE39">
        <f>VLOOKUP(AC39,moves!A:D,4,FALSE)</f>
        <v>2</v>
      </c>
      <c r="AF39" t="str">
        <f>IF(VLOOKUP(AC39,moves!A:F,5,FALSE)=0, "", VLOOKUP(AC39,moves!A:F,5,FALSE))</f>
        <v/>
      </c>
      <c r="AG39" t="str">
        <f>VLOOKUP(AC39,moves!A:F,6,FALSE)</f>
        <v>On the next attack or capture roll against the target, [status_symbol]s deal +1 damage.</v>
      </c>
      <c r="AH39">
        <v>0</v>
      </c>
      <c r="AI39">
        <v>0</v>
      </c>
      <c r="AJ39" t="str" cm="1">
        <f t="array" ref="AJ39">_xlfn.IFS(AH39=1, "starter", AI39=1, "legendary",V39&lt; 13, "weak",V39&lt; 17, "moderate", TRUE, "strong")</f>
        <v>weak</v>
      </c>
      <c r="AL39">
        <v>1</v>
      </c>
      <c r="AM39">
        <v>0</v>
      </c>
    </row>
    <row r="40" spans="1:40" x14ac:dyDescent="0.25">
      <c r="A40">
        <v>416</v>
      </c>
      <c r="B40" t="s">
        <v>172</v>
      </c>
      <c r="C40" t="str">
        <f t="shared" si="51"/>
        <v>Vespiquen</v>
      </c>
      <c r="E40" t="s">
        <v>7</v>
      </c>
      <c r="F40" t="s">
        <v>5</v>
      </c>
      <c r="G40">
        <v>70</v>
      </c>
      <c r="H40">
        <v>80</v>
      </c>
      <c r="I40">
        <v>102</v>
      </c>
      <c r="J40">
        <v>80</v>
      </c>
      <c r="K40">
        <v>102</v>
      </c>
      <c r="L40">
        <v>40</v>
      </c>
      <c r="M40" t="s">
        <v>341</v>
      </c>
      <c r="N40" t="s">
        <v>298</v>
      </c>
      <c r="O40" t="s">
        <v>300</v>
      </c>
      <c r="P40">
        <f t="shared" si="3"/>
        <v>6.4</v>
      </c>
      <c r="Q40">
        <f t="shared" si="4"/>
        <v>8.9199999999999982</v>
      </c>
      <c r="R40">
        <v>0</v>
      </c>
      <c r="S40">
        <v>0</v>
      </c>
      <c r="T40">
        <f t="shared" si="5"/>
        <v>6</v>
      </c>
      <c r="U40">
        <f t="shared" si="6"/>
        <v>9</v>
      </c>
      <c r="V40">
        <f t="shared" si="7"/>
        <v>15</v>
      </c>
      <c r="W40" t="str">
        <f t="shared" si="1"/>
        <v>bug</v>
      </c>
      <c r="X40" t="str">
        <f>IF(F40 = 0, "", F40)</f>
        <v>flying</v>
      </c>
      <c r="Y40" t="s">
        <v>3</v>
      </c>
      <c r="Z40" t="s">
        <v>33</v>
      </c>
      <c r="AB40" t="str">
        <f t="shared" si="38"/>
        <v/>
      </c>
      <c r="AC40" t="s">
        <v>515</v>
      </c>
      <c r="AD40" t="str">
        <f>VLOOKUP(AC40,moves!A:B,2,FALSE)</f>
        <v>bug</v>
      </c>
      <c r="AE40">
        <f>VLOOKUP(AC40,moves!A:D,4,FALSE)</f>
        <v>4</v>
      </c>
      <c r="AF40" t="str">
        <f>IF(VLOOKUP(AC40,moves!A:F,5,FALSE)=0, "", VLOOKUP(AC40,moves!A:F,5,FALSE))</f>
        <v>dynamic</v>
      </c>
      <c r="AG40" t="str">
        <f>VLOOKUP(AC40,moves!A:F,6,FALSE)</f>
        <v>For each other [bug]-Type Pokémon in your party: Attack Strength is increased by 1.</v>
      </c>
      <c r="AH40">
        <v>0</v>
      </c>
      <c r="AI40">
        <v>0</v>
      </c>
      <c r="AJ40" t="str" cm="1">
        <f t="array" ref="AJ40">_xlfn.IFS(AH40=1, "starter", AI40=1, "legendary",V40&lt; 13, "weak",V40&lt; 17, "moderate", TRUE, "strong")</f>
        <v>moderate</v>
      </c>
      <c r="AL40">
        <v>2</v>
      </c>
      <c r="AM40">
        <v>0</v>
      </c>
    </row>
    <row r="41" spans="1:40" x14ac:dyDescent="0.25">
      <c r="A41">
        <v>417</v>
      </c>
      <c r="B41" t="s">
        <v>173</v>
      </c>
      <c r="C41" t="str">
        <f t="shared" si="51"/>
        <v>Pachirisu</v>
      </c>
      <c r="E41" t="s">
        <v>11</v>
      </c>
      <c r="G41">
        <v>60</v>
      </c>
      <c r="H41">
        <v>45</v>
      </c>
      <c r="I41">
        <v>70</v>
      </c>
      <c r="J41">
        <v>45</v>
      </c>
      <c r="K41">
        <v>90</v>
      </c>
      <c r="L41">
        <v>95</v>
      </c>
      <c r="M41" t="s">
        <v>342</v>
      </c>
      <c r="N41" t="s">
        <v>298</v>
      </c>
      <c r="O41" t="s">
        <v>300</v>
      </c>
      <c r="P41">
        <f t="shared" si="3"/>
        <v>6.5</v>
      </c>
      <c r="Q41">
        <f t="shared" si="4"/>
        <v>7.2</v>
      </c>
      <c r="R41">
        <v>0</v>
      </c>
      <c r="S41">
        <v>0</v>
      </c>
      <c r="T41">
        <f t="shared" si="5"/>
        <v>7</v>
      </c>
      <c r="U41">
        <f t="shared" si="6"/>
        <v>7</v>
      </c>
      <c r="V41">
        <f t="shared" si="7"/>
        <v>14</v>
      </c>
      <c r="W41" t="str">
        <f t="shared" si="1"/>
        <v>electric</v>
      </c>
      <c r="X41" t="s">
        <v>8</v>
      </c>
      <c r="Y41" t="s">
        <v>7</v>
      </c>
      <c r="Z41" t="s">
        <v>16</v>
      </c>
      <c r="AB41" t="str">
        <f t="shared" si="38"/>
        <v/>
      </c>
      <c r="AC41" t="s">
        <v>629</v>
      </c>
      <c r="AD41" t="str">
        <f>VLOOKUP(AC41,moves!A:B,2,FALSE)</f>
        <v>electric</v>
      </c>
      <c r="AE41">
        <f>VLOOKUP(AC41,moves!A:D,4,FALSE)</f>
        <v>1</v>
      </c>
      <c r="AF41" t="str">
        <f>IF(VLOOKUP(AC41,moves!A:F,5,FALSE)=0, "", VLOOKUP(AC41,moves!A:F,5,FALSE))</f>
        <v>agile</v>
      </c>
      <c r="AG41" t="str">
        <f>VLOOKUP(AC41,moves!A:F,6,FALSE)</f>
        <v>Inflict the [paralysed] status on the target.</v>
      </c>
      <c r="AH41">
        <v>0</v>
      </c>
      <c r="AI41">
        <v>0</v>
      </c>
      <c r="AJ41" t="str" cm="1">
        <f t="array" ref="AJ41">_xlfn.IFS(AH41=1, "starter", AI41=1, "legendary",V41&lt; 13, "weak",V41&lt; 17, "moderate", TRUE, "strong")</f>
        <v>moderate</v>
      </c>
      <c r="AL41">
        <v>1</v>
      </c>
      <c r="AM41">
        <v>0</v>
      </c>
    </row>
    <row r="42" spans="1:40" x14ac:dyDescent="0.25">
      <c r="A42">
        <v>418</v>
      </c>
      <c r="B42" t="s">
        <v>174</v>
      </c>
      <c r="C42" t="str">
        <f t="shared" si="51"/>
        <v>Buizel</v>
      </c>
      <c r="E42" t="s">
        <v>6</v>
      </c>
      <c r="G42">
        <v>55</v>
      </c>
      <c r="H42">
        <v>65</v>
      </c>
      <c r="I42">
        <v>35</v>
      </c>
      <c r="J42">
        <v>60</v>
      </c>
      <c r="K42">
        <v>30</v>
      </c>
      <c r="L42">
        <v>85</v>
      </c>
      <c r="M42" t="s">
        <v>343</v>
      </c>
      <c r="N42" t="s">
        <v>303</v>
      </c>
      <c r="O42" t="s">
        <v>302</v>
      </c>
      <c r="P42">
        <f t="shared" si="3"/>
        <v>7.25</v>
      </c>
      <c r="Q42">
        <f t="shared" si="4"/>
        <v>4.1500000000000004</v>
      </c>
      <c r="R42">
        <v>0</v>
      </c>
      <c r="S42">
        <v>0</v>
      </c>
      <c r="T42">
        <f t="shared" si="5"/>
        <v>7</v>
      </c>
      <c r="U42">
        <f t="shared" si="6"/>
        <v>4</v>
      </c>
      <c r="V42">
        <f t="shared" si="7"/>
        <v>11</v>
      </c>
      <c r="W42" t="str">
        <f t="shared" si="1"/>
        <v>water</v>
      </c>
      <c r="X42" t="s">
        <v>8</v>
      </c>
      <c r="Y42" t="s">
        <v>9</v>
      </c>
      <c r="Z42" t="s">
        <v>14</v>
      </c>
      <c r="AA42" t="str">
        <f>B43</f>
        <v>Floatzel</v>
      </c>
      <c r="AB42">
        <f t="shared" si="38"/>
        <v>8</v>
      </c>
      <c r="AC42" t="s">
        <v>630</v>
      </c>
      <c r="AD42" t="str">
        <f>VLOOKUP(AC42,moves!A:B,2,FALSE)</f>
        <v>water</v>
      </c>
      <c r="AE42">
        <f>VLOOKUP(AC42,moves!A:D,4,FALSE)</f>
        <v>3</v>
      </c>
      <c r="AF42" t="str">
        <f>IF(VLOOKUP(AC42,moves!A:F,5,FALSE)=0, "", VLOOKUP(AC42,moves!A:F,5,FALSE))</f>
        <v>switch</v>
      </c>
      <c r="AG42" t="str">
        <f>VLOOKUP(AC42,moves!A:F,6,FALSE)</f>
        <v>When the target next attacks, remove 1 [regular_hit] from the roll.</v>
      </c>
      <c r="AH42">
        <v>0</v>
      </c>
      <c r="AI42">
        <v>0</v>
      </c>
      <c r="AJ42" t="str" cm="1">
        <f t="array" ref="AJ42">_xlfn.IFS(AH42=1, "starter", AI42=1, "legendary",V42&lt; 13, "weak",V42&lt; 17, "moderate", TRUE, "strong")</f>
        <v>weak</v>
      </c>
      <c r="AL42">
        <v>1</v>
      </c>
      <c r="AM42">
        <v>0</v>
      </c>
    </row>
    <row r="43" spans="1:40" x14ac:dyDescent="0.25">
      <c r="A43">
        <v>419</v>
      </c>
      <c r="B43" t="s">
        <v>175</v>
      </c>
      <c r="C43" t="str">
        <f t="shared" si="51"/>
        <v>Floatzel</v>
      </c>
      <c r="E43" t="s">
        <v>6</v>
      </c>
      <c r="G43">
        <v>85</v>
      </c>
      <c r="H43">
        <v>105</v>
      </c>
      <c r="I43">
        <v>55</v>
      </c>
      <c r="J43">
        <v>85</v>
      </c>
      <c r="K43">
        <v>50</v>
      </c>
      <c r="L43">
        <v>115</v>
      </c>
      <c r="M43" t="s">
        <v>343</v>
      </c>
      <c r="N43" t="s">
        <v>303</v>
      </c>
      <c r="O43" t="s">
        <v>302</v>
      </c>
      <c r="P43">
        <f t="shared" si="3"/>
        <v>10.7</v>
      </c>
      <c r="Q43">
        <f t="shared" si="4"/>
        <v>6.55</v>
      </c>
      <c r="R43">
        <v>0</v>
      </c>
      <c r="S43">
        <v>0</v>
      </c>
      <c r="T43">
        <f t="shared" si="5"/>
        <v>11</v>
      </c>
      <c r="U43">
        <f t="shared" si="6"/>
        <v>7</v>
      </c>
      <c r="V43">
        <f t="shared" si="7"/>
        <v>18</v>
      </c>
      <c r="W43" t="str">
        <f t="shared" si="1"/>
        <v>water</v>
      </c>
      <c r="X43" t="s">
        <v>8</v>
      </c>
      <c r="Y43" t="s">
        <v>9</v>
      </c>
      <c r="Z43" t="s">
        <v>14</v>
      </c>
      <c r="AB43" t="str">
        <f t="shared" si="38"/>
        <v/>
      </c>
      <c r="AC43" t="s">
        <v>635</v>
      </c>
      <c r="AD43" t="str">
        <f>VLOOKUP(AC43,moves!A:B,2,FALSE)</f>
        <v>water</v>
      </c>
      <c r="AE43">
        <f>VLOOKUP(AC43,moves!A:D,4,FALSE)</f>
        <v>2</v>
      </c>
      <c r="AF43" t="str">
        <f>IF(VLOOKUP(AC43,moves!A:F,5,FALSE)=0, "", VLOOKUP(AC43,moves!A:F,5,FALSE))</f>
        <v>agile</v>
      </c>
      <c r="AG43" t="str">
        <f>VLOOKUP(AC43,moves!A:F,6,FALSE)</f>
        <v>[status_symbol]s deal -1 damage.</v>
      </c>
      <c r="AH43">
        <v>0</v>
      </c>
      <c r="AI43">
        <v>0</v>
      </c>
      <c r="AJ43" t="str" cm="1">
        <f t="array" ref="AJ43">_xlfn.IFS(AH43=1, "starter", AI43=1, "legendary",V43&lt; 13, "weak",V43&lt; 17, "moderate", TRUE, "strong")</f>
        <v>strong</v>
      </c>
      <c r="AL43">
        <v>2</v>
      </c>
      <c r="AM43">
        <v>0</v>
      </c>
    </row>
    <row r="44" spans="1:40" x14ac:dyDescent="0.25">
      <c r="A44">
        <v>420</v>
      </c>
      <c r="B44" t="s">
        <v>176</v>
      </c>
      <c r="C44" t="str">
        <f t="shared" si="51"/>
        <v>Cherubi</v>
      </c>
      <c r="E44" t="s">
        <v>2</v>
      </c>
      <c r="G44">
        <v>45</v>
      </c>
      <c r="H44">
        <v>35</v>
      </c>
      <c r="I44">
        <v>45</v>
      </c>
      <c r="J44">
        <v>62</v>
      </c>
      <c r="K44">
        <v>53</v>
      </c>
      <c r="L44">
        <v>35</v>
      </c>
      <c r="M44" t="s">
        <v>344</v>
      </c>
      <c r="N44" t="s">
        <v>298</v>
      </c>
      <c r="O44" t="s">
        <v>302</v>
      </c>
      <c r="P44">
        <f t="shared" si="3"/>
        <v>4.8499999999999996</v>
      </c>
      <c r="Q44">
        <f t="shared" si="4"/>
        <v>4.74</v>
      </c>
      <c r="R44">
        <v>0</v>
      </c>
      <c r="S44">
        <v>0</v>
      </c>
      <c r="T44">
        <f t="shared" si="5"/>
        <v>5</v>
      </c>
      <c r="U44">
        <f t="shared" si="6"/>
        <v>5</v>
      </c>
      <c r="V44">
        <f t="shared" si="7"/>
        <v>10</v>
      </c>
      <c r="W44" t="str">
        <f t="shared" si="1"/>
        <v>grass</v>
      </c>
      <c r="X44" t="s">
        <v>8</v>
      </c>
      <c r="Y44" t="s">
        <v>16</v>
      </c>
      <c r="Z44" t="s">
        <v>26</v>
      </c>
      <c r="AA44" t="str">
        <f>B46</f>
        <v>Cherrim</v>
      </c>
      <c r="AB44">
        <f t="shared" si="38"/>
        <v>5</v>
      </c>
      <c r="AC44" t="s">
        <v>834</v>
      </c>
      <c r="AD44" t="str">
        <f>VLOOKUP(AC44,moves!A:B,2,FALSE)</f>
        <v>fairy</v>
      </c>
      <c r="AE44">
        <f>VLOOKUP(AC44,moves!A:D,4,FALSE)</f>
        <v>2</v>
      </c>
      <c r="AF44" t="str">
        <f>IF(VLOOKUP(AC44,moves!A:F,5,FALSE)=0, "", VLOOKUP(AC44,moves!A:F,5,FALSE))</f>
        <v/>
      </c>
      <c r="AG44" t="str">
        <f>VLOOKUP(AC44,moves!A:F,6,FALSE)</f>
        <v>When the user is next attacked, remove 1 [critical_hit] from the roll.</v>
      </c>
      <c r="AH44">
        <v>0</v>
      </c>
      <c r="AI44">
        <v>0</v>
      </c>
      <c r="AJ44" t="str" cm="1">
        <f t="array" ref="AJ44">_xlfn.IFS(AH44=1, "starter", AI44=1, "legendary",V44&lt; 13, "weak",V44&lt; 17, "moderate", TRUE, "strong")</f>
        <v>weak</v>
      </c>
      <c r="AL44">
        <v>1</v>
      </c>
      <c r="AM44">
        <v>0</v>
      </c>
    </row>
    <row r="45" spans="1:40" x14ac:dyDescent="0.25">
      <c r="A45">
        <v>421</v>
      </c>
      <c r="B45" t="s">
        <v>177</v>
      </c>
      <c r="C45" t="str">
        <f t="shared" si="51"/>
        <v>Cherrim</v>
      </c>
      <c r="D45" t="s">
        <v>1002</v>
      </c>
      <c r="E45" t="s">
        <v>2</v>
      </c>
      <c r="G45">
        <v>70</v>
      </c>
      <c r="H45">
        <v>60</v>
      </c>
      <c r="I45">
        <v>70</v>
      </c>
      <c r="J45">
        <v>87</v>
      </c>
      <c r="K45">
        <v>78</v>
      </c>
      <c r="L45">
        <v>85</v>
      </c>
      <c r="M45" t="s">
        <v>345</v>
      </c>
      <c r="N45" t="s">
        <v>298</v>
      </c>
      <c r="O45" t="s">
        <v>302</v>
      </c>
      <c r="P45">
        <f t="shared" ref="P45" si="52">(0.4*L45 + 0.5*MAX(H45,J45) + 0.1*MIN(H45,J45)) / 10</f>
        <v>8.35</v>
      </c>
      <c r="Q45">
        <f t="shared" ref="Q45" si="53">(0.4*G45 + 0.3*I45 + 0.3*K45) / 10</f>
        <v>7.24</v>
      </c>
      <c r="R45">
        <v>0</v>
      </c>
      <c r="S45">
        <v>0</v>
      </c>
      <c r="T45">
        <f t="shared" ref="T45" si="54">ROUND(P45,0)+R45</f>
        <v>8</v>
      </c>
      <c r="U45">
        <f t="shared" ref="U45:U46" si="55">ROUND(Q45,0)+S45</f>
        <v>7</v>
      </c>
      <c r="V45">
        <f t="shared" ref="V45" si="56">SUM(ROUND(T45,0),ROUND(U45,0))</f>
        <v>15</v>
      </c>
      <c r="W45" t="str">
        <f>E45</f>
        <v>grass</v>
      </c>
      <c r="X45" t="s">
        <v>8</v>
      </c>
      <c r="Y45" t="s">
        <v>16</v>
      </c>
      <c r="Z45" t="s">
        <v>26</v>
      </c>
      <c r="AB45" t="str">
        <f t="shared" si="38"/>
        <v/>
      </c>
      <c r="AC45" t="s">
        <v>990</v>
      </c>
      <c r="AD45" t="str">
        <f>VLOOKUP(AC45,moves!A:B,2,FALSE)</f>
        <v>grass</v>
      </c>
      <c r="AE45">
        <f>VLOOKUP(AC45,moves!A:D,4,FALSE)</f>
        <v>2</v>
      </c>
      <c r="AF45" t="str">
        <f>IF(VLOOKUP(AC45,moves!A:F,5,FALSE)=0, "", VLOOKUP(AC45,moves!A:F,5,FALSE))</f>
        <v>transform</v>
      </c>
      <c r="AG45" t="str">
        <f>VLOOKUP(AC45,moves!A:F,6,FALSE)</f>
        <v>Heal 3 damage.</v>
      </c>
      <c r="AH45">
        <v>0</v>
      </c>
      <c r="AI45">
        <v>0</v>
      </c>
      <c r="AJ45" t="str" cm="1">
        <f t="array" ref="AJ45">_xlfn.IFS(AH45=1, "starter", AI45=1, "legendary",V45&lt; 13, "weak",V45&lt; 17, "moderate", TRUE, "strong")</f>
        <v>moderate</v>
      </c>
      <c r="AL45">
        <v>2</v>
      </c>
      <c r="AM45">
        <v>0</v>
      </c>
      <c r="AN45">
        <v>1</v>
      </c>
    </row>
    <row r="46" spans="1:40" x14ac:dyDescent="0.25">
      <c r="A46" t="s">
        <v>975</v>
      </c>
      <c r="B46" t="s">
        <v>177</v>
      </c>
      <c r="C46" t="s">
        <v>989</v>
      </c>
      <c r="D46" t="s">
        <v>991</v>
      </c>
      <c r="E46" t="s">
        <v>2</v>
      </c>
      <c r="G46">
        <v>70</v>
      </c>
      <c r="H46">
        <v>90</v>
      </c>
      <c r="I46">
        <v>70</v>
      </c>
      <c r="J46">
        <v>87</v>
      </c>
      <c r="K46">
        <v>117</v>
      </c>
      <c r="L46">
        <v>85</v>
      </c>
      <c r="M46" t="s">
        <v>345</v>
      </c>
      <c r="N46" t="s">
        <v>298</v>
      </c>
      <c r="O46" t="s">
        <v>302</v>
      </c>
      <c r="P46">
        <f t="shared" si="3"/>
        <v>8.77</v>
      </c>
      <c r="Q46">
        <f t="shared" si="4"/>
        <v>8.41</v>
      </c>
      <c r="R46">
        <v>-1</v>
      </c>
      <c r="S46">
        <v>-1</v>
      </c>
      <c r="T46">
        <f t="shared" si="5"/>
        <v>8</v>
      </c>
      <c r="U46">
        <f t="shared" si="55"/>
        <v>7</v>
      </c>
      <c r="V46">
        <f t="shared" si="7"/>
        <v>15</v>
      </c>
      <c r="W46" t="str">
        <f t="shared" si="1"/>
        <v>grass</v>
      </c>
      <c r="X46" t="s">
        <v>8</v>
      </c>
      <c r="Y46" t="s">
        <v>16</v>
      </c>
      <c r="Z46" t="s">
        <v>26</v>
      </c>
      <c r="AB46" t="str">
        <f t="shared" si="38"/>
        <v/>
      </c>
      <c r="AC46" t="s">
        <v>833</v>
      </c>
      <c r="AD46" t="str">
        <f>VLOOKUP(AC46,moves!A:B,2,FALSE)</f>
        <v>grass</v>
      </c>
      <c r="AE46">
        <f>VLOOKUP(AC46,moves!A:D,4,FALSE)</f>
        <v>6</v>
      </c>
      <c r="AF46" t="str">
        <f>IF(VLOOKUP(AC46,moves!A:F,5,FALSE)=0, "", VLOOKUP(AC46,moves!A:F,5,FALSE))</f>
        <v>surge</v>
      </c>
      <c r="AG46" t="str">
        <f>VLOOKUP(AC46,moves!A:F,6,FALSE)</f>
        <v>Increase the Battle Fatigue of the user by 1.</v>
      </c>
      <c r="AH46">
        <v>0</v>
      </c>
      <c r="AI46">
        <v>0</v>
      </c>
      <c r="AJ46" t="str" cm="1">
        <f t="array" ref="AJ46">_xlfn.IFS(AH46=1, "starter", AI46=1, "legendary",V46&lt; 13, "weak",V46&lt; 17, "moderate", TRUE, "strong")</f>
        <v>moderate</v>
      </c>
      <c r="AL46">
        <v>2</v>
      </c>
      <c r="AM46">
        <v>0</v>
      </c>
      <c r="AN46">
        <v>2</v>
      </c>
    </row>
    <row r="47" spans="1:40" x14ac:dyDescent="0.25">
      <c r="A47">
        <v>422</v>
      </c>
      <c r="B47" t="s">
        <v>314</v>
      </c>
      <c r="C47" t="s">
        <v>438</v>
      </c>
      <c r="D47" t="s">
        <v>1137</v>
      </c>
      <c r="E47" t="s">
        <v>6</v>
      </c>
      <c r="G47">
        <v>76</v>
      </c>
      <c r="H47">
        <v>48</v>
      </c>
      <c r="I47">
        <v>48</v>
      </c>
      <c r="J47">
        <v>57</v>
      </c>
      <c r="K47">
        <v>62</v>
      </c>
      <c r="L47">
        <v>34</v>
      </c>
      <c r="M47" t="s">
        <v>346</v>
      </c>
      <c r="N47" t="s">
        <v>303</v>
      </c>
      <c r="O47" t="s">
        <v>299</v>
      </c>
      <c r="P47">
        <f t="shared" si="3"/>
        <v>4.6900000000000004</v>
      </c>
      <c r="Q47">
        <f t="shared" si="4"/>
        <v>6.339999999999999</v>
      </c>
      <c r="R47">
        <v>0</v>
      </c>
      <c r="S47">
        <v>0</v>
      </c>
      <c r="T47">
        <f t="shared" si="5"/>
        <v>5</v>
      </c>
      <c r="U47">
        <f t="shared" si="6"/>
        <v>6</v>
      </c>
      <c r="V47">
        <f t="shared" si="7"/>
        <v>11</v>
      </c>
      <c r="W47" t="str">
        <f t="shared" si="1"/>
        <v>water</v>
      </c>
      <c r="X47" t="s">
        <v>13</v>
      </c>
      <c r="Y47" t="s">
        <v>8</v>
      </c>
      <c r="Z47" t="s">
        <v>14</v>
      </c>
      <c r="AA47" t="s">
        <v>439</v>
      </c>
      <c r="AB47">
        <f t="shared" si="38"/>
        <v>6</v>
      </c>
      <c r="AC47" t="s">
        <v>598</v>
      </c>
      <c r="AD47" t="str">
        <f>VLOOKUP(AC47,moves!A:B,2,FALSE)</f>
        <v>water</v>
      </c>
      <c r="AE47">
        <f>VLOOKUP(AC47,moves!A:D,4,FALSE)</f>
        <v>2</v>
      </c>
      <c r="AF47" t="str">
        <f>IF(VLOOKUP(AC47,moves!A:F,5,FALSE)=0, "", VLOOKUP(AC47,moves!A:F,5,FALSE))</f>
        <v/>
      </c>
      <c r="AG47" t="str">
        <f>VLOOKUP(AC47,moves!A:F,6,FALSE)</f>
        <v>When the target next attacks, remove 1 [regular_hit] from the roll.</v>
      </c>
      <c r="AH47">
        <v>0</v>
      </c>
      <c r="AI47">
        <v>0</v>
      </c>
      <c r="AJ47" t="str" cm="1">
        <f t="array" ref="AJ47">_xlfn.IFS(AH47=1, "starter", AI47=1, "legendary",V47&lt; 13, "weak",V47&lt; 17, "moderate", TRUE, "strong")</f>
        <v>weak</v>
      </c>
      <c r="AL47">
        <v>1</v>
      </c>
      <c r="AM47">
        <v>0</v>
      </c>
    </row>
    <row r="48" spans="1:40" x14ac:dyDescent="0.25">
      <c r="A48">
        <v>423</v>
      </c>
      <c r="B48" t="s">
        <v>315</v>
      </c>
      <c r="C48" t="s">
        <v>439</v>
      </c>
      <c r="D48" t="s">
        <v>1137</v>
      </c>
      <c r="E48" t="s">
        <v>6</v>
      </c>
      <c r="F48" t="s">
        <v>13</v>
      </c>
      <c r="G48">
        <v>111</v>
      </c>
      <c r="H48">
        <v>83</v>
      </c>
      <c r="I48">
        <v>68</v>
      </c>
      <c r="J48">
        <v>92</v>
      </c>
      <c r="K48">
        <v>82</v>
      </c>
      <c r="L48">
        <v>39</v>
      </c>
      <c r="M48" t="s">
        <v>346</v>
      </c>
      <c r="N48" t="s">
        <v>303</v>
      </c>
      <c r="O48" t="s">
        <v>299</v>
      </c>
      <c r="P48">
        <f t="shared" si="3"/>
        <v>6.99</v>
      </c>
      <c r="Q48">
        <f t="shared" si="4"/>
        <v>8.9400000000000013</v>
      </c>
      <c r="R48">
        <v>0</v>
      </c>
      <c r="S48">
        <v>0</v>
      </c>
      <c r="T48">
        <f t="shared" si="5"/>
        <v>7</v>
      </c>
      <c r="U48">
        <f t="shared" si="6"/>
        <v>9</v>
      </c>
      <c r="V48">
        <f t="shared" si="7"/>
        <v>16</v>
      </c>
      <c r="W48" t="str">
        <f t="shared" si="1"/>
        <v>water</v>
      </c>
      <c r="X48" t="str">
        <f>IF(F48 = 0, "", F48)</f>
        <v>ground</v>
      </c>
      <c r="Y48" t="s">
        <v>8</v>
      </c>
      <c r="Z48" t="s">
        <v>14</v>
      </c>
      <c r="AB48" t="str">
        <f t="shared" si="38"/>
        <v/>
      </c>
      <c r="AC48" t="s">
        <v>489</v>
      </c>
      <c r="AD48" t="str">
        <f>VLOOKUP(AC48,moves!A:B,2,FALSE)</f>
        <v>ice</v>
      </c>
      <c r="AE48">
        <f>VLOOKUP(AC48,moves!A:D,4,FALSE)</f>
        <v>4</v>
      </c>
      <c r="AF48" t="str">
        <f>IF(VLOOKUP(AC48,moves!A:F,5,FALSE)=0, "", VLOOKUP(AC48,moves!A:F,5,FALSE))</f>
        <v/>
      </c>
      <c r="AG48" t="str">
        <f>VLOOKUP(AC48,moves!A:F,6,FALSE)</f>
        <v>If any [status_symbol]s are rolled: Inflict the [frozen] status on the target.</v>
      </c>
      <c r="AH48">
        <v>0</v>
      </c>
      <c r="AI48">
        <v>0</v>
      </c>
      <c r="AJ48" t="str" cm="1">
        <f t="array" ref="AJ48">_xlfn.IFS(AH48=1, "starter", AI48=1, "legendary",V48&lt; 13, "weak",V48&lt; 17, "moderate", TRUE, "strong")</f>
        <v>moderate</v>
      </c>
      <c r="AL48">
        <v>2</v>
      </c>
      <c r="AM48">
        <v>0</v>
      </c>
    </row>
    <row r="49" spans="1:39" x14ac:dyDescent="0.25">
      <c r="A49" t="s">
        <v>976</v>
      </c>
      <c r="B49" t="s">
        <v>314</v>
      </c>
      <c r="C49" t="s">
        <v>440</v>
      </c>
      <c r="D49" t="s">
        <v>1138</v>
      </c>
      <c r="E49" t="s">
        <v>6</v>
      </c>
      <c r="G49">
        <v>76</v>
      </c>
      <c r="H49">
        <v>48</v>
      </c>
      <c r="I49">
        <v>48</v>
      </c>
      <c r="J49">
        <v>57</v>
      </c>
      <c r="K49">
        <v>62</v>
      </c>
      <c r="L49">
        <v>34</v>
      </c>
      <c r="M49" t="s">
        <v>346</v>
      </c>
      <c r="N49" t="s">
        <v>303</v>
      </c>
      <c r="O49" t="s">
        <v>302</v>
      </c>
      <c r="P49">
        <f t="shared" si="3"/>
        <v>4.6900000000000004</v>
      </c>
      <c r="Q49">
        <f t="shared" si="4"/>
        <v>6.339999999999999</v>
      </c>
      <c r="R49">
        <v>0</v>
      </c>
      <c r="S49">
        <v>0</v>
      </c>
      <c r="T49">
        <f t="shared" si="5"/>
        <v>5</v>
      </c>
      <c r="U49">
        <f t="shared" si="6"/>
        <v>6</v>
      </c>
      <c r="V49">
        <f t="shared" si="7"/>
        <v>11</v>
      </c>
      <c r="W49" t="str">
        <f t="shared" si="1"/>
        <v>water</v>
      </c>
      <c r="X49" t="s">
        <v>13</v>
      </c>
      <c r="Y49" t="s">
        <v>8</v>
      </c>
      <c r="Z49" t="s">
        <v>4</v>
      </c>
      <c r="AA49" t="s">
        <v>441</v>
      </c>
      <c r="AB49">
        <f t="shared" si="38"/>
        <v>6</v>
      </c>
      <c r="AC49" t="s">
        <v>713</v>
      </c>
      <c r="AD49" t="str">
        <f>VLOOKUP(AC49,moves!A:B,2,FALSE)</f>
        <v>ground</v>
      </c>
      <c r="AE49">
        <f>VLOOKUP(AC49,moves!A:D,4,FALSE)</f>
        <v>3</v>
      </c>
      <c r="AF49" t="str">
        <f>IF(VLOOKUP(AC49,moves!A:F,5,FALSE)=0, "", VLOOKUP(AC49,moves!A:F,5,FALSE))</f>
        <v/>
      </c>
      <c r="AG49" t="str">
        <f>VLOOKUP(AC49,moves!A:F,6,FALSE)</f>
        <v>When the target next attacks, [status_symbol]s deal -1 damage.</v>
      </c>
      <c r="AH49">
        <v>0</v>
      </c>
      <c r="AI49">
        <v>0</v>
      </c>
      <c r="AJ49" t="str" cm="1">
        <f t="array" ref="AJ49">_xlfn.IFS(AH49=1, "starter", AI49=1, "legendary",V49&lt; 13, "weak",V49&lt; 17, "moderate", TRUE, "strong")</f>
        <v>weak</v>
      </c>
      <c r="AL49">
        <v>1</v>
      </c>
      <c r="AM49">
        <v>0</v>
      </c>
    </row>
    <row r="50" spans="1:39" x14ac:dyDescent="0.25">
      <c r="A50" t="s">
        <v>977</v>
      </c>
      <c r="B50" t="s">
        <v>315</v>
      </c>
      <c r="C50" t="s">
        <v>441</v>
      </c>
      <c r="D50" t="s">
        <v>1138</v>
      </c>
      <c r="E50" t="s">
        <v>6</v>
      </c>
      <c r="F50" t="s">
        <v>13</v>
      </c>
      <c r="G50">
        <v>111</v>
      </c>
      <c r="H50">
        <v>83</v>
      </c>
      <c r="I50">
        <v>68</v>
      </c>
      <c r="J50">
        <v>92</v>
      </c>
      <c r="K50">
        <v>82</v>
      </c>
      <c r="L50">
        <v>39</v>
      </c>
      <c r="M50" t="s">
        <v>346</v>
      </c>
      <c r="N50" t="s">
        <v>303</v>
      </c>
      <c r="O50" t="s">
        <v>302</v>
      </c>
      <c r="P50">
        <f t="shared" si="3"/>
        <v>6.99</v>
      </c>
      <c r="Q50">
        <f t="shared" si="4"/>
        <v>8.9400000000000013</v>
      </c>
      <c r="R50">
        <v>0</v>
      </c>
      <c r="S50">
        <v>0</v>
      </c>
      <c r="T50">
        <f t="shared" si="5"/>
        <v>7</v>
      </c>
      <c r="U50">
        <f t="shared" si="6"/>
        <v>9</v>
      </c>
      <c r="V50">
        <f t="shared" si="7"/>
        <v>16</v>
      </c>
      <c r="W50" t="str">
        <f t="shared" si="1"/>
        <v>water</v>
      </c>
      <c r="X50" t="str">
        <f>IF(F50 = 0, "", F50)</f>
        <v>ground</v>
      </c>
      <c r="Y50" t="s">
        <v>8</v>
      </c>
      <c r="Z50" t="s">
        <v>4</v>
      </c>
      <c r="AB50" t="str">
        <f t="shared" si="38"/>
        <v/>
      </c>
      <c r="AC50" t="s">
        <v>483</v>
      </c>
      <c r="AD50" t="str">
        <f>VLOOKUP(AC50,moves!A:B,2,FALSE)</f>
        <v>water</v>
      </c>
      <c r="AE50">
        <f>VLOOKUP(AC50,moves!A:D,4,FALSE)</f>
        <v>4</v>
      </c>
      <c r="AF50" t="str">
        <f>IF(VLOOKUP(AC50,moves!A:F,5,FALSE)=0, "", VLOOKUP(AC50,moves!A:F,5,FALSE))</f>
        <v/>
      </c>
      <c r="AG50" t="str">
        <f>VLOOKUP(AC50,moves!A:F,6,FALSE)</f>
        <v>If any [status_symbol]s are rolled: Inflict the [burned] status on the target.</v>
      </c>
      <c r="AH50">
        <v>0</v>
      </c>
      <c r="AI50">
        <v>0</v>
      </c>
      <c r="AJ50" t="str" cm="1">
        <f t="array" ref="AJ50">_xlfn.IFS(AH50=1, "starter", AI50=1, "legendary",V50&lt; 13, "weak",V50&lt; 17, "moderate", TRUE, "strong")</f>
        <v>moderate</v>
      </c>
      <c r="AL50">
        <v>2</v>
      </c>
      <c r="AM50">
        <v>0</v>
      </c>
    </row>
    <row r="51" spans="1:39" x14ac:dyDescent="0.25">
      <c r="A51">
        <v>190</v>
      </c>
      <c r="B51" t="s">
        <v>78</v>
      </c>
      <c r="C51" t="str">
        <f t="shared" ref="C51:C58" si="57">B51</f>
        <v>Aipom</v>
      </c>
      <c r="E51" t="s">
        <v>8</v>
      </c>
      <c r="G51">
        <v>55</v>
      </c>
      <c r="H51">
        <v>70</v>
      </c>
      <c r="I51">
        <v>55</v>
      </c>
      <c r="J51">
        <v>40</v>
      </c>
      <c r="K51">
        <v>55</v>
      </c>
      <c r="L51">
        <v>85</v>
      </c>
      <c r="M51" t="s">
        <v>347</v>
      </c>
      <c r="N51" t="s">
        <v>298</v>
      </c>
      <c r="O51" t="s">
        <v>300</v>
      </c>
      <c r="P51">
        <f t="shared" si="3"/>
        <v>7.3</v>
      </c>
      <c r="Q51">
        <f t="shared" si="4"/>
        <v>5.5</v>
      </c>
      <c r="R51">
        <v>0</v>
      </c>
      <c r="S51">
        <v>0</v>
      </c>
      <c r="T51">
        <f t="shared" si="5"/>
        <v>7</v>
      </c>
      <c r="U51">
        <f t="shared" si="6"/>
        <v>6</v>
      </c>
      <c r="V51">
        <f t="shared" si="7"/>
        <v>13</v>
      </c>
      <c r="W51" t="str">
        <f t="shared" si="1"/>
        <v>normal</v>
      </c>
      <c r="X51" t="s">
        <v>22</v>
      </c>
      <c r="Y51" t="s">
        <v>9</v>
      </c>
      <c r="Z51" t="s">
        <v>67</v>
      </c>
      <c r="AA51" t="str">
        <f>B52</f>
        <v>Ambipom</v>
      </c>
      <c r="AB51">
        <f t="shared" si="38"/>
        <v>6</v>
      </c>
      <c r="AC51" t="s">
        <v>465</v>
      </c>
      <c r="AD51" t="str">
        <f>VLOOKUP(AC51,moves!A:B,2,FALSE)</f>
        <v>normal</v>
      </c>
      <c r="AE51">
        <f>VLOOKUP(AC51,moves!A:D,4,FALSE)</f>
        <v>2</v>
      </c>
      <c r="AF51" t="str">
        <f>IF(VLOOKUP(AC51,moves!A:F,5,FALSE)=0, "", VLOOKUP(AC51,moves!A:F,5,FALSE))</f>
        <v/>
      </c>
      <c r="AG51" t="str">
        <f>VLOOKUP(AC51,moves!A:F,6,FALSE)</f>
        <v>[regular_hit]s deal +1 damage.</v>
      </c>
      <c r="AH51">
        <v>0</v>
      </c>
      <c r="AI51">
        <v>0</v>
      </c>
      <c r="AJ51" t="str" cm="1">
        <f t="array" ref="AJ51">_xlfn.IFS(AH51=1, "starter", AI51=1, "legendary",V51&lt; 13, "weak",V51&lt; 17, "moderate", TRUE, "strong")</f>
        <v>moderate</v>
      </c>
      <c r="AL51">
        <v>1</v>
      </c>
      <c r="AM51">
        <v>0</v>
      </c>
    </row>
    <row r="52" spans="1:39" x14ac:dyDescent="0.25">
      <c r="A52">
        <v>424</v>
      </c>
      <c r="B52" t="s">
        <v>178</v>
      </c>
      <c r="C52" t="str">
        <f t="shared" si="57"/>
        <v>Ambipom</v>
      </c>
      <c r="E52" t="s">
        <v>8</v>
      </c>
      <c r="G52">
        <v>75</v>
      </c>
      <c r="H52">
        <v>100</v>
      </c>
      <c r="I52">
        <v>66</v>
      </c>
      <c r="J52">
        <v>60</v>
      </c>
      <c r="K52">
        <v>66</v>
      </c>
      <c r="L52">
        <v>115</v>
      </c>
      <c r="M52" t="s">
        <v>347</v>
      </c>
      <c r="N52" t="s">
        <v>298</v>
      </c>
      <c r="O52" t="s">
        <v>300</v>
      </c>
      <c r="P52">
        <f t="shared" si="3"/>
        <v>10.199999999999999</v>
      </c>
      <c r="Q52">
        <f t="shared" si="4"/>
        <v>6.9599999999999991</v>
      </c>
      <c r="R52">
        <v>0</v>
      </c>
      <c r="S52">
        <v>0</v>
      </c>
      <c r="T52">
        <f t="shared" si="5"/>
        <v>10</v>
      </c>
      <c r="U52">
        <f t="shared" si="6"/>
        <v>7</v>
      </c>
      <c r="V52">
        <f t="shared" si="7"/>
        <v>17</v>
      </c>
      <c r="W52" t="str">
        <f t="shared" si="1"/>
        <v>normal</v>
      </c>
      <c r="X52" t="s">
        <v>22</v>
      </c>
      <c r="Y52" t="s">
        <v>9</v>
      </c>
      <c r="Z52" t="s">
        <v>67</v>
      </c>
      <c r="AB52" t="str">
        <f t="shared" si="38"/>
        <v/>
      </c>
      <c r="AC52" t="s">
        <v>580</v>
      </c>
      <c r="AD52" t="str">
        <f>VLOOKUP(AC52,moves!A:B,2,FALSE)</f>
        <v>normal</v>
      </c>
      <c r="AE52">
        <f>VLOOKUP(AC52,moves!A:D,4,FALSE)</f>
        <v>5</v>
      </c>
      <c r="AF52" t="str">
        <f>IF(VLOOKUP(AC52,moves!A:F,5,FALSE)=0, "", VLOOKUP(AC52,moves!A:F,5,FALSE))</f>
        <v/>
      </c>
      <c r="AG52" t="str">
        <f>VLOOKUP(AC52,moves!A:F,6,FALSE)</f>
        <v>[critical_hit]s deal +2 damage but for each [critical_hit] rolled: The user takes 2 damage.</v>
      </c>
      <c r="AH52">
        <v>0</v>
      </c>
      <c r="AI52">
        <v>0</v>
      </c>
      <c r="AJ52" t="str" cm="1">
        <f t="array" ref="AJ52">_xlfn.IFS(AH52=1, "starter", AI52=1, "legendary",V52&lt; 13, "weak",V52&lt; 17, "moderate", TRUE, "strong")</f>
        <v>strong</v>
      </c>
      <c r="AL52">
        <v>2</v>
      </c>
      <c r="AM52">
        <v>0</v>
      </c>
    </row>
    <row r="53" spans="1:39" x14ac:dyDescent="0.25">
      <c r="A53">
        <v>425</v>
      </c>
      <c r="B53" t="s">
        <v>179</v>
      </c>
      <c r="C53" t="str">
        <f t="shared" si="57"/>
        <v>Drifloon</v>
      </c>
      <c r="E53" t="s">
        <v>42</v>
      </c>
      <c r="F53" t="s">
        <v>5</v>
      </c>
      <c r="G53">
        <v>90</v>
      </c>
      <c r="H53">
        <v>50</v>
      </c>
      <c r="I53">
        <v>34</v>
      </c>
      <c r="J53">
        <v>60</v>
      </c>
      <c r="K53">
        <v>44</v>
      </c>
      <c r="L53">
        <v>70</v>
      </c>
      <c r="M53" t="s">
        <v>348</v>
      </c>
      <c r="N53" t="s">
        <v>301</v>
      </c>
      <c r="O53" t="s">
        <v>300</v>
      </c>
      <c r="P53">
        <f t="shared" si="3"/>
        <v>6.3</v>
      </c>
      <c r="Q53">
        <f t="shared" si="4"/>
        <v>5.94</v>
      </c>
      <c r="R53">
        <v>0</v>
      </c>
      <c r="S53">
        <v>0</v>
      </c>
      <c r="T53">
        <f t="shared" si="5"/>
        <v>6</v>
      </c>
      <c r="U53">
        <f t="shared" si="6"/>
        <v>6</v>
      </c>
      <c r="V53">
        <f t="shared" si="7"/>
        <v>12</v>
      </c>
      <c r="W53" t="str">
        <f t="shared" si="1"/>
        <v>ghost</v>
      </c>
      <c r="X53" t="s">
        <v>4</v>
      </c>
      <c r="Y53" t="s">
        <v>8</v>
      </c>
      <c r="Z53" t="s">
        <v>26</v>
      </c>
      <c r="AA53" t="str">
        <f>B54</f>
        <v>Drifblim</v>
      </c>
      <c r="AB53">
        <f t="shared" si="38"/>
        <v>8</v>
      </c>
      <c r="AC53" t="s">
        <v>668</v>
      </c>
      <c r="AD53" t="str">
        <f>VLOOKUP(AC53,moves!A:B,2,FALSE)</f>
        <v>ghost</v>
      </c>
      <c r="AE53">
        <f>VLOOKUP(AC53,moves!A:D,4,FALSE)</f>
        <v>2</v>
      </c>
      <c r="AF53" t="str">
        <f>IF(VLOOKUP(AC53,moves!A:F,5,FALSE)=0, "", VLOOKUP(AC53,moves!A:F,5,FALSE))</f>
        <v>boost</v>
      </c>
      <c r="AG53" t="str">
        <f>VLOOKUP(AC53,moves!A:F,6,FALSE)</f>
        <v>Add 1 [critical_hit] and 1 [status_symbol] to your future attack rolls.</v>
      </c>
      <c r="AH53">
        <v>0</v>
      </c>
      <c r="AI53">
        <v>0</v>
      </c>
      <c r="AJ53" t="str" cm="1">
        <f t="array" ref="AJ53">_xlfn.IFS(AH53=1, "starter", AI53=1, "legendary",V53&lt; 13, "weak",V53&lt; 17, "moderate", TRUE, "strong")</f>
        <v>weak</v>
      </c>
      <c r="AL53">
        <v>1</v>
      </c>
      <c r="AM53">
        <v>0</v>
      </c>
    </row>
    <row r="54" spans="1:39" x14ac:dyDescent="0.25">
      <c r="A54">
        <v>426</v>
      </c>
      <c r="B54" t="s">
        <v>180</v>
      </c>
      <c r="C54" t="str">
        <f t="shared" si="57"/>
        <v>Drifblim</v>
      </c>
      <c r="E54" t="s">
        <v>42</v>
      </c>
      <c r="F54" t="s">
        <v>5</v>
      </c>
      <c r="G54">
        <v>150</v>
      </c>
      <c r="H54">
        <v>80</v>
      </c>
      <c r="I54">
        <v>44</v>
      </c>
      <c r="J54">
        <v>90</v>
      </c>
      <c r="K54">
        <v>54</v>
      </c>
      <c r="L54">
        <v>80</v>
      </c>
      <c r="M54" t="s">
        <v>349</v>
      </c>
      <c r="N54" t="s">
        <v>301</v>
      </c>
      <c r="O54" t="s">
        <v>300</v>
      </c>
      <c r="P54">
        <f t="shared" si="3"/>
        <v>8.5</v>
      </c>
      <c r="Q54">
        <f t="shared" si="4"/>
        <v>8.9400000000000013</v>
      </c>
      <c r="R54">
        <v>0</v>
      </c>
      <c r="S54">
        <v>0</v>
      </c>
      <c r="T54">
        <f t="shared" si="5"/>
        <v>9</v>
      </c>
      <c r="U54">
        <f t="shared" si="6"/>
        <v>9</v>
      </c>
      <c r="V54">
        <f t="shared" si="7"/>
        <v>18</v>
      </c>
      <c r="W54" t="str">
        <f t="shared" si="1"/>
        <v>ghost</v>
      </c>
      <c r="X54" t="s">
        <v>4</v>
      </c>
      <c r="Y54" t="s">
        <v>8</v>
      </c>
      <c r="Z54" t="s">
        <v>26</v>
      </c>
      <c r="AB54" t="str">
        <f t="shared" si="38"/>
        <v/>
      </c>
      <c r="AC54" t="s">
        <v>516</v>
      </c>
      <c r="AD54" t="str">
        <f>VLOOKUP(AC54,moves!A:B,2,FALSE)</f>
        <v>normal</v>
      </c>
      <c r="AE54">
        <f>VLOOKUP(AC54,moves!A:D,4,FALSE)</f>
        <v>8</v>
      </c>
      <c r="AF54" t="str">
        <f>IF(VLOOKUP(AC54,moves!A:F,5,FALSE)=0, "", VLOOKUP(AC54,moves!A:F,5,FALSE))</f>
        <v>surge</v>
      </c>
      <c r="AG54" t="str">
        <f>VLOOKUP(AC54,moves!A:F,6,FALSE)</f>
        <v>The user takes 4 damage.</v>
      </c>
      <c r="AH54">
        <v>0</v>
      </c>
      <c r="AI54">
        <v>0</v>
      </c>
      <c r="AJ54" t="str" cm="1">
        <f t="array" ref="AJ54">_xlfn.IFS(AH54=1, "starter", AI54=1, "legendary",V54&lt; 13, "weak",V54&lt; 17, "moderate", TRUE, "strong")</f>
        <v>strong</v>
      </c>
      <c r="AL54">
        <v>2</v>
      </c>
      <c r="AM54">
        <v>0</v>
      </c>
    </row>
    <row r="55" spans="1:39" x14ac:dyDescent="0.25">
      <c r="A55">
        <v>427</v>
      </c>
      <c r="B55" t="s">
        <v>181</v>
      </c>
      <c r="C55" t="str">
        <f t="shared" si="57"/>
        <v>Buneary</v>
      </c>
      <c r="E55" t="s">
        <v>8</v>
      </c>
      <c r="G55">
        <v>55</v>
      </c>
      <c r="H55">
        <v>66</v>
      </c>
      <c r="I55">
        <v>44</v>
      </c>
      <c r="J55">
        <v>44</v>
      </c>
      <c r="K55">
        <v>56</v>
      </c>
      <c r="L55">
        <v>85</v>
      </c>
      <c r="M55" t="s">
        <v>350</v>
      </c>
      <c r="N55" t="s">
        <v>301</v>
      </c>
      <c r="O55" t="s">
        <v>299</v>
      </c>
      <c r="P55">
        <f t="shared" si="3"/>
        <v>7.1400000000000006</v>
      </c>
      <c r="Q55">
        <f t="shared" si="4"/>
        <v>5.2</v>
      </c>
      <c r="R55">
        <v>0</v>
      </c>
      <c r="S55">
        <v>0</v>
      </c>
      <c r="T55">
        <f t="shared" si="5"/>
        <v>7</v>
      </c>
      <c r="U55">
        <f t="shared" si="6"/>
        <v>5</v>
      </c>
      <c r="V55">
        <f t="shared" si="7"/>
        <v>12</v>
      </c>
      <c r="W55" t="str">
        <f t="shared" si="1"/>
        <v>normal</v>
      </c>
      <c r="X55" t="s">
        <v>22</v>
      </c>
      <c r="Y55" t="s">
        <v>5</v>
      </c>
      <c r="Z55" t="s">
        <v>26</v>
      </c>
      <c r="AA55" t="str">
        <f>B56</f>
        <v>Lopunny</v>
      </c>
      <c r="AB55">
        <f t="shared" si="38"/>
        <v>6</v>
      </c>
      <c r="AC55" t="s">
        <v>582</v>
      </c>
      <c r="AD55" t="str">
        <f>VLOOKUP(AC55,moves!A:B,2,FALSE)</f>
        <v>normal</v>
      </c>
      <c r="AE55">
        <f>VLOOKUP(AC55,moves!A:D,4,FALSE)</f>
        <v>3</v>
      </c>
      <c r="AF55" t="str">
        <f>IF(VLOOKUP(AC55,moves!A:F,5,FALSE)=0, "", VLOOKUP(AC55,moves!A:F,5,FALSE))</f>
        <v/>
      </c>
      <c r="AG55" t="str">
        <f>VLOOKUP(AC55,moves!A:F,6,FALSE)</f>
        <v>Inflict the [paralysed] status on the target but the user takes 1 damage.</v>
      </c>
      <c r="AH55">
        <v>0</v>
      </c>
      <c r="AI55">
        <v>0</v>
      </c>
      <c r="AJ55" t="str" cm="1">
        <f t="array" ref="AJ55">_xlfn.IFS(AH55=1, "starter", AI55=1, "legendary",V55&lt; 13, "weak",V55&lt; 17, "moderate", TRUE, "strong")</f>
        <v>weak</v>
      </c>
      <c r="AL55">
        <v>1</v>
      </c>
      <c r="AM55">
        <v>0</v>
      </c>
    </row>
    <row r="56" spans="1:39" x14ac:dyDescent="0.25">
      <c r="A56">
        <v>428</v>
      </c>
      <c r="B56" t="s">
        <v>182</v>
      </c>
      <c r="C56" t="str">
        <f t="shared" si="57"/>
        <v>Lopunny</v>
      </c>
      <c r="E56" t="s">
        <v>8</v>
      </c>
      <c r="G56">
        <v>65</v>
      </c>
      <c r="H56">
        <v>76</v>
      </c>
      <c r="I56">
        <v>84</v>
      </c>
      <c r="J56">
        <v>54</v>
      </c>
      <c r="K56">
        <v>96</v>
      </c>
      <c r="L56">
        <v>105</v>
      </c>
      <c r="M56" t="s">
        <v>350</v>
      </c>
      <c r="N56" t="s">
        <v>301</v>
      </c>
      <c r="O56" t="s">
        <v>299</v>
      </c>
      <c r="P56">
        <f t="shared" si="3"/>
        <v>8.5400000000000009</v>
      </c>
      <c r="Q56">
        <f t="shared" si="4"/>
        <v>8</v>
      </c>
      <c r="R56">
        <v>0</v>
      </c>
      <c r="S56">
        <v>0</v>
      </c>
      <c r="T56">
        <f t="shared" si="5"/>
        <v>9</v>
      </c>
      <c r="U56">
        <f t="shared" si="6"/>
        <v>8</v>
      </c>
      <c r="V56">
        <f t="shared" si="7"/>
        <v>17</v>
      </c>
      <c r="W56" t="str">
        <f t="shared" si="1"/>
        <v>normal</v>
      </c>
      <c r="X56" t="s">
        <v>22</v>
      </c>
      <c r="Y56" t="s">
        <v>5</v>
      </c>
      <c r="Z56" t="s">
        <v>26</v>
      </c>
      <c r="AB56" t="str">
        <f t="shared" si="38"/>
        <v/>
      </c>
      <c r="AC56" t="s">
        <v>563</v>
      </c>
      <c r="AD56" t="str">
        <f>VLOOKUP(AC56,moves!A:B,2,FALSE)</f>
        <v>fighting</v>
      </c>
      <c r="AE56">
        <f>VLOOKUP(AC56,moves!A:D,4,FALSE)</f>
        <v>5</v>
      </c>
      <c r="AF56" t="str">
        <f>IF(VLOOKUP(AC56,moves!A:F,5,FALSE)=0, "", VLOOKUP(AC56,moves!A:F,5,FALSE))</f>
        <v/>
      </c>
      <c r="AG56" t="str">
        <f>VLOOKUP(AC56,moves!A:F,6,FALSE)</f>
        <v xml:space="preserve">Deals 4 extra damage to [flying]-Type Pokémon. For each [status_symbol] rolled: The user takes 1 damage. </v>
      </c>
      <c r="AH56">
        <v>0</v>
      </c>
      <c r="AI56">
        <v>0</v>
      </c>
      <c r="AJ56" t="str" cm="1">
        <f t="array" ref="AJ56">_xlfn.IFS(AH56=1, "starter", AI56=1, "legendary",V56&lt; 13, "weak",V56&lt; 17, "moderate", TRUE, "strong")</f>
        <v>strong</v>
      </c>
      <c r="AL56">
        <v>2</v>
      </c>
      <c r="AM56">
        <v>0</v>
      </c>
    </row>
    <row r="57" spans="1:39" x14ac:dyDescent="0.25">
      <c r="A57">
        <v>200</v>
      </c>
      <c r="B57" t="s">
        <v>85</v>
      </c>
      <c r="C57" t="str">
        <f t="shared" si="57"/>
        <v>Misdreavus</v>
      </c>
      <c r="E57" t="s">
        <v>42</v>
      </c>
      <c r="G57">
        <v>60</v>
      </c>
      <c r="H57">
        <v>60</v>
      </c>
      <c r="I57">
        <v>60</v>
      </c>
      <c r="J57">
        <v>85</v>
      </c>
      <c r="K57">
        <v>85</v>
      </c>
      <c r="L57">
        <v>85</v>
      </c>
      <c r="M57" t="s">
        <v>351</v>
      </c>
      <c r="N57" t="s">
        <v>298</v>
      </c>
      <c r="O57" t="s">
        <v>299</v>
      </c>
      <c r="P57">
        <f t="shared" si="3"/>
        <v>8.25</v>
      </c>
      <c r="Q57">
        <f t="shared" si="4"/>
        <v>6.75</v>
      </c>
      <c r="R57">
        <v>0</v>
      </c>
      <c r="S57">
        <v>0</v>
      </c>
      <c r="T57">
        <f t="shared" si="5"/>
        <v>8</v>
      </c>
      <c r="U57">
        <f t="shared" si="6"/>
        <v>7</v>
      </c>
      <c r="V57">
        <f t="shared" si="7"/>
        <v>15</v>
      </c>
      <c r="W57" t="str">
        <f t="shared" si="1"/>
        <v>ghost</v>
      </c>
      <c r="X57" t="s">
        <v>4</v>
      </c>
      <c r="Y57" t="s">
        <v>33</v>
      </c>
      <c r="Z57" t="s">
        <v>2</v>
      </c>
      <c r="AA57" t="str">
        <f>B58</f>
        <v>Mismagius</v>
      </c>
      <c r="AB57">
        <f t="shared" si="38"/>
        <v>4</v>
      </c>
      <c r="AC57" t="s">
        <v>807</v>
      </c>
      <c r="AD57" t="str">
        <f>VLOOKUP(AC57,moves!A:B,2,FALSE)</f>
        <v>ghost</v>
      </c>
      <c r="AE57">
        <f>VLOOKUP(AC57,moves!A:D,4,FALSE)</f>
        <v>2</v>
      </c>
      <c r="AF57" t="str">
        <f>IF(VLOOKUP(AC57,moves!A:F,5,FALSE)=0, "", VLOOKUP(AC57,moves!A:F,5,FALSE))</f>
        <v>agile</v>
      </c>
      <c r="AG57" t="str">
        <f>VLOOKUP(AC57,moves!A:F,6,FALSE)</f>
        <v>[status_symbol]s deal -1 damage.</v>
      </c>
      <c r="AH57">
        <v>0</v>
      </c>
      <c r="AI57">
        <v>0</v>
      </c>
      <c r="AJ57" t="str" cm="1">
        <f t="array" ref="AJ57">_xlfn.IFS(AH57=1, "starter", AI57=1, "legendary",V57&lt; 13, "weak",V57&lt; 17, "moderate", TRUE, "strong")</f>
        <v>moderate</v>
      </c>
      <c r="AL57">
        <v>1</v>
      </c>
      <c r="AM57">
        <v>0</v>
      </c>
    </row>
    <row r="58" spans="1:39" x14ac:dyDescent="0.25">
      <c r="A58">
        <v>429</v>
      </c>
      <c r="B58" t="s">
        <v>183</v>
      </c>
      <c r="C58" t="str">
        <f t="shared" si="57"/>
        <v>Mismagius</v>
      </c>
      <c r="E58" t="s">
        <v>42</v>
      </c>
      <c r="G58">
        <v>60</v>
      </c>
      <c r="H58">
        <v>60</v>
      </c>
      <c r="I58">
        <v>60</v>
      </c>
      <c r="J58">
        <v>105</v>
      </c>
      <c r="K58">
        <v>105</v>
      </c>
      <c r="L58">
        <v>105</v>
      </c>
      <c r="M58" t="s">
        <v>352</v>
      </c>
      <c r="N58" t="s">
        <v>298</v>
      </c>
      <c r="O58" t="s">
        <v>299</v>
      </c>
      <c r="P58">
        <f t="shared" si="3"/>
        <v>10.050000000000001</v>
      </c>
      <c r="Q58">
        <f t="shared" si="4"/>
        <v>7.35</v>
      </c>
      <c r="R58">
        <v>0</v>
      </c>
      <c r="S58">
        <v>0</v>
      </c>
      <c r="T58">
        <f t="shared" si="5"/>
        <v>10</v>
      </c>
      <c r="U58">
        <f t="shared" si="6"/>
        <v>7</v>
      </c>
      <c r="V58">
        <f t="shared" si="7"/>
        <v>17</v>
      </c>
      <c r="W58" t="str">
        <f t="shared" si="1"/>
        <v>ghost</v>
      </c>
      <c r="X58" t="s">
        <v>4</v>
      </c>
      <c r="Y58" t="s">
        <v>33</v>
      </c>
      <c r="Z58" t="s">
        <v>2</v>
      </c>
      <c r="AB58" t="str">
        <f t="shared" si="38"/>
        <v/>
      </c>
      <c r="AC58" t="s">
        <v>581</v>
      </c>
      <c r="AD58" t="str">
        <f>VLOOKUP(AC58,moves!A:B,2,FALSE)</f>
        <v>fire</v>
      </c>
      <c r="AE58">
        <f>VLOOKUP(AC58,moves!A:D,4,FALSE)</f>
        <v>3</v>
      </c>
      <c r="AF58" t="str">
        <f>IF(VLOOKUP(AC58,moves!A:F,5,FALSE)=0, "", VLOOKUP(AC58,moves!A:F,5,FALSE))</f>
        <v>agile</v>
      </c>
      <c r="AG58" t="str">
        <f>VLOOKUP(AC58,moves!A:F,6,FALSE)</f>
        <v>At the end of the turn, inflict the [burned] status on the target.</v>
      </c>
      <c r="AH58">
        <v>0</v>
      </c>
      <c r="AI58">
        <v>0</v>
      </c>
      <c r="AJ58" t="str" cm="1">
        <f t="array" ref="AJ58">_xlfn.IFS(AH58=1, "starter", AI58=1, "legendary",V58&lt; 13, "weak",V58&lt; 17, "moderate", TRUE, "strong")</f>
        <v>strong</v>
      </c>
      <c r="AL58">
        <v>2</v>
      </c>
      <c r="AM58">
        <v>0</v>
      </c>
    </row>
    <row r="59" spans="1:39" x14ac:dyDescent="0.25">
      <c r="A59" t="s">
        <v>1163</v>
      </c>
      <c r="B59" t="s">
        <v>1165</v>
      </c>
      <c r="C59" t="s">
        <v>183</v>
      </c>
      <c r="D59" t="s">
        <v>1164</v>
      </c>
      <c r="E59" t="s">
        <v>42</v>
      </c>
      <c r="F59" t="s">
        <v>26</v>
      </c>
      <c r="G59">
        <v>60</v>
      </c>
      <c r="H59">
        <v>60</v>
      </c>
      <c r="I59">
        <v>60</v>
      </c>
      <c r="J59">
        <v>105</v>
      </c>
      <c r="K59">
        <v>105</v>
      </c>
      <c r="L59">
        <v>105</v>
      </c>
      <c r="M59" t="s">
        <v>591</v>
      </c>
      <c r="O59" t="s">
        <v>1146</v>
      </c>
      <c r="P59">
        <f t="shared" ref="P59" si="58">(0.4*L59 + 0.5*MAX(H59,J59) + 0.1*MIN(H59,J59)) / 10</f>
        <v>10.050000000000001</v>
      </c>
      <c r="Q59">
        <f t="shared" ref="Q59" si="59">(0.4*G59 + 0.3*I59 + 0.3*K59) / 10</f>
        <v>7.35</v>
      </c>
      <c r="R59">
        <v>1</v>
      </c>
      <c r="S59">
        <v>3</v>
      </c>
      <c r="T59">
        <f t="shared" ref="T59" si="60">ROUND(P59,0)+R59</f>
        <v>11</v>
      </c>
      <c r="U59">
        <f t="shared" ref="U59" si="61">ROUND(Q59,0)+S59</f>
        <v>10</v>
      </c>
      <c r="V59">
        <f t="shared" ref="V59" si="62">SUM(ROUND(T59,0),ROUND(U59,0))</f>
        <v>21</v>
      </c>
      <c r="W59" t="str">
        <f t="shared" ref="W59" si="63">E59</f>
        <v>ghost</v>
      </c>
      <c r="X59" t="str">
        <f>IF(F59 = 0, "", F59)</f>
        <v>psychic</v>
      </c>
      <c r="Y59" t="s">
        <v>33</v>
      </c>
      <c r="Z59" t="s">
        <v>2</v>
      </c>
      <c r="AB59" t="str">
        <f t="shared" si="38"/>
        <v/>
      </c>
      <c r="AC59" t="s">
        <v>1174</v>
      </c>
      <c r="AD59" t="str">
        <f>VLOOKUP(AC59,moves!A:B,2,FALSE)</f>
        <v>psychic</v>
      </c>
      <c r="AE59">
        <f>VLOOKUP(AC59,moves!A:D,4,FALSE)</f>
        <v>3</v>
      </c>
      <c r="AF59" t="str">
        <f>IF(VLOOKUP(AC59,moves!A:F,5,FALSE)=0, "", VLOOKUP(AC59,moves!A:F,5,FALSE))</f>
        <v>agile</v>
      </c>
      <c r="AG59" t="str">
        <f>VLOOKUP(AC59,moves!A:F,6,FALSE)</f>
        <v>At the end of the turn, inflict any status effect on the target.</v>
      </c>
      <c r="AH59">
        <v>0</v>
      </c>
      <c r="AI59">
        <v>1</v>
      </c>
      <c r="AJ59" t="str" cm="1">
        <f t="array" ref="AJ59">_xlfn.IFS(AH59=1, "starter", AI59=1, "legendary",V59&lt; 13, "weak",V59&lt; 17, "moderate", TRUE, "strong")</f>
        <v>legendary</v>
      </c>
      <c r="AL59">
        <v>1</v>
      </c>
      <c r="AM59">
        <v>0</v>
      </c>
    </row>
    <row r="60" spans="1:39" x14ac:dyDescent="0.25">
      <c r="A60">
        <v>198</v>
      </c>
      <c r="B60" t="s">
        <v>84</v>
      </c>
      <c r="C60" t="str">
        <f t="shared" ref="C60:C81" si="64">B60</f>
        <v>Murkrow</v>
      </c>
      <c r="E60" t="s">
        <v>9</v>
      </c>
      <c r="F60" t="s">
        <v>5</v>
      </c>
      <c r="G60">
        <v>60</v>
      </c>
      <c r="H60">
        <v>85</v>
      </c>
      <c r="I60">
        <v>42</v>
      </c>
      <c r="J60">
        <v>85</v>
      </c>
      <c r="K60">
        <v>42</v>
      </c>
      <c r="L60">
        <v>91</v>
      </c>
      <c r="M60" t="s">
        <v>353</v>
      </c>
      <c r="N60" t="s">
        <v>298</v>
      </c>
      <c r="O60" t="s">
        <v>299</v>
      </c>
      <c r="P60">
        <f t="shared" si="3"/>
        <v>8.74</v>
      </c>
      <c r="Q60">
        <f t="shared" si="4"/>
        <v>4.92</v>
      </c>
      <c r="R60">
        <v>0</v>
      </c>
      <c r="S60">
        <v>0</v>
      </c>
      <c r="T60">
        <f t="shared" si="5"/>
        <v>9</v>
      </c>
      <c r="U60">
        <f t="shared" si="6"/>
        <v>5</v>
      </c>
      <c r="V60">
        <f t="shared" si="7"/>
        <v>14</v>
      </c>
      <c r="W60" t="str">
        <f t="shared" si="1"/>
        <v>dark</v>
      </c>
      <c r="X60" t="str">
        <f>IF(F60 = 0, "", F60)</f>
        <v>flying</v>
      </c>
      <c r="Y60" t="s">
        <v>22</v>
      </c>
      <c r="Z60" t="s">
        <v>42</v>
      </c>
      <c r="AA60" t="str">
        <f>B61</f>
        <v>Honchkrow</v>
      </c>
      <c r="AB60">
        <f t="shared" si="38"/>
        <v>5</v>
      </c>
      <c r="AC60" t="s">
        <v>494</v>
      </c>
      <c r="AD60" t="str">
        <f>VLOOKUP(AC60,moves!A:B,2,FALSE)</f>
        <v>flying</v>
      </c>
      <c r="AE60">
        <f>VLOOKUP(AC60,moves!A:D,4,FALSE)</f>
        <v>3</v>
      </c>
      <c r="AF60" t="str">
        <f>IF(VLOOKUP(AC60,moves!A:F,5,FALSE)=0, "", VLOOKUP(AC60,moves!A:F,5,FALSE))</f>
        <v/>
      </c>
      <c r="AG60" t="str">
        <f>VLOOKUP(AC60,moves!A:F,6,FALSE)</f>
        <v>When the target next attacks, remove 1 [regular_hit] from the roll.</v>
      </c>
      <c r="AH60">
        <v>0</v>
      </c>
      <c r="AI60">
        <v>0</v>
      </c>
      <c r="AJ60" t="str" cm="1">
        <f t="array" ref="AJ60">_xlfn.IFS(AH60=1, "starter", AI60=1, "legendary",V60&lt; 13, "weak",V60&lt; 17, "moderate", TRUE, "strong")</f>
        <v>moderate</v>
      </c>
      <c r="AL60">
        <v>1</v>
      </c>
      <c r="AM60">
        <v>0</v>
      </c>
    </row>
    <row r="61" spans="1:39" x14ac:dyDescent="0.25">
      <c r="A61">
        <v>430</v>
      </c>
      <c r="B61" t="s">
        <v>184</v>
      </c>
      <c r="C61" t="str">
        <f t="shared" si="64"/>
        <v>Honchkrow</v>
      </c>
      <c r="E61" t="s">
        <v>9</v>
      </c>
      <c r="F61" t="s">
        <v>5</v>
      </c>
      <c r="G61">
        <v>100</v>
      </c>
      <c r="H61">
        <v>125</v>
      </c>
      <c r="I61">
        <v>52</v>
      </c>
      <c r="J61">
        <v>105</v>
      </c>
      <c r="K61">
        <v>52</v>
      </c>
      <c r="L61">
        <v>71</v>
      </c>
      <c r="M61" t="s">
        <v>354</v>
      </c>
      <c r="N61" t="s">
        <v>298</v>
      </c>
      <c r="O61" t="s">
        <v>299</v>
      </c>
      <c r="P61">
        <f t="shared" si="3"/>
        <v>10.14</v>
      </c>
      <c r="Q61">
        <f t="shared" si="4"/>
        <v>7.12</v>
      </c>
      <c r="R61">
        <v>0</v>
      </c>
      <c r="S61">
        <v>0</v>
      </c>
      <c r="T61">
        <f t="shared" si="5"/>
        <v>10</v>
      </c>
      <c r="U61">
        <f t="shared" si="6"/>
        <v>7</v>
      </c>
      <c r="V61">
        <f t="shared" si="7"/>
        <v>17</v>
      </c>
      <c r="W61" t="str">
        <f t="shared" si="1"/>
        <v>dark</v>
      </c>
      <c r="X61" t="str">
        <f>IF(F61 = 0, "", F61)</f>
        <v>flying</v>
      </c>
      <c r="Y61" t="s">
        <v>22</v>
      </c>
      <c r="Z61" t="s">
        <v>42</v>
      </c>
      <c r="AB61" t="str">
        <f t="shared" si="38"/>
        <v/>
      </c>
      <c r="AC61" t="s">
        <v>520</v>
      </c>
      <c r="AD61" t="str">
        <f>VLOOKUP(AC61,moves!A:B,2,FALSE)</f>
        <v>dark</v>
      </c>
      <c r="AE61">
        <f>VLOOKUP(AC61,moves!A:D,4,FALSE)</f>
        <v>4</v>
      </c>
      <c r="AF61" t="str">
        <f>IF(VLOOKUP(AC61,moves!A:F,5,FALSE)=0, "", VLOOKUP(AC61,moves!A:F,5,FALSE))</f>
        <v/>
      </c>
      <c r="AG61" t="str">
        <f>VLOOKUP(AC61,moves!A:F,6,FALSE)</f>
        <v>[critical_hit]s deal +1 damage.</v>
      </c>
      <c r="AH61">
        <v>0</v>
      </c>
      <c r="AI61">
        <v>0</v>
      </c>
      <c r="AJ61" t="str" cm="1">
        <f t="array" ref="AJ61">_xlfn.IFS(AH61=1, "starter", AI61=1, "legendary",V61&lt; 13, "weak",V61&lt; 17, "moderate", TRUE, "strong")</f>
        <v>strong</v>
      </c>
      <c r="AL61">
        <v>2</v>
      </c>
      <c r="AM61">
        <v>0</v>
      </c>
    </row>
    <row r="62" spans="1:39" x14ac:dyDescent="0.25">
      <c r="A62">
        <v>431</v>
      </c>
      <c r="B62" t="s">
        <v>185</v>
      </c>
      <c r="C62" t="str">
        <f t="shared" si="64"/>
        <v>Glameow</v>
      </c>
      <c r="E62" t="s">
        <v>8</v>
      </c>
      <c r="G62">
        <v>49</v>
      </c>
      <c r="H62">
        <v>55</v>
      </c>
      <c r="I62">
        <v>42</v>
      </c>
      <c r="J62">
        <v>42</v>
      </c>
      <c r="K62">
        <v>37</v>
      </c>
      <c r="L62">
        <v>85</v>
      </c>
      <c r="M62" t="s">
        <v>355</v>
      </c>
      <c r="N62" t="s">
        <v>301</v>
      </c>
      <c r="O62" t="s">
        <v>302</v>
      </c>
      <c r="P62">
        <f t="shared" si="3"/>
        <v>6.57</v>
      </c>
      <c r="Q62">
        <f t="shared" si="4"/>
        <v>4.33</v>
      </c>
      <c r="R62">
        <v>0</v>
      </c>
      <c r="S62">
        <v>0</v>
      </c>
      <c r="T62">
        <f t="shared" si="5"/>
        <v>7</v>
      </c>
      <c r="U62">
        <f t="shared" si="6"/>
        <v>4</v>
      </c>
      <c r="V62">
        <f t="shared" si="7"/>
        <v>11</v>
      </c>
      <c r="W62" t="str">
        <f t="shared" si="1"/>
        <v>normal</v>
      </c>
      <c r="X62" t="s">
        <v>16</v>
      </c>
      <c r="Y62" t="s">
        <v>9</v>
      </c>
      <c r="Z62" t="s">
        <v>11</v>
      </c>
      <c r="AA62" t="str">
        <f>B63</f>
        <v>Purugly</v>
      </c>
      <c r="AB62">
        <f t="shared" si="38"/>
        <v>6</v>
      </c>
      <c r="AC62" t="s">
        <v>508</v>
      </c>
      <c r="AD62" t="str">
        <f>VLOOKUP(AC62,moves!A:B,2,FALSE)</f>
        <v>fairy</v>
      </c>
      <c r="AE62">
        <f>VLOOKUP(AC62,moves!A:D,4,FALSE)</f>
        <v>3</v>
      </c>
      <c r="AF62" t="str">
        <f>IF(VLOOKUP(AC62,moves!A:F,5,FALSE)=0, "", VLOOKUP(AC62,moves!A:F,5,FALSE))</f>
        <v/>
      </c>
      <c r="AG62" t="str">
        <f>VLOOKUP(AC62,moves!A:F,6,FALSE)</f>
        <v>When the target next attacks, remove 1 [regular_hit] from the roll.</v>
      </c>
      <c r="AH62">
        <v>0</v>
      </c>
      <c r="AI62">
        <v>0</v>
      </c>
      <c r="AJ62" t="str" cm="1">
        <f t="array" ref="AJ62">_xlfn.IFS(AH62=1, "starter", AI62=1, "legendary",V62&lt; 13, "weak",V62&lt; 17, "moderate", TRUE, "strong")</f>
        <v>weak</v>
      </c>
      <c r="AL62">
        <v>1</v>
      </c>
      <c r="AM62">
        <v>0</v>
      </c>
    </row>
    <row r="63" spans="1:39" x14ac:dyDescent="0.25">
      <c r="A63">
        <v>432</v>
      </c>
      <c r="B63" t="s">
        <v>186</v>
      </c>
      <c r="C63" t="str">
        <f t="shared" si="64"/>
        <v>Purugly</v>
      </c>
      <c r="E63" t="s">
        <v>8</v>
      </c>
      <c r="G63">
        <v>71</v>
      </c>
      <c r="H63">
        <v>82</v>
      </c>
      <c r="I63">
        <v>64</v>
      </c>
      <c r="J63">
        <v>64</v>
      </c>
      <c r="K63">
        <v>59</v>
      </c>
      <c r="L63">
        <v>112</v>
      </c>
      <c r="M63" t="s">
        <v>356</v>
      </c>
      <c r="N63" t="s">
        <v>301</v>
      </c>
      <c r="O63" t="s">
        <v>302</v>
      </c>
      <c r="P63">
        <f t="shared" si="3"/>
        <v>9.2200000000000024</v>
      </c>
      <c r="Q63">
        <f t="shared" si="4"/>
        <v>6.5299999999999994</v>
      </c>
      <c r="R63">
        <v>0</v>
      </c>
      <c r="S63">
        <v>0</v>
      </c>
      <c r="T63">
        <f t="shared" si="5"/>
        <v>9</v>
      </c>
      <c r="U63">
        <f t="shared" si="6"/>
        <v>7</v>
      </c>
      <c r="V63">
        <f t="shared" si="7"/>
        <v>16</v>
      </c>
      <c r="W63" t="str">
        <f t="shared" si="1"/>
        <v>normal</v>
      </c>
      <c r="X63" t="s">
        <v>16</v>
      </c>
      <c r="Y63" t="s">
        <v>9</v>
      </c>
      <c r="Z63" t="s">
        <v>11</v>
      </c>
      <c r="AB63" t="str">
        <f t="shared" si="38"/>
        <v/>
      </c>
      <c r="AC63" t="s">
        <v>530</v>
      </c>
      <c r="AD63" t="str">
        <f>VLOOKUP(AC63,moves!A:B,2,FALSE)</f>
        <v>normal</v>
      </c>
      <c r="AE63">
        <f>VLOOKUP(AC63,moves!A:D,4,FALSE)</f>
        <v>4</v>
      </c>
      <c r="AF63" t="str">
        <f>IF(VLOOKUP(AC63,moves!A:F,5,FALSE)=0, "", VLOOKUP(AC63,moves!A:F,5,FALSE))</f>
        <v/>
      </c>
      <c r="AG63" t="str">
        <f>VLOOKUP(AC63,moves!A:F,6,FALSE)</f>
        <v>[critical_hit]s deal +1 damage.</v>
      </c>
      <c r="AH63">
        <v>0</v>
      </c>
      <c r="AI63">
        <v>0</v>
      </c>
      <c r="AJ63" t="str" cm="1">
        <f t="array" ref="AJ63">_xlfn.IFS(AH63=1, "starter", AI63=1, "legendary",V63&lt; 13, "weak",V63&lt; 17, "moderate", TRUE, "strong")</f>
        <v>moderate</v>
      </c>
      <c r="AL63">
        <v>2</v>
      </c>
      <c r="AM63">
        <v>0</v>
      </c>
    </row>
    <row r="64" spans="1:39" x14ac:dyDescent="0.25">
      <c r="A64">
        <v>433</v>
      </c>
      <c r="B64" t="s">
        <v>187</v>
      </c>
      <c r="C64" t="str">
        <f t="shared" si="64"/>
        <v>Chingling</v>
      </c>
      <c r="E64" t="s">
        <v>26</v>
      </c>
      <c r="G64">
        <v>45</v>
      </c>
      <c r="H64">
        <v>30</v>
      </c>
      <c r="I64">
        <v>50</v>
      </c>
      <c r="J64">
        <v>65</v>
      </c>
      <c r="K64">
        <v>50</v>
      </c>
      <c r="L64">
        <v>45</v>
      </c>
      <c r="M64" t="s">
        <v>357</v>
      </c>
      <c r="N64" t="s">
        <v>304</v>
      </c>
      <c r="O64" t="s">
        <v>302</v>
      </c>
      <c r="P64">
        <f t="shared" si="3"/>
        <v>5.35</v>
      </c>
      <c r="Q64">
        <f t="shared" si="4"/>
        <v>4.8</v>
      </c>
      <c r="R64">
        <v>0</v>
      </c>
      <c r="S64">
        <v>0</v>
      </c>
      <c r="T64">
        <f t="shared" si="5"/>
        <v>5</v>
      </c>
      <c r="U64">
        <f t="shared" si="6"/>
        <v>5</v>
      </c>
      <c r="V64">
        <f t="shared" si="7"/>
        <v>10</v>
      </c>
      <c r="W64" t="str">
        <f t="shared" si="1"/>
        <v>psychic</v>
      </c>
      <c r="X64" t="s">
        <v>8</v>
      </c>
      <c r="Y64" t="s">
        <v>11</v>
      </c>
      <c r="Z64" t="s">
        <v>42</v>
      </c>
      <c r="AA64" t="str">
        <f>B65</f>
        <v>Chimecho</v>
      </c>
      <c r="AB64">
        <f t="shared" si="38"/>
        <v>6</v>
      </c>
      <c r="AC64" t="s">
        <v>496</v>
      </c>
      <c r="AD64" t="str">
        <f>VLOOKUP(AC64,moves!A:B,2,FALSE)</f>
        <v>psychic</v>
      </c>
      <c r="AE64">
        <f>VLOOKUP(AC64,moves!A:D,4,FALSE)</f>
        <v>2</v>
      </c>
      <c r="AF64" t="str">
        <f>IF(VLOOKUP(AC64,moves!A:F,5,FALSE)=0, "", VLOOKUP(AC64,moves!A:F,5,FALSE))</f>
        <v/>
      </c>
      <c r="AG64" t="str">
        <f>VLOOKUP(AC64,moves!A:F,6,FALSE)</f>
        <v>Inflict the [confused] status on the target.</v>
      </c>
      <c r="AH64">
        <v>0</v>
      </c>
      <c r="AI64">
        <v>0</v>
      </c>
      <c r="AJ64" t="str" cm="1">
        <f t="array" ref="AJ64">_xlfn.IFS(AH64=1, "starter", AI64=1, "legendary",V64&lt; 13, "weak",V64&lt; 17, "moderate", TRUE, "strong")</f>
        <v>weak</v>
      </c>
      <c r="AL64">
        <v>1</v>
      </c>
      <c r="AM64">
        <v>0</v>
      </c>
    </row>
    <row r="65" spans="1:39" x14ac:dyDescent="0.25">
      <c r="A65">
        <v>358</v>
      </c>
      <c r="B65" t="s">
        <v>130</v>
      </c>
      <c r="C65" t="str">
        <f t="shared" si="64"/>
        <v>Chimecho</v>
      </c>
      <c r="E65" t="s">
        <v>26</v>
      </c>
      <c r="G65">
        <v>75</v>
      </c>
      <c r="H65">
        <v>50</v>
      </c>
      <c r="I65">
        <v>80</v>
      </c>
      <c r="J65">
        <v>95</v>
      </c>
      <c r="K65">
        <v>90</v>
      </c>
      <c r="L65">
        <v>65</v>
      </c>
      <c r="M65" t="s">
        <v>358</v>
      </c>
      <c r="N65" t="s">
        <v>304</v>
      </c>
      <c r="O65" t="s">
        <v>302</v>
      </c>
      <c r="P65">
        <f t="shared" si="3"/>
        <v>7.85</v>
      </c>
      <c r="Q65">
        <f t="shared" si="4"/>
        <v>8.1</v>
      </c>
      <c r="R65">
        <v>0</v>
      </c>
      <c r="S65">
        <v>0</v>
      </c>
      <c r="T65">
        <f t="shared" si="5"/>
        <v>8</v>
      </c>
      <c r="U65">
        <f t="shared" si="6"/>
        <v>8</v>
      </c>
      <c r="V65">
        <f t="shared" si="7"/>
        <v>16</v>
      </c>
      <c r="W65" t="str">
        <f t="shared" si="1"/>
        <v>psychic</v>
      </c>
      <c r="X65" t="s">
        <v>8</v>
      </c>
      <c r="Y65" t="s">
        <v>11</v>
      </c>
      <c r="Z65" t="s">
        <v>42</v>
      </c>
      <c r="AB65" t="str">
        <f t="shared" si="38"/>
        <v/>
      </c>
      <c r="AC65" t="s">
        <v>517</v>
      </c>
      <c r="AD65" t="str">
        <f>VLOOKUP(AC65,moves!A:B,2,FALSE)</f>
        <v>normal</v>
      </c>
      <c r="AE65">
        <f>VLOOKUP(AC65,moves!A:D,4,FALSE)</f>
        <v>3</v>
      </c>
      <c r="AF65" t="str">
        <f>IF(VLOOKUP(AC65,moves!A:F,5,FALSE)=0, "", VLOOKUP(AC65,moves!A:F,5,FALSE))</f>
        <v/>
      </c>
      <c r="AG65" t="str">
        <f>VLOOKUP(AC65,moves!A:F,6,FALSE)</f>
        <v>Heal 1 damage and all status effects from the user and from all Pokémon in your party.</v>
      </c>
      <c r="AH65">
        <v>0</v>
      </c>
      <c r="AI65">
        <v>0</v>
      </c>
      <c r="AJ65" t="str" cm="1">
        <f t="array" ref="AJ65">_xlfn.IFS(AH65=1, "starter", AI65=1, "legendary",V65&lt; 13, "weak",V65&lt; 17, "moderate", TRUE, "strong")</f>
        <v>moderate</v>
      </c>
      <c r="AL65">
        <v>2</v>
      </c>
      <c r="AM65">
        <v>0</v>
      </c>
    </row>
    <row r="66" spans="1:39" x14ac:dyDescent="0.25">
      <c r="A66">
        <v>434</v>
      </c>
      <c r="B66" t="s">
        <v>188</v>
      </c>
      <c r="C66" t="str">
        <f t="shared" si="64"/>
        <v>Stunky</v>
      </c>
      <c r="E66" t="s">
        <v>3</v>
      </c>
      <c r="F66" t="s">
        <v>9</v>
      </c>
      <c r="G66">
        <v>63</v>
      </c>
      <c r="H66">
        <v>63</v>
      </c>
      <c r="I66">
        <v>47</v>
      </c>
      <c r="J66">
        <v>41</v>
      </c>
      <c r="K66">
        <v>41</v>
      </c>
      <c r="L66">
        <v>74</v>
      </c>
      <c r="M66" t="s">
        <v>359</v>
      </c>
      <c r="N66" t="s">
        <v>301</v>
      </c>
      <c r="O66" t="s">
        <v>302</v>
      </c>
      <c r="P66">
        <f t="shared" si="3"/>
        <v>6.5200000000000005</v>
      </c>
      <c r="Q66">
        <f t="shared" si="4"/>
        <v>5.16</v>
      </c>
      <c r="R66">
        <v>0</v>
      </c>
      <c r="S66">
        <v>0</v>
      </c>
      <c r="T66">
        <f t="shared" si="5"/>
        <v>7</v>
      </c>
      <c r="U66">
        <f t="shared" si="6"/>
        <v>5</v>
      </c>
      <c r="V66">
        <f t="shared" si="7"/>
        <v>12</v>
      </c>
      <c r="W66" t="str">
        <f t="shared" si="1"/>
        <v>poison</v>
      </c>
      <c r="X66" t="str">
        <f>IF(F66 = 0, "", F66)</f>
        <v>dark</v>
      </c>
      <c r="Y66" t="s">
        <v>4</v>
      </c>
      <c r="Z66" t="s">
        <v>8</v>
      </c>
      <c r="AA66" t="str">
        <f>B67</f>
        <v>Skuntank</v>
      </c>
      <c r="AB66">
        <f t="shared" si="38"/>
        <v>6</v>
      </c>
      <c r="AC66" t="s">
        <v>1213</v>
      </c>
      <c r="AD66" t="str">
        <f>VLOOKUP(AC66,moves!A:B,2,FALSE)</f>
        <v>poison</v>
      </c>
      <c r="AE66">
        <f>VLOOKUP(AC66,moves!A:D,4,FALSE)</f>
        <v>1</v>
      </c>
      <c r="AF66" t="str">
        <f>IF(VLOOKUP(AC66,moves!A:F,5,FALSE)=0, "", VLOOKUP(AC66,moves!A:F,5,FALSE))</f>
        <v/>
      </c>
      <c r="AG66" t="str">
        <f>VLOOKUP(AC66,moves!A:F,6,FALSE)</f>
        <v>Inflict the [poisoned] status on the target and another Pokémon in the target party.</v>
      </c>
      <c r="AH66">
        <v>0</v>
      </c>
      <c r="AI66">
        <v>0</v>
      </c>
      <c r="AJ66" t="str" cm="1">
        <f t="array" ref="AJ66">_xlfn.IFS(AH66=1, "starter", AI66=1, "legendary",V66&lt; 13, "weak",V66&lt; 17, "moderate", TRUE, "strong")</f>
        <v>weak</v>
      </c>
      <c r="AL66">
        <v>1</v>
      </c>
      <c r="AM66">
        <v>0</v>
      </c>
    </row>
    <row r="67" spans="1:39" x14ac:dyDescent="0.25">
      <c r="A67">
        <v>435</v>
      </c>
      <c r="B67" t="s">
        <v>189</v>
      </c>
      <c r="C67" t="str">
        <f t="shared" si="64"/>
        <v>Skuntank</v>
      </c>
      <c r="E67" t="s">
        <v>3</v>
      </c>
      <c r="F67" t="s">
        <v>9</v>
      </c>
      <c r="G67">
        <v>103</v>
      </c>
      <c r="H67">
        <v>93</v>
      </c>
      <c r="I67">
        <v>67</v>
      </c>
      <c r="J67">
        <v>71</v>
      </c>
      <c r="K67">
        <v>61</v>
      </c>
      <c r="L67">
        <v>84</v>
      </c>
      <c r="M67" t="s">
        <v>359</v>
      </c>
      <c r="N67" t="s">
        <v>301</v>
      </c>
      <c r="O67" t="s">
        <v>302</v>
      </c>
      <c r="P67">
        <f t="shared" si="3"/>
        <v>8.7199999999999989</v>
      </c>
      <c r="Q67">
        <f t="shared" si="4"/>
        <v>7.9599999999999991</v>
      </c>
      <c r="R67">
        <v>0</v>
      </c>
      <c r="S67">
        <v>0</v>
      </c>
      <c r="T67">
        <f t="shared" si="5"/>
        <v>9</v>
      </c>
      <c r="U67">
        <f t="shared" si="6"/>
        <v>8</v>
      </c>
      <c r="V67">
        <f t="shared" si="7"/>
        <v>17</v>
      </c>
      <c r="W67" t="str">
        <f t="shared" si="1"/>
        <v>poison</v>
      </c>
      <c r="X67" t="str">
        <f>IF(F67 = 0, "", F67)</f>
        <v>dark</v>
      </c>
      <c r="Y67" t="s">
        <v>4</v>
      </c>
      <c r="Z67" t="s">
        <v>8</v>
      </c>
      <c r="AB67" t="str">
        <f t="shared" si="38"/>
        <v/>
      </c>
      <c r="AC67" t="s">
        <v>520</v>
      </c>
      <c r="AD67" t="str">
        <f>VLOOKUP(AC67,moves!A:B,2,FALSE)</f>
        <v>dark</v>
      </c>
      <c r="AE67">
        <f>VLOOKUP(AC67,moves!A:D,4,FALSE)</f>
        <v>4</v>
      </c>
      <c r="AF67" t="str">
        <f>IF(VLOOKUP(AC67,moves!A:F,5,FALSE)=0, "", VLOOKUP(AC67,moves!A:F,5,FALSE))</f>
        <v/>
      </c>
      <c r="AG67" t="str">
        <f>VLOOKUP(AC67,moves!A:F,6,FALSE)</f>
        <v>[critical_hit]s deal +1 damage.</v>
      </c>
      <c r="AH67">
        <v>0</v>
      </c>
      <c r="AI67">
        <v>0</v>
      </c>
      <c r="AJ67" t="str" cm="1">
        <f t="array" ref="AJ67">_xlfn.IFS(AH67=1, "starter", AI67=1, "legendary",V67&lt; 13, "weak",V67&lt; 17, "moderate", TRUE, "strong")</f>
        <v>strong</v>
      </c>
      <c r="AL67">
        <v>2</v>
      </c>
      <c r="AM67">
        <v>0</v>
      </c>
    </row>
    <row r="68" spans="1:39" x14ac:dyDescent="0.25">
      <c r="A68">
        <v>436</v>
      </c>
      <c r="B68" t="s">
        <v>190</v>
      </c>
      <c r="C68" t="str">
        <f t="shared" si="64"/>
        <v>Bronzor</v>
      </c>
      <c r="E68" t="s">
        <v>39</v>
      </c>
      <c r="F68" t="s">
        <v>26</v>
      </c>
      <c r="G68">
        <v>57</v>
      </c>
      <c r="H68">
        <v>24</v>
      </c>
      <c r="I68">
        <v>86</v>
      </c>
      <c r="J68">
        <v>24</v>
      </c>
      <c r="K68">
        <v>86</v>
      </c>
      <c r="L68">
        <v>23</v>
      </c>
      <c r="M68" t="s">
        <v>360</v>
      </c>
      <c r="O68" t="s">
        <v>549</v>
      </c>
      <c r="P68">
        <f t="shared" si="3"/>
        <v>2.3600000000000003</v>
      </c>
      <c r="Q68">
        <f t="shared" si="4"/>
        <v>7.44</v>
      </c>
      <c r="R68">
        <v>0</v>
      </c>
      <c r="S68">
        <v>0</v>
      </c>
      <c r="T68">
        <f t="shared" si="5"/>
        <v>2</v>
      </c>
      <c r="U68">
        <f t="shared" si="6"/>
        <v>7</v>
      </c>
      <c r="V68">
        <f t="shared" si="7"/>
        <v>9</v>
      </c>
      <c r="W68" t="str">
        <f t="shared" si="1"/>
        <v>steel</v>
      </c>
      <c r="X68" t="str">
        <f>IF(F68 = 0, "", F68)</f>
        <v>psychic</v>
      </c>
      <c r="Y68" t="s">
        <v>8</v>
      </c>
      <c r="Z68" t="s">
        <v>13</v>
      </c>
      <c r="AA68" t="str">
        <f>B69</f>
        <v>Bronzong</v>
      </c>
      <c r="AB68">
        <f t="shared" si="38"/>
        <v>8</v>
      </c>
      <c r="AC68" t="s">
        <v>496</v>
      </c>
      <c r="AD68" t="str">
        <f>VLOOKUP(AC68,moves!A:B,2,FALSE)</f>
        <v>psychic</v>
      </c>
      <c r="AE68">
        <f>VLOOKUP(AC68,moves!A:D,4,FALSE)</f>
        <v>2</v>
      </c>
      <c r="AF68" t="str">
        <f>IF(VLOOKUP(AC68,moves!A:F,5,FALSE)=0, "", VLOOKUP(AC68,moves!A:F,5,FALSE))</f>
        <v/>
      </c>
      <c r="AG68" t="str">
        <f>VLOOKUP(AC68,moves!A:F,6,FALSE)</f>
        <v>Inflict the [confused] status on the target.</v>
      </c>
      <c r="AH68">
        <v>0</v>
      </c>
      <c r="AI68">
        <v>0</v>
      </c>
      <c r="AJ68" t="str" cm="1">
        <f t="array" ref="AJ68">_xlfn.IFS(AH68=1, "starter", AI68=1, "legendary",V68&lt; 13, "weak",V68&lt; 17, "moderate", TRUE, "strong")</f>
        <v>weak</v>
      </c>
      <c r="AL68">
        <v>1</v>
      </c>
      <c r="AM68">
        <v>0</v>
      </c>
    </row>
    <row r="69" spans="1:39" x14ac:dyDescent="0.25">
      <c r="A69">
        <v>437</v>
      </c>
      <c r="B69" t="s">
        <v>191</v>
      </c>
      <c r="C69" t="str">
        <f t="shared" si="64"/>
        <v>Bronzong</v>
      </c>
      <c r="E69" t="s">
        <v>39</v>
      </c>
      <c r="F69" t="s">
        <v>26</v>
      </c>
      <c r="G69">
        <v>67</v>
      </c>
      <c r="H69">
        <v>89</v>
      </c>
      <c r="I69">
        <v>116</v>
      </c>
      <c r="J69">
        <v>79</v>
      </c>
      <c r="K69">
        <v>116</v>
      </c>
      <c r="L69">
        <v>33</v>
      </c>
      <c r="M69" t="s">
        <v>361</v>
      </c>
      <c r="O69" t="s">
        <v>549</v>
      </c>
      <c r="P69">
        <f t="shared" si="3"/>
        <v>6.5600000000000005</v>
      </c>
      <c r="Q69">
        <f t="shared" si="4"/>
        <v>9.6399999999999988</v>
      </c>
      <c r="R69">
        <v>0</v>
      </c>
      <c r="S69">
        <v>0</v>
      </c>
      <c r="T69">
        <f t="shared" si="5"/>
        <v>7</v>
      </c>
      <c r="U69">
        <f t="shared" si="6"/>
        <v>10</v>
      </c>
      <c r="V69">
        <f t="shared" si="7"/>
        <v>17</v>
      </c>
      <c r="W69" t="str">
        <f t="shared" si="1"/>
        <v>steel</v>
      </c>
      <c r="X69" t="str">
        <f>IF(F69 = 0, "", F69)</f>
        <v>psychic</v>
      </c>
      <c r="Y69" t="s">
        <v>8</v>
      </c>
      <c r="Z69" t="s">
        <v>13</v>
      </c>
      <c r="AB69" t="str">
        <f t="shared" si="38"/>
        <v/>
      </c>
      <c r="AC69" t="s">
        <v>561</v>
      </c>
      <c r="AD69" t="str">
        <f>VLOOKUP(AC69,moves!A:B,2,FALSE)</f>
        <v>steel</v>
      </c>
      <c r="AE69" t="str">
        <f>VLOOKUP(AC69,moves!A:D,4,FALSE)</f>
        <v/>
      </c>
      <c r="AF69" t="str">
        <f>IF(VLOOKUP(AC69,moves!A:F,5,FALSE)=0, "", VLOOKUP(AC69,moves!A:F,5,FALSE))</f>
        <v>dynamic</v>
      </c>
      <c r="AG69" t="str">
        <f>VLOOKUP(AC69,moves!A:F,6,FALSE)</f>
        <v>Attack Strength is equal to half the base Health of the user, rounded down.</v>
      </c>
      <c r="AH69">
        <v>0</v>
      </c>
      <c r="AI69">
        <v>0</v>
      </c>
      <c r="AJ69" t="str" cm="1">
        <f t="array" ref="AJ69">_xlfn.IFS(AH69=1, "starter", AI69=1, "legendary",V69&lt; 13, "weak",V69&lt; 17, "moderate", TRUE, "strong")</f>
        <v>strong</v>
      </c>
      <c r="AL69">
        <v>2</v>
      </c>
      <c r="AM69">
        <v>0</v>
      </c>
    </row>
    <row r="70" spans="1:39" x14ac:dyDescent="0.25">
      <c r="A70">
        <v>438</v>
      </c>
      <c r="B70" t="s">
        <v>192</v>
      </c>
      <c r="C70" t="str">
        <f t="shared" si="64"/>
        <v>Bonsly</v>
      </c>
      <c r="E70" t="s">
        <v>33</v>
      </c>
      <c r="G70">
        <v>50</v>
      </c>
      <c r="H70">
        <v>80</v>
      </c>
      <c r="I70">
        <v>95</v>
      </c>
      <c r="J70">
        <v>10</v>
      </c>
      <c r="K70">
        <v>45</v>
      </c>
      <c r="L70">
        <v>10</v>
      </c>
      <c r="M70" t="s">
        <v>362</v>
      </c>
      <c r="N70" t="s">
        <v>298</v>
      </c>
      <c r="O70" t="s">
        <v>302</v>
      </c>
      <c r="P70">
        <f t="shared" si="3"/>
        <v>4.5</v>
      </c>
      <c r="Q70">
        <f t="shared" si="4"/>
        <v>6.2</v>
      </c>
      <c r="R70">
        <v>0</v>
      </c>
      <c r="S70">
        <v>0</v>
      </c>
      <c r="T70">
        <f t="shared" si="5"/>
        <v>5</v>
      </c>
      <c r="U70">
        <f t="shared" si="6"/>
        <v>6</v>
      </c>
      <c r="V70">
        <f t="shared" si="7"/>
        <v>11</v>
      </c>
      <c r="W70" t="str">
        <f t="shared" si="1"/>
        <v>rock</v>
      </c>
      <c r="X70" t="s">
        <v>8</v>
      </c>
      <c r="Y70" t="s">
        <v>22</v>
      </c>
      <c r="Z70" t="s">
        <v>2</v>
      </c>
      <c r="AA70" t="str">
        <f>B71</f>
        <v>Sudowoodo</v>
      </c>
      <c r="AB70">
        <f t="shared" si="38"/>
        <v>4</v>
      </c>
      <c r="AC70" t="s">
        <v>518</v>
      </c>
      <c r="AD70" t="str">
        <f>VLOOKUP(AC70,moves!A:B,2,FALSE)</f>
        <v>typeless</v>
      </c>
      <c r="AE70" t="str">
        <f>VLOOKUP(AC70,moves!A:D,4,FALSE)</f>
        <v/>
      </c>
      <c r="AF70" t="str">
        <f>IF(VLOOKUP(AC70,moves!A:F,5,FALSE)=0, "", VLOOKUP(AC70,moves!A:F,5,FALSE))</f>
        <v>dynamic</v>
      </c>
      <c r="AG70" t="str">
        <f>VLOOKUP(AC70,moves!A:F,6,FALSE)</f>
        <v>Select a Move from the target and then attack the target with this Move.</v>
      </c>
      <c r="AH70">
        <v>0</v>
      </c>
      <c r="AI70">
        <v>0</v>
      </c>
      <c r="AJ70" t="str" cm="1">
        <f t="array" ref="AJ70">_xlfn.IFS(AH70=1, "starter", AI70=1, "legendary",V70&lt; 13, "weak",V70&lt; 17, "moderate", TRUE, "strong")</f>
        <v>weak</v>
      </c>
      <c r="AL70">
        <v>1</v>
      </c>
      <c r="AM70">
        <v>0</v>
      </c>
    </row>
    <row r="71" spans="1:39" x14ac:dyDescent="0.25">
      <c r="A71">
        <v>185</v>
      </c>
      <c r="B71" t="s">
        <v>77</v>
      </c>
      <c r="C71" t="str">
        <f t="shared" si="64"/>
        <v>Sudowoodo</v>
      </c>
      <c r="E71" t="s">
        <v>33</v>
      </c>
      <c r="G71">
        <v>70</v>
      </c>
      <c r="H71">
        <v>100</v>
      </c>
      <c r="I71">
        <v>115</v>
      </c>
      <c r="J71">
        <v>30</v>
      </c>
      <c r="K71">
        <v>65</v>
      </c>
      <c r="L71">
        <v>30</v>
      </c>
      <c r="M71" t="s">
        <v>363</v>
      </c>
      <c r="N71" t="s">
        <v>298</v>
      </c>
      <c r="O71" t="s">
        <v>302</v>
      </c>
      <c r="P71">
        <f t="shared" si="3"/>
        <v>6.5</v>
      </c>
      <c r="Q71">
        <f t="shared" si="4"/>
        <v>8.1999999999999993</v>
      </c>
      <c r="R71">
        <v>0</v>
      </c>
      <c r="S71">
        <v>0</v>
      </c>
      <c r="T71">
        <f t="shared" si="5"/>
        <v>7</v>
      </c>
      <c r="U71">
        <f t="shared" si="6"/>
        <v>8</v>
      </c>
      <c r="V71">
        <f t="shared" si="7"/>
        <v>15</v>
      </c>
      <c r="W71" t="str">
        <f t="shared" si="1"/>
        <v>rock</v>
      </c>
      <c r="X71" t="s">
        <v>8</v>
      </c>
      <c r="Y71" t="s">
        <v>22</v>
      </c>
      <c r="Z71" t="s">
        <v>2</v>
      </c>
      <c r="AB71" t="str">
        <f t="shared" si="38"/>
        <v/>
      </c>
      <c r="AC71" t="s">
        <v>498</v>
      </c>
      <c r="AD71" t="str">
        <f>VLOOKUP(AC71,moves!A:B,2,FALSE)</f>
        <v>rock</v>
      </c>
      <c r="AE71">
        <f>VLOOKUP(AC71,moves!A:D,4,FALSE)</f>
        <v>5</v>
      </c>
      <c r="AF71" t="str">
        <f>IF(VLOOKUP(AC71,moves!A:F,5,FALSE)=0, "", VLOOKUP(AC71,moves!A:F,5,FALSE))</f>
        <v/>
      </c>
      <c r="AG71" t="str">
        <f>VLOOKUP(AC71,moves!A:F,6,FALSE)</f>
        <v>[critical_hit]s deal +1 damage but [status_symbol]s deal -1 damage.</v>
      </c>
      <c r="AH71">
        <v>0</v>
      </c>
      <c r="AI71">
        <v>0</v>
      </c>
      <c r="AJ71" t="str" cm="1">
        <f t="array" ref="AJ71">_xlfn.IFS(AH71=1, "starter", AI71=1, "legendary",V71&lt; 13, "weak",V71&lt; 17, "moderate", TRUE, "strong")</f>
        <v>moderate</v>
      </c>
      <c r="AL71">
        <v>2</v>
      </c>
      <c r="AM71">
        <v>0</v>
      </c>
    </row>
    <row r="72" spans="1:39" x14ac:dyDescent="0.25">
      <c r="A72">
        <v>439</v>
      </c>
      <c r="B72" t="s">
        <v>193</v>
      </c>
      <c r="C72" t="str">
        <f t="shared" si="64"/>
        <v>Mime Jr.</v>
      </c>
      <c r="E72" t="s">
        <v>26</v>
      </c>
      <c r="F72" t="s">
        <v>16</v>
      </c>
      <c r="G72">
        <v>20</v>
      </c>
      <c r="H72">
        <v>25</v>
      </c>
      <c r="I72">
        <v>45</v>
      </c>
      <c r="J72">
        <v>70</v>
      </c>
      <c r="K72">
        <v>90</v>
      </c>
      <c r="L72">
        <v>60</v>
      </c>
      <c r="M72" t="s">
        <v>364</v>
      </c>
      <c r="N72" t="s">
        <v>301</v>
      </c>
      <c r="O72" t="s">
        <v>299</v>
      </c>
      <c r="P72">
        <f t="shared" si="3"/>
        <v>6.15</v>
      </c>
      <c r="Q72">
        <f t="shared" si="4"/>
        <v>4.8499999999999996</v>
      </c>
      <c r="R72">
        <v>0</v>
      </c>
      <c r="S72">
        <v>0</v>
      </c>
      <c r="T72">
        <f t="shared" si="5"/>
        <v>6</v>
      </c>
      <c r="U72">
        <f t="shared" si="6"/>
        <v>5</v>
      </c>
      <c r="V72">
        <f t="shared" si="7"/>
        <v>11</v>
      </c>
      <c r="W72" t="str">
        <f t="shared" si="1"/>
        <v>psychic</v>
      </c>
      <c r="X72" t="str">
        <f>IF(F72 = 0, "", F72)</f>
        <v>fairy</v>
      </c>
      <c r="Y72" t="s">
        <v>8</v>
      </c>
      <c r="Z72" t="s">
        <v>14</v>
      </c>
      <c r="AA72" t="str">
        <f>B73</f>
        <v>Mr. Mime</v>
      </c>
      <c r="AB72">
        <f t="shared" si="38"/>
        <v>6</v>
      </c>
      <c r="AC72" t="s">
        <v>518</v>
      </c>
      <c r="AD72" t="str">
        <f>VLOOKUP(AC72,moves!A:B,2,FALSE)</f>
        <v>typeless</v>
      </c>
      <c r="AE72" t="str">
        <f>VLOOKUP(AC72,moves!A:D,4,FALSE)</f>
        <v/>
      </c>
      <c r="AF72" t="str">
        <f>IF(VLOOKUP(AC72,moves!A:F,5,FALSE)=0, "", VLOOKUP(AC72,moves!A:F,5,FALSE))</f>
        <v>dynamic</v>
      </c>
      <c r="AG72" t="str">
        <f>VLOOKUP(AC72,moves!A:F,6,FALSE)</f>
        <v>Select a Move from the target and then attack the target with this Move.</v>
      </c>
      <c r="AH72">
        <v>0</v>
      </c>
      <c r="AI72">
        <v>0</v>
      </c>
      <c r="AJ72" t="str" cm="1">
        <f t="array" ref="AJ72">_xlfn.IFS(AH72=1, "starter", AI72=1, "legendary",V72&lt; 13, "weak",V72&lt; 17, "moderate", TRUE, "strong")</f>
        <v>weak</v>
      </c>
      <c r="AL72">
        <v>1</v>
      </c>
      <c r="AM72">
        <v>0</v>
      </c>
    </row>
    <row r="73" spans="1:39" x14ac:dyDescent="0.25">
      <c r="A73">
        <v>122</v>
      </c>
      <c r="B73" t="s">
        <v>53</v>
      </c>
      <c r="C73" t="str">
        <f t="shared" si="64"/>
        <v>Mr. Mime</v>
      </c>
      <c r="E73" t="s">
        <v>26</v>
      </c>
      <c r="F73" t="s">
        <v>16</v>
      </c>
      <c r="G73">
        <v>40</v>
      </c>
      <c r="H73">
        <v>45</v>
      </c>
      <c r="I73">
        <v>65</v>
      </c>
      <c r="J73">
        <v>100</v>
      </c>
      <c r="K73">
        <v>120</v>
      </c>
      <c r="L73">
        <v>90</v>
      </c>
      <c r="M73" t="s">
        <v>365</v>
      </c>
      <c r="N73" t="s">
        <v>301</v>
      </c>
      <c r="O73" t="s">
        <v>299</v>
      </c>
      <c r="P73">
        <f t="shared" si="3"/>
        <v>9.0500000000000007</v>
      </c>
      <c r="Q73">
        <f t="shared" si="4"/>
        <v>7.15</v>
      </c>
      <c r="R73">
        <v>0</v>
      </c>
      <c r="S73">
        <v>0</v>
      </c>
      <c r="T73">
        <f t="shared" si="5"/>
        <v>9</v>
      </c>
      <c r="U73">
        <f t="shared" si="6"/>
        <v>7</v>
      </c>
      <c r="V73">
        <f t="shared" si="7"/>
        <v>16</v>
      </c>
      <c r="W73" t="str">
        <f t="shared" si="1"/>
        <v>psychic</v>
      </c>
      <c r="X73" t="str">
        <f>IF(F73 = 0, "", F73)</f>
        <v>fairy</v>
      </c>
      <c r="Y73" t="s">
        <v>8</v>
      </c>
      <c r="Z73" t="s">
        <v>14</v>
      </c>
      <c r="AB73" t="str">
        <f t="shared" si="38"/>
        <v/>
      </c>
      <c r="AC73" t="s">
        <v>830</v>
      </c>
      <c r="AD73" t="str">
        <f>VLOOKUP(AC73,moves!A:B,2,FALSE)</f>
        <v>psychic</v>
      </c>
      <c r="AE73">
        <f>VLOOKUP(AC73,moves!A:D,4,FALSE)</f>
        <v>3</v>
      </c>
      <c r="AF73" t="str">
        <f>IF(VLOOKUP(AC73,moves!A:F,5,FALSE)=0, "", VLOOKUP(AC73,moves!A:F,5,FALSE))</f>
        <v>surge</v>
      </c>
      <c r="AG73" t="str">
        <f>VLOOKUP(AC73,moves!A:F,6,FALSE)</f>
        <v>When the user is next attacked, all [critical_hit]s damage the attacker instead of the user.</v>
      </c>
      <c r="AH73">
        <v>0</v>
      </c>
      <c r="AI73">
        <v>0</v>
      </c>
      <c r="AJ73" t="str" cm="1">
        <f t="array" ref="AJ73">_xlfn.IFS(AH73=1, "starter", AI73=1, "legendary",V73&lt; 13, "weak",V73&lt; 17, "moderate", TRUE, "strong")</f>
        <v>moderate</v>
      </c>
      <c r="AL73">
        <v>2</v>
      </c>
      <c r="AM73">
        <v>0</v>
      </c>
    </row>
    <row r="74" spans="1:39" x14ac:dyDescent="0.25">
      <c r="A74">
        <v>440</v>
      </c>
      <c r="B74" t="s">
        <v>194</v>
      </c>
      <c r="C74" t="str">
        <f t="shared" si="64"/>
        <v>Happiny</v>
      </c>
      <c r="E74" t="s">
        <v>8</v>
      </c>
      <c r="G74">
        <v>100</v>
      </c>
      <c r="H74">
        <v>5</v>
      </c>
      <c r="I74">
        <v>5</v>
      </c>
      <c r="J74">
        <v>15</v>
      </c>
      <c r="K74">
        <v>65</v>
      </c>
      <c r="L74">
        <v>30</v>
      </c>
      <c r="M74" t="s">
        <v>366</v>
      </c>
      <c r="N74" t="s">
        <v>298</v>
      </c>
      <c r="O74" t="s">
        <v>302</v>
      </c>
      <c r="P74">
        <f t="shared" si="3"/>
        <v>2</v>
      </c>
      <c r="Q74">
        <f t="shared" si="4"/>
        <v>6.1</v>
      </c>
      <c r="R74">
        <v>0</v>
      </c>
      <c r="S74">
        <v>0</v>
      </c>
      <c r="T74">
        <f t="shared" si="5"/>
        <v>2</v>
      </c>
      <c r="U74">
        <f t="shared" si="6"/>
        <v>6</v>
      </c>
      <c r="V74">
        <f t="shared" si="7"/>
        <v>8</v>
      </c>
      <c r="W74" t="str">
        <f t="shared" si="1"/>
        <v>normal</v>
      </c>
      <c r="X74" t="s">
        <v>16</v>
      </c>
      <c r="Y74" t="s">
        <v>3</v>
      </c>
      <c r="Z74" t="s">
        <v>26</v>
      </c>
      <c r="AA74" t="str">
        <f>B75</f>
        <v>Chansey</v>
      </c>
      <c r="AB74">
        <f t="shared" si="38"/>
        <v>6</v>
      </c>
      <c r="AC74" t="s">
        <v>835</v>
      </c>
      <c r="AD74" t="str">
        <f>VLOOKUP(AC74,moves!A:B,2,FALSE)</f>
        <v>fairy</v>
      </c>
      <c r="AE74">
        <f>VLOOKUP(AC74,moves!A:D,4,FALSE)</f>
        <v>1</v>
      </c>
      <c r="AF74" t="str">
        <f>IF(VLOOKUP(AC74,moves!A:F,5,FALSE)=0, "", VLOOKUP(AC74,moves!A:F,5,FALSE))</f>
        <v>agile</v>
      </c>
      <c r="AG74" t="str">
        <f>VLOOKUP(AC74,moves!A:F,6,FALSE)</f>
        <v>Inflict the [confused] status on the target.</v>
      </c>
      <c r="AH74">
        <v>0</v>
      </c>
      <c r="AI74">
        <v>0</v>
      </c>
      <c r="AJ74" t="str" cm="1">
        <f t="array" ref="AJ74">_xlfn.IFS(AH74=1, "starter", AI74=1, "legendary",V74&lt; 13, "weak",V74&lt; 17, "moderate", TRUE, "strong")</f>
        <v>weak</v>
      </c>
      <c r="AL74">
        <v>1</v>
      </c>
      <c r="AM74">
        <v>0</v>
      </c>
    </row>
    <row r="75" spans="1:39" x14ac:dyDescent="0.25">
      <c r="A75">
        <v>113</v>
      </c>
      <c r="B75" t="s">
        <v>51</v>
      </c>
      <c r="C75" t="str">
        <f t="shared" si="64"/>
        <v>Chansey</v>
      </c>
      <c r="E75" t="s">
        <v>8</v>
      </c>
      <c r="G75">
        <v>250</v>
      </c>
      <c r="H75">
        <v>5</v>
      </c>
      <c r="I75">
        <v>5</v>
      </c>
      <c r="J75">
        <v>35</v>
      </c>
      <c r="K75">
        <v>105</v>
      </c>
      <c r="L75">
        <v>50</v>
      </c>
      <c r="M75" t="s">
        <v>367</v>
      </c>
      <c r="N75" t="s">
        <v>298</v>
      </c>
      <c r="O75" t="s">
        <v>302</v>
      </c>
      <c r="P75">
        <f t="shared" si="3"/>
        <v>3.8</v>
      </c>
      <c r="Q75">
        <f t="shared" si="4"/>
        <v>13.3</v>
      </c>
      <c r="R75">
        <v>0</v>
      </c>
      <c r="S75">
        <v>-2</v>
      </c>
      <c r="T75">
        <f t="shared" si="5"/>
        <v>4</v>
      </c>
      <c r="U75">
        <f>ROUND(Q75,0)+S75</f>
        <v>11</v>
      </c>
      <c r="V75">
        <f t="shared" si="7"/>
        <v>15</v>
      </c>
      <c r="W75" t="str">
        <f t="shared" si="1"/>
        <v>normal</v>
      </c>
      <c r="X75" t="s">
        <v>16</v>
      </c>
      <c r="Y75" t="s">
        <v>3</v>
      </c>
      <c r="Z75" t="s">
        <v>26</v>
      </c>
      <c r="AA75" t="str">
        <f>B76</f>
        <v>Blissey</v>
      </c>
      <c r="AB75">
        <f t="shared" si="38"/>
        <v>8</v>
      </c>
      <c r="AC75" t="s">
        <v>522</v>
      </c>
      <c r="AD75" t="str">
        <f>VLOOKUP(AC75,moves!A:B,2,FALSE)</f>
        <v>normal</v>
      </c>
      <c r="AE75">
        <f>VLOOKUP(AC75,moves!A:D,4,FALSE)</f>
        <v>1</v>
      </c>
      <c r="AF75" t="str">
        <f>IF(VLOOKUP(AC75,moves!A:F,5,FALSE)=0, "", VLOOKUP(AC75,moves!A:F,5,FALSE))</f>
        <v>surge</v>
      </c>
      <c r="AG75" t="str">
        <f>VLOOKUP(AC75,moves!A:F,6,FALSE)</f>
        <v>Heal 5 damage.</v>
      </c>
      <c r="AH75">
        <v>0</v>
      </c>
      <c r="AI75">
        <v>0</v>
      </c>
      <c r="AJ75" t="str" cm="1">
        <f t="array" ref="AJ75">_xlfn.IFS(AH75=1, "starter", AI75=1, "legendary",V75&lt; 13, "weak",V75&lt; 17, "moderate", TRUE, "strong")</f>
        <v>moderate</v>
      </c>
      <c r="AL75">
        <v>2</v>
      </c>
      <c r="AM75">
        <v>0</v>
      </c>
    </row>
    <row r="76" spans="1:39" x14ac:dyDescent="0.25">
      <c r="A76">
        <v>242</v>
      </c>
      <c r="B76" t="s">
        <v>106</v>
      </c>
      <c r="C76" t="str">
        <f t="shared" si="64"/>
        <v>Blissey</v>
      </c>
      <c r="E76" t="s">
        <v>8</v>
      </c>
      <c r="G76">
        <v>255</v>
      </c>
      <c r="H76">
        <v>10</v>
      </c>
      <c r="I76">
        <v>10</v>
      </c>
      <c r="J76">
        <v>75</v>
      </c>
      <c r="K76">
        <v>135</v>
      </c>
      <c r="L76">
        <v>55</v>
      </c>
      <c r="M76" t="s">
        <v>368</v>
      </c>
      <c r="N76" t="s">
        <v>298</v>
      </c>
      <c r="O76" t="s">
        <v>302</v>
      </c>
      <c r="P76">
        <f t="shared" si="3"/>
        <v>6.05</v>
      </c>
      <c r="Q76">
        <f t="shared" si="4"/>
        <v>14.55</v>
      </c>
      <c r="R76">
        <v>0</v>
      </c>
      <c r="S76">
        <v>-1</v>
      </c>
      <c r="T76">
        <f t="shared" si="5"/>
        <v>6</v>
      </c>
      <c r="U76">
        <f t="shared" si="6"/>
        <v>14</v>
      </c>
      <c r="V76">
        <f t="shared" si="7"/>
        <v>20</v>
      </c>
      <c r="W76" t="str">
        <f t="shared" ref="W76:W149" si="65">E76</f>
        <v>normal</v>
      </c>
      <c r="X76" t="s">
        <v>16</v>
      </c>
      <c r="Y76" t="s">
        <v>3</v>
      </c>
      <c r="Z76" t="s">
        <v>26</v>
      </c>
      <c r="AB76" t="str">
        <f t="shared" ref="AB76:AB139" si="66">IF(ISBLANK(AA76), "", ROUND(( (V77-6)*(V77-7) - (V76-6)*(V76-7) )/15, 0) + 1)</f>
        <v/>
      </c>
      <c r="AC76" t="s">
        <v>580</v>
      </c>
      <c r="AD76" t="str">
        <f>VLOOKUP(AC76,moves!A:B,2,FALSE)</f>
        <v>normal</v>
      </c>
      <c r="AE76">
        <f>VLOOKUP(AC76,moves!A:D,4,FALSE)</f>
        <v>5</v>
      </c>
      <c r="AF76" t="str">
        <f>IF(VLOOKUP(AC76,moves!A:F,5,FALSE)=0, "", VLOOKUP(AC76,moves!A:F,5,FALSE))</f>
        <v/>
      </c>
      <c r="AG76" t="str">
        <f>VLOOKUP(AC76,moves!A:F,6,FALSE)</f>
        <v>[critical_hit]s deal +2 damage but for each [critical_hit] rolled: The user takes 2 damage.</v>
      </c>
      <c r="AH76">
        <v>0</v>
      </c>
      <c r="AI76">
        <v>0</v>
      </c>
      <c r="AJ76" t="str" cm="1">
        <f t="array" ref="AJ76">_xlfn.IFS(AH76=1, "starter", AI76=1, "legendary",V76&lt; 13, "weak",V76&lt; 17, "moderate", TRUE, "strong")</f>
        <v>strong</v>
      </c>
      <c r="AL76">
        <v>3</v>
      </c>
      <c r="AM76">
        <v>0</v>
      </c>
    </row>
    <row r="77" spans="1:39" x14ac:dyDescent="0.25">
      <c r="A77">
        <v>441</v>
      </c>
      <c r="B77" t="s">
        <v>195</v>
      </c>
      <c r="C77" t="str">
        <f t="shared" si="64"/>
        <v>Chatot</v>
      </c>
      <c r="E77" t="s">
        <v>8</v>
      </c>
      <c r="F77" t="s">
        <v>5</v>
      </c>
      <c r="G77">
        <v>76</v>
      </c>
      <c r="H77">
        <v>65</v>
      </c>
      <c r="I77">
        <v>45</v>
      </c>
      <c r="J77">
        <v>92</v>
      </c>
      <c r="K77">
        <v>42</v>
      </c>
      <c r="L77">
        <v>91</v>
      </c>
      <c r="M77" t="s">
        <v>369</v>
      </c>
      <c r="N77" t="s">
        <v>301</v>
      </c>
      <c r="O77" t="s">
        <v>302</v>
      </c>
      <c r="P77">
        <f t="shared" ref="P77:P150" si="67">(0.4*L77 + 0.5*MAX(H77,J77) + 0.1*MIN(H77,J77)) / 10</f>
        <v>8.89</v>
      </c>
      <c r="Q77">
        <f t="shared" ref="Q77:Q150" si="68">(0.4*G77 + 0.3*I77 + 0.3*K77) / 10</f>
        <v>5.65</v>
      </c>
      <c r="R77">
        <v>0</v>
      </c>
      <c r="S77">
        <v>0</v>
      </c>
      <c r="T77">
        <f t="shared" ref="T77:T150" si="69">ROUND(P77,0)+R77</f>
        <v>9</v>
      </c>
      <c r="U77">
        <f t="shared" ref="U77:U150" si="70">ROUND(Q77,0)+S77</f>
        <v>6</v>
      </c>
      <c r="V77">
        <f t="shared" ref="V77:V150" si="71">SUM(ROUND(T77,0),ROUND(U77,0))</f>
        <v>15</v>
      </c>
      <c r="W77" t="str">
        <f t="shared" si="65"/>
        <v>normal</v>
      </c>
      <c r="X77" t="str">
        <f t="shared" ref="X77:X82" si="72">IF(F77 = 0, "", F77)</f>
        <v>flying</v>
      </c>
      <c r="Y77" t="s">
        <v>4</v>
      </c>
      <c r="Z77" t="s">
        <v>7</v>
      </c>
      <c r="AB77" t="str">
        <f t="shared" si="66"/>
        <v/>
      </c>
      <c r="AC77" t="s">
        <v>523</v>
      </c>
      <c r="AD77" t="str">
        <f>VLOOKUP(AC77,moves!A:B,2,FALSE)</f>
        <v>flying</v>
      </c>
      <c r="AE77">
        <f>VLOOKUP(AC77,moves!A:D,4,FALSE)</f>
        <v>2</v>
      </c>
      <c r="AF77" t="str">
        <f>IF(VLOOKUP(AC77,moves!A:F,5,FALSE)=0, "", VLOOKUP(AC77,moves!A:F,5,FALSE))</f>
        <v/>
      </c>
      <c r="AG77" t="str">
        <f>VLOOKUP(AC77,moves!A:F,6,FALSE)</f>
        <v>Inflict the [confused] status on the target and all Pokémon in the target party.</v>
      </c>
      <c r="AH77">
        <v>0</v>
      </c>
      <c r="AI77">
        <v>0</v>
      </c>
      <c r="AJ77" t="str" cm="1">
        <f t="array" ref="AJ77">_xlfn.IFS(AH77=1, "starter", AI77=1, "legendary",V77&lt; 13, "weak",V77&lt; 17, "moderate", TRUE, "strong")</f>
        <v>moderate</v>
      </c>
      <c r="AL77">
        <v>1</v>
      </c>
      <c r="AM77">
        <v>0</v>
      </c>
    </row>
    <row r="78" spans="1:39" x14ac:dyDescent="0.25">
      <c r="A78">
        <v>442</v>
      </c>
      <c r="B78" t="s">
        <v>196</v>
      </c>
      <c r="C78" t="str">
        <f t="shared" si="64"/>
        <v>Spiritomb</v>
      </c>
      <c r="E78" t="s">
        <v>42</v>
      </c>
      <c r="F78" t="s">
        <v>9</v>
      </c>
      <c r="G78">
        <v>50</v>
      </c>
      <c r="H78">
        <v>92</v>
      </c>
      <c r="I78">
        <v>108</v>
      </c>
      <c r="J78">
        <v>92</v>
      </c>
      <c r="K78">
        <v>108</v>
      </c>
      <c r="L78">
        <v>35</v>
      </c>
      <c r="M78" t="s">
        <v>370</v>
      </c>
      <c r="N78" t="s">
        <v>301</v>
      </c>
      <c r="O78" t="s">
        <v>300</v>
      </c>
      <c r="P78">
        <f t="shared" si="67"/>
        <v>6.92</v>
      </c>
      <c r="Q78">
        <f t="shared" si="68"/>
        <v>8.48</v>
      </c>
      <c r="R78">
        <v>1</v>
      </c>
      <c r="S78">
        <v>4</v>
      </c>
      <c r="T78">
        <f t="shared" si="69"/>
        <v>8</v>
      </c>
      <c r="U78">
        <f t="shared" si="70"/>
        <v>12</v>
      </c>
      <c r="V78">
        <f t="shared" si="71"/>
        <v>20</v>
      </c>
      <c r="W78" t="str">
        <f t="shared" si="65"/>
        <v>ghost</v>
      </c>
      <c r="X78" t="str">
        <f t="shared" si="72"/>
        <v>dark</v>
      </c>
      <c r="Y78" t="s">
        <v>4</v>
      </c>
      <c r="Z78" t="s">
        <v>26</v>
      </c>
      <c r="AB78" t="str">
        <f t="shared" si="66"/>
        <v/>
      </c>
      <c r="AC78" t="s">
        <v>1233</v>
      </c>
      <c r="AD78" t="str">
        <f>VLOOKUP(AC78,moves!A:B,2,FALSE)</f>
        <v>dark</v>
      </c>
      <c r="AE78">
        <f>VLOOKUP(AC78,moves!A:D,4,FALSE)</f>
        <v>5</v>
      </c>
      <c r="AF78" t="str">
        <f>IF(VLOOKUP(AC78,moves!A:F,5,FALSE)=0, "", VLOOKUP(AC78,moves!A:F,5,FALSE))</f>
        <v/>
      </c>
      <c r="AG78" t="str">
        <f>VLOOKUP(AC78,moves!A:F,6,FALSE)</f>
        <v>Heal damage equal to the current Battle Fatigue of the target.</v>
      </c>
      <c r="AH78">
        <v>0</v>
      </c>
      <c r="AI78">
        <v>1</v>
      </c>
      <c r="AJ78" t="str" cm="1">
        <f t="array" ref="AJ78">_xlfn.IFS(AH78=1, "starter", AI78=1, "legendary",V78&lt; 13, "weak",V78&lt; 17, "moderate", TRUE, "strong")</f>
        <v>legendary</v>
      </c>
      <c r="AL78">
        <v>1</v>
      </c>
      <c r="AM78">
        <v>0</v>
      </c>
    </row>
    <row r="79" spans="1:39" x14ac:dyDescent="0.25">
      <c r="A79">
        <v>443</v>
      </c>
      <c r="B79" t="s">
        <v>197</v>
      </c>
      <c r="C79" t="str">
        <f t="shared" si="64"/>
        <v>Gible</v>
      </c>
      <c r="E79" t="s">
        <v>67</v>
      </c>
      <c r="F79" t="s">
        <v>13</v>
      </c>
      <c r="G79">
        <v>58</v>
      </c>
      <c r="H79">
        <v>70</v>
      </c>
      <c r="I79">
        <v>45</v>
      </c>
      <c r="J79">
        <v>40</v>
      </c>
      <c r="K79">
        <v>45</v>
      </c>
      <c r="L79">
        <v>42</v>
      </c>
      <c r="M79" t="s">
        <v>371</v>
      </c>
      <c r="N79" t="s">
        <v>304</v>
      </c>
      <c r="O79" t="s">
        <v>300</v>
      </c>
      <c r="P79">
        <f t="shared" si="67"/>
        <v>5.58</v>
      </c>
      <c r="Q79">
        <f t="shared" si="68"/>
        <v>5.0200000000000005</v>
      </c>
      <c r="R79">
        <v>0</v>
      </c>
      <c r="S79">
        <v>0</v>
      </c>
      <c r="T79">
        <f t="shared" si="69"/>
        <v>6</v>
      </c>
      <c r="U79">
        <f t="shared" si="70"/>
        <v>5</v>
      </c>
      <c r="V79">
        <f t="shared" si="71"/>
        <v>11</v>
      </c>
      <c r="W79" t="str">
        <f t="shared" si="65"/>
        <v>dragon</v>
      </c>
      <c r="X79" t="str">
        <f t="shared" si="72"/>
        <v>ground</v>
      </c>
      <c r="Y79" t="s">
        <v>9</v>
      </c>
      <c r="Z79" t="s">
        <v>4</v>
      </c>
      <c r="AA79" t="str">
        <f>B80</f>
        <v>Gabite</v>
      </c>
      <c r="AB79">
        <f t="shared" si="66"/>
        <v>3</v>
      </c>
      <c r="AC79" t="s">
        <v>526</v>
      </c>
      <c r="AD79" t="str">
        <f>VLOOKUP(AC79,moves!A:B,2,FALSE)</f>
        <v>dark</v>
      </c>
      <c r="AE79">
        <f>VLOOKUP(AC79,moves!A:D,4,FALSE)</f>
        <v>3</v>
      </c>
      <c r="AF79" t="str">
        <f>IF(VLOOKUP(AC79,moves!A:F,5,FALSE)=0, "", VLOOKUP(AC79,moves!A:F,5,FALSE))</f>
        <v/>
      </c>
      <c r="AG79" t="str">
        <f>VLOOKUP(AC79,moves!A:F,6,FALSE)</f>
        <v>When the target is next attacked, add 1 [regular_hit] to the roll.</v>
      </c>
      <c r="AH79">
        <v>0</v>
      </c>
      <c r="AI79">
        <v>0</v>
      </c>
      <c r="AJ79" t="str" cm="1">
        <f t="array" ref="AJ79">_xlfn.IFS(AH79=1, "starter", AI79=1, "legendary",V79&lt; 13, "weak",V79&lt; 17, "moderate", TRUE, "strong")</f>
        <v>weak</v>
      </c>
      <c r="AL79">
        <v>1</v>
      </c>
      <c r="AM79">
        <v>0</v>
      </c>
    </row>
    <row r="80" spans="1:39" x14ac:dyDescent="0.25">
      <c r="A80">
        <v>444</v>
      </c>
      <c r="B80" t="s">
        <v>198</v>
      </c>
      <c r="C80" t="str">
        <f t="shared" si="64"/>
        <v>Gabite</v>
      </c>
      <c r="E80" t="s">
        <v>67</v>
      </c>
      <c r="F80" t="s">
        <v>13</v>
      </c>
      <c r="G80">
        <v>68</v>
      </c>
      <c r="H80">
        <v>90</v>
      </c>
      <c r="I80">
        <v>65</v>
      </c>
      <c r="J80">
        <v>50</v>
      </c>
      <c r="K80">
        <v>55</v>
      </c>
      <c r="L80">
        <v>82</v>
      </c>
      <c r="M80" t="s">
        <v>372</v>
      </c>
      <c r="N80" t="s">
        <v>304</v>
      </c>
      <c r="O80" t="s">
        <v>300</v>
      </c>
      <c r="P80">
        <f t="shared" si="67"/>
        <v>8.2800000000000011</v>
      </c>
      <c r="Q80">
        <f t="shared" si="68"/>
        <v>6.32</v>
      </c>
      <c r="R80">
        <v>0</v>
      </c>
      <c r="S80">
        <v>0</v>
      </c>
      <c r="T80">
        <f t="shared" si="69"/>
        <v>8</v>
      </c>
      <c r="U80">
        <f t="shared" si="70"/>
        <v>6</v>
      </c>
      <c r="V80">
        <f t="shared" si="71"/>
        <v>14</v>
      </c>
      <c r="W80" t="str">
        <f t="shared" si="65"/>
        <v>dragon</v>
      </c>
      <c r="X80" t="str">
        <f t="shared" si="72"/>
        <v>ground</v>
      </c>
      <c r="Y80" t="s">
        <v>9</v>
      </c>
      <c r="Z80" t="s">
        <v>4</v>
      </c>
      <c r="AA80" t="str">
        <f>B81</f>
        <v>Garchomp</v>
      </c>
      <c r="AB80">
        <f t="shared" si="66"/>
        <v>9</v>
      </c>
      <c r="AC80" t="s">
        <v>583</v>
      </c>
      <c r="AD80" t="str">
        <f>VLOOKUP(AC80,moves!A:B,2,FALSE)</f>
        <v>ground</v>
      </c>
      <c r="AE80">
        <f>VLOOKUP(AC80,moves!A:D,4,FALSE)</f>
        <v>3</v>
      </c>
      <c r="AF80" t="str">
        <f>IF(VLOOKUP(AC80,moves!A:F,5,FALSE)=0, "", VLOOKUP(AC80,moves!A:F,5,FALSE))</f>
        <v/>
      </c>
      <c r="AG80" t="str">
        <f>VLOOKUP(AC80,moves!A:F,6,FALSE)</f>
        <v>When the target is next attacked, add 2 [status_symbol]s to the roll.</v>
      </c>
      <c r="AH80">
        <v>0</v>
      </c>
      <c r="AI80">
        <v>0</v>
      </c>
      <c r="AJ80" t="str" cm="1">
        <f t="array" ref="AJ80">_xlfn.IFS(AH80=1, "starter", AI80=1, "legendary",V80&lt; 13, "weak",V80&lt; 17, "moderate", TRUE, "strong")</f>
        <v>moderate</v>
      </c>
      <c r="AL80">
        <v>2</v>
      </c>
      <c r="AM80">
        <v>0</v>
      </c>
    </row>
    <row r="81" spans="1:39" x14ac:dyDescent="0.25">
      <c r="A81">
        <v>445</v>
      </c>
      <c r="B81" t="s">
        <v>199</v>
      </c>
      <c r="C81" t="str">
        <f t="shared" si="64"/>
        <v>Garchomp</v>
      </c>
      <c r="E81" t="s">
        <v>67</v>
      </c>
      <c r="F81" t="s">
        <v>13</v>
      </c>
      <c r="G81">
        <v>108</v>
      </c>
      <c r="H81">
        <v>130</v>
      </c>
      <c r="I81">
        <v>95</v>
      </c>
      <c r="J81">
        <v>80</v>
      </c>
      <c r="K81">
        <v>85</v>
      </c>
      <c r="L81">
        <v>102</v>
      </c>
      <c r="M81" t="s">
        <v>373</v>
      </c>
      <c r="N81" t="s">
        <v>304</v>
      </c>
      <c r="O81" t="s">
        <v>300</v>
      </c>
      <c r="P81">
        <f t="shared" si="67"/>
        <v>11.38</v>
      </c>
      <c r="Q81">
        <f t="shared" si="68"/>
        <v>9.7200000000000006</v>
      </c>
      <c r="R81">
        <v>0</v>
      </c>
      <c r="S81">
        <v>-1</v>
      </c>
      <c r="T81">
        <f t="shared" si="69"/>
        <v>11</v>
      </c>
      <c r="U81">
        <f t="shared" si="70"/>
        <v>9</v>
      </c>
      <c r="V81">
        <f t="shared" si="71"/>
        <v>20</v>
      </c>
      <c r="W81" t="str">
        <f t="shared" si="65"/>
        <v>dragon</v>
      </c>
      <c r="X81" t="str">
        <f t="shared" si="72"/>
        <v>ground</v>
      </c>
      <c r="Y81" t="s">
        <v>9</v>
      </c>
      <c r="Z81" t="s">
        <v>4</v>
      </c>
      <c r="AB81" t="str">
        <f t="shared" si="66"/>
        <v/>
      </c>
      <c r="AC81" t="s">
        <v>585</v>
      </c>
      <c r="AD81" t="str">
        <f>VLOOKUP(AC81,moves!A:B,2,FALSE)</f>
        <v>dragon</v>
      </c>
      <c r="AE81">
        <f>VLOOKUP(AC81,moves!A:D,4,FALSE)</f>
        <v>5</v>
      </c>
      <c r="AF81" t="str">
        <f>IF(VLOOKUP(AC81,moves!A:F,5,FALSE)=0, "", VLOOKUP(AC81,moves!A:F,5,FALSE))</f>
        <v/>
      </c>
      <c r="AG81" t="str">
        <f>VLOOKUP(AC81,moves!A:F,6,FALSE)</f>
        <v>If 2 or more [status_symbol]s are rolled: Inflict the [paralysed] status on the target.</v>
      </c>
      <c r="AH81">
        <v>0</v>
      </c>
      <c r="AI81">
        <v>0</v>
      </c>
      <c r="AJ81" t="str" cm="1">
        <f t="array" ref="AJ81">_xlfn.IFS(AH81=1, "starter", AI81=1, "legendary",V81&lt; 13, "weak",V81&lt; 17, "moderate", TRUE, "strong")</f>
        <v>strong</v>
      </c>
      <c r="AL81">
        <v>3</v>
      </c>
      <c r="AM81">
        <v>0</v>
      </c>
    </row>
    <row r="82" spans="1:39" x14ac:dyDescent="0.25">
      <c r="A82" t="s">
        <v>1139</v>
      </c>
      <c r="B82" t="s">
        <v>1159</v>
      </c>
      <c r="C82" t="s">
        <v>199</v>
      </c>
      <c r="D82" t="s">
        <v>1155</v>
      </c>
      <c r="E82" t="s">
        <v>13</v>
      </c>
      <c r="F82" t="s">
        <v>6</v>
      </c>
      <c r="G82">
        <v>108</v>
      </c>
      <c r="H82">
        <v>130</v>
      </c>
      <c r="I82">
        <v>95</v>
      </c>
      <c r="J82">
        <v>80</v>
      </c>
      <c r="K82">
        <v>85</v>
      </c>
      <c r="L82">
        <v>102</v>
      </c>
      <c r="M82" t="s">
        <v>591</v>
      </c>
      <c r="O82" t="s">
        <v>1146</v>
      </c>
      <c r="P82">
        <f t="shared" ref="P82" si="73">(0.4*L82 + 0.5*MAX(H82,J82) + 0.1*MIN(H82,J82)) / 10</f>
        <v>11.38</v>
      </c>
      <c r="Q82">
        <f t="shared" ref="Q82" si="74">(0.4*G82 + 0.3*I82 + 0.3*K82) / 10</f>
        <v>9.7200000000000006</v>
      </c>
      <c r="R82">
        <v>1</v>
      </c>
      <c r="S82">
        <v>-1</v>
      </c>
      <c r="T82">
        <f t="shared" ref="T82" si="75">ROUND(P82,0)+R82</f>
        <v>12</v>
      </c>
      <c r="U82">
        <f t="shared" ref="U82" si="76">ROUND(Q82,0)+S82</f>
        <v>9</v>
      </c>
      <c r="V82">
        <f t="shared" ref="V82" si="77">SUM(ROUND(T82,0),ROUND(U82,0))</f>
        <v>21</v>
      </c>
      <c r="W82" t="str">
        <f t="shared" ref="W82" si="78">E82</f>
        <v>ground</v>
      </c>
      <c r="X82" t="str">
        <f t="shared" si="72"/>
        <v>water</v>
      </c>
      <c r="Y82" t="s">
        <v>9</v>
      </c>
      <c r="Z82" t="s">
        <v>4</v>
      </c>
      <c r="AB82" t="str">
        <f t="shared" si="66"/>
        <v/>
      </c>
      <c r="AC82" t="s">
        <v>1166</v>
      </c>
      <c r="AD82" t="str">
        <f>VLOOKUP(AC82,moves!A:B,2,FALSE)</f>
        <v>water</v>
      </c>
      <c r="AE82">
        <f>VLOOKUP(AC82,moves!A:D,4,FALSE)</f>
        <v>5</v>
      </c>
      <c r="AF82" t="str">
        <f>IF(VLOOKUP(AC82,moves!A:F,5,FALSE)=0, "", VLOOKUP(AC82,moves!A:F,5,FALSE))</f>
        <v/>
      </c>
      <c r="AG82" t="str">
        <f>VLOOKUP(AC82,moves!A:F,6,FALSE)</f>
        <v>If 2 or more [status_symbol]s are rolled: Inflict the [burned] status on the target.</v>
      </c>
      <c r="AH82">
        <v>0</v>
      </c>
      <c r="AI82">
        <v>1</v>
      </c>
      <c r="AJ82" t="str" cm="1">
        <f t="array" ref="AJ82">_xlfn.IFS(AH82=1, "starter", AI82=1, "legendary",V82&lt; 13, "weak",V82&lt; 17, "moderate", TRUE, "strong")</f>
        <v>legendary</v>
      </c>
      <c r="AL82">
        <v>1</v>
      </c>
      <c r="AM82">
        <v>0</v>
      </c>
    </row>
    <row r="83" spans="1:39" x14ac:dyDescent="0.25">
      <c r="A83">
        <v>446</v>
      </c>
      <c r="B83" t="s">
        <v>200</v>
      </c>
      <c r="C83" t="str">
        <f>B83</f>
        <v>Munchlax</v>
      </c>
      <c r="E83" t="s">
        <v>8</v>
      </c>
      <c r="G83">
        <v>135</v>
      </c>
      <c r="H83">
        <v>85</v>
      </c>
      <c r="I83">
        <v>40</v>
      </c>
      <c r="J83">
        <v>40</v>
      </c>
      <c r="K83">
        <v>85</v>
      </c>
      <c r="L83">
        <v>5</v>
      </c>
      <c r="M83" t="s">
        <v>374</v>
      </c>
      <c r="N83" t="s">
        <v>304</v>
      </c>
      <c r="O83" t="s">
        <v>300</v>
      </c>
      <c r="P83">
        <f t="shared" si="67"/>
        <v>4.8499999999999996</v>
      </c>
      <c r="Q83">
        <f t="shared" si="68"/>
        <v>9.15</v>
      </c>
      <c r="R83">
        <v>0</v>
      </c>
      <c r="S83">
        <v>0</v>
      </c>
      <c r="T83">
        <f t="shared" si="69"/>
        <v>5</v>
      </c>
      <c r="U83">
        <f t="shared" si="70"/>
        <v>9</v>
      </c>
      <c r="V83">
        <f t="shared" si="71"/>
        <v>14</v>
      </c>
      <c r="W83" t="str">
        <f t="shared" si="65"/>
        <v>normal</v>
      </c>
      <c r="X83" t="s">
        <v>39</v>
      </c>
      <c r="Y83" t="s">
        <v>13</v>
      </c>
      <c r="Z83" t="s">
        <v>22</v>
      </c>
      <c r="AA83" t="str">
        <f>B84</f>
        <v>Snorlax</v>
      </c>
      <c r="AB83">
        <f t="shared" si="66"/>
        <v>8</v>
      </c>
      <c r="AC83" t="s">
        <v>836</v>
      </c>
      <c r="AD83" t="str">
        <f>VLOOKUP(AC83,moves!A:B,2,FALSE)</f>
        <v>normal</v>
      </c>
      <c r="AE83">
        <f>VLOOKUP(AC83,moves!A:D,4,FALSE)</f>
        <v>1</v>
      </c>
      <c r="AF83" t="str">
        <f>IF(VLOOKUP(AC83,moves!A:F,5,FALSE)=0, "", VLOOKUP(AC83,moves!A:F,5,FALSE))</f>
        <v>dynamic</v>
      </c>
      <c r="AG83" t="str">
        <f>VLOOKUP(AC83,moves!A:F,6,FALSE)</f>
        <v>For every 2 damage taken by the user: Attack Strength is increased by 1.</v>
      </c>
      <c r="AH83">
        <v>0</v>
      </c>
      <c r="AI83">
        <v>0</v>
      </c>
      <c r="AJ83" t="str" cm="1">
        <f t="array" ref="AJ83">_xlfn.IFS(AH83=1, "starter", AI83=1, "legendary",V83&lt; 13, "weak",V83&lt; 17, "moderate", TRUE, "strong")</f>
        <v>moderate</v>
      </c>
      <c r="AL83">
        <v>1</v>
      </c>
      <c r="AM83">
        <v>0</v>
      </c>
    </row>
    <row r="84" spans="1:39" x14ac:dyDescent="0.25">
      <c r="A84">
        <v>143</v>
      </c>
      <c r="B84" t="s">
        <v>62</v>
      </c>
      <c r="C84" t="str">
        <f>B84</f>
        <v>Snorlax</v>
      </c>
      <c r="E84" t="s">
        <v>8</v>
      </c>
      <c r="G84">
        <v>160</v>
      </c>
      <c r="H84">
        <v>110</v>
      </c>
      <c r="I84">
        <v>65</v>
      </c>
      <c r="J84">
        <v>65</v>
      </c>
      <c r="K84">
        <v>110</v>
      </c>
      <c r="L84">
        <v>30</v>
      </c>
      <c r="M84" t="s">
        <v>375</v>
      </c>
      <c r="N84" t="s">
        <v>304</v>
      </c>
      <c r="O84" t="s">
        <v>300</v>
      </c>
      <c r="P84">
        <f t="shared" si="67"/>
        <v>7.35</v>
      </c>
      <c r="Q84">
        <f t="shared" si="68"/>
        <v>11.65</v>
      </c>
      <c r="R84">
        <v>0</v>
      </c>
      <c r="S84">
        <v>0</v>
      </c>
      <c r="T84">
        <f t="shared" si="69"/>
        <v>7</v>
      </c>
      <c r="U84">
        <f t="shared" si="70"/>
        <v>12</v>
      </c>
      <c r="V84">
        <f t="shared" si="71"/>
        <v>19</v>
      </c>
      <c r="W84" t="str">
        <f t="shared" si="65"/>
        <v>normal</v>
      </c>
      <c r="X84" t="s">
        <v>39</v>
      </c>
      <c r="Y84" t="s">
        <v>13</v>
      </c>
      <c r="Z84" t="s">
        <v>22</v>
      </c>
      <c r="AB84" t="str">
        <f t="shared" si="66"/>
        <v/>
      </c>
      <c r="AC84" t="s">
        <v>525</v>
      </c>
      <c r="AD84" t="str">
        <f>VLOOKUP(AC84,moves!A:B,2,FALSE)</f>
        <v>normal</v>
      </c>
      <c r="AE84">
        <f>VLOOKUP(AC84,moves!A:D,4,FALSE)</f>
        <v>4</v>
      </c>
      <c r="AF84" t="str">
        <f>IF(VLOOKUP(AC84,moves!A:F,5,FALSE)=0, "", VLOOKUP(AC84,moves!A:F,5,FALSE))</f>
        <v/>
      </c>
      <c r="AG84" t="str">
        <f>VLOOKUP(AC84,moves!A:F,6,FALSE)</f>
        <v>If any [status_symbol]s are rolled: Inflict the [paralysed] status on the target.</v>
      </c>
      <c r="AH84">
        <v>0</v>
      </c>
      <c r="AI84">
        <v>0</v>
      </c>
      <c r="AJ84" t="str" cm="1">
        <f t="array" ref="AJ84">_xlfn.IFS(AH84=1, "starter", AI84=1, "legendary",V84&lt; 13, "weak",V84&lt; 17, "moderate", TRUE, "strong")</f>
        <v>strong</v>
      </c>
      <c r="AL84">
        <v>2</v>
      </c>
      <c r="AM84">
        <v>0</v>
      </c>
    </row>
    <row r="85" spans="1:39" x14ac:dyDescent="0.25">
      <c r="A85" t="s">
        <v>1140</v>
      </c>
      <c r="B85" t="s">
        <v>1147</v>
      </c>
      <c r="C85" t="s">
        <v>62</v>
      </c>
      <c r="D85" t="s">
        <v>1154</v>
      </c>
      <c r="E85" t="s">
        <v>8</v>
      </c>
      <c r="F85" t="s">
        <v>16</v>
      </c>
      <c r="G85">
        <v>160</v>
      </c>
      <c r="H85">
        <v>110</v>
      </c>
      <c r="I85">
        <v>65</v>
      </c>
      <c r="J85">
        <v>65</v>
      </c>
      <c r="K85">
        <v>110</v>
      </c>
      <c r="L85">
        <v>30</v>
      </c>
      <c r="M85" t="s">
        <v>591</v>
      </c>
      <c r="O85" t="s">
        <v>1146</v>
      </c>
      <c r="P85">
        <f t="shared" ref="P85" si="79">(0.4*L85 + 0.5*MAX(H85,J85) + 0.1*MIN(H85,J85)) / 10</f>
        <v>7.35</v>
      </c>
      <c r="Q85">
        <f t="shared" ref="Q85" si="80">(0.4*G85 + 0.3*I85 + 0.3*K85) / 10</f>
        <v>11.65</v>
      </c>
      <c r="R85">
        <v>-2</v>
      </c>
      <c r="S85">
        <v>4</v>
      </c>
      <c r="T85">
        <f t="shared" ref="T85" si="81">ROUND(P85,0)+R85</f>
        <v>5</v>
      </c>
      <c r="U85">
        <f t="shared" ref="U85" si="82">ROUND(Q85,0)+S85</f>
        <v>16</v>
      </c>
      <c r="V85">
        <f t="shared" ref="V85" si="83">SUM(ROUND(T85,0),ROUND(U85,0))</f>
        <v>21</v>
      </c>
      <c r="W85" t="str">
        <f t="shared" ref="W85" si="84">E85</f>
        <v>normal</v>
      </c>
      <c r="X85" t="str">
        <f>IF(F85 = 0, "", F85)</f>
        <v>fairy</v>
      </c>
      <c r="Y85" t="s">
        <v>13</v>
      </c>
      <c r="Z85" t="s">
        <v>22</v>
      </c>
      <c r="AB85" t="str">
        <f t="shared" si="66"/>
        <v/>
      </c>
      <c r="AC85" t="s">
        <v>1167</v>
      </c>
      <c r="AD85" t="str">
        <f>VLOOKUP(AC85,moves!A:B,2,FALSE)</f>
        <v>fairy</v>
      </c>
      <c r="AE85">
        <f>VLOOKUP(AC85,moves!A:D,4,FALSE)</f>
        <v>4</v>
      </c>
      <c r="AF85" t="str">
        <f>IF(VLOOKUP(AC85,moves!A:F,5,FALSE)=0, "", VLOOKUP(AC85,moves!A:F,5,FALSE))</f>
        <v/>
      </c>
      <c r="AG85" t="str">
        <f>VLOOKUP(AC85,moves!A:F,6,FALSE)</f>
        <v>If any [status_symbol]s are rolled: Heal 2 damage.</v>
      </c>
      <c r="AH85">
        <v>0</v>
      </c>
      <c r="AI85">
        <v>1</v>
      </c>
      <c r="AJ85" t="str" cm="1">
        <f t="array" ref="AJ85">_xlfn.IFS(AH85=1, "starter", AI85=1, "legendary",V85&lt; 13, "weak",V85&lt; 17, "moderate", TRUE, "strong")</f>
        <v>legendary</v>
      </c>
      <c r="AL85">
        <v>1</v>
      </c>
      <c r="AM85">
        <v>0</v>
      </c>
    </row>
    <row r="86" spans="1:39" x14ac:dyDescent="0.25">
      <c r="A86">
        <v>447</v>
      </c>
      <c r="B86" t="s">
        <v>201</v>
      </c>
      <c r="C86" t="str">
        <f>B86</f>
        <v>Riolu</v>
      </c>
      <c r="E86" t="s">
        <v>22</v>
      </c>
      <c r="G86">
        <v>40</v>
      </c>
      <c r="H86">
        <v>70</v>
      </c>
      <c r="I86">
        <v>40</v>
      </c>
      <c r="J86">
        <v>35</v>
      </c>
      <c r="K86">
        <v>40</v>
      </c>
      <c r="L86">
        <v>60</v>
      </c>
      <c r="M86" t="s">
        <v>376</v>
      </c>
      <c r="N86" t="s">
        <v>304</v>
      </c>
      <c r="O86" t="s">
        <v>299</v>
      </c>
      <c r="P86">
        <f t="shared" si="67"/>
        <v>6.25</v>
      </c>
      <c r="Q86">
        <f t="shared" si="68"/>
        <v>4</v>
      </c>
      <c r="R86">
        <v>0</v>
      </c>
      <c r="S86">
        <v>0</v>
      </c>
      <c r="T86">
        <f t="shared" si="69"/>
        <v>6</v>
      </c>
      <c r="U86">
        <f t="shared" si="70"/>
        <v>4</v>
      </c>
      <c r="V86">
        <f t="shared" si="71"/>
        <v>10</v>
      </c>
      <c r="W86" t="str">
        <f t="shared" si="65"/>
        <v>fighting</v>
      </c>
      <c r="X86" t="s">
        <v>39</v>
      </c>
      <c r="Y86" t="s">
        <v>8</v>
      </c>
      <c r="Z86" t="s">
        <v>26</v>
      </c>
      <c r="AA86" t="str">
        <f>B87</f>
        <v>Lucario</v>
      </c>
      <c r="AB86">
        <f t="shared" si="66"/>
        <v>9</v>
      </c>
      <c r="AC86" t="s">
        <v>593</v>
      </c>
      <c r="AD86" t="str">
        <f>VLOOKUP(AC86,moves!A:B,2,FALSE)</f>
        <v>steel</v>
      </c>
      <c r="AE86">
        <f>VLOOKUP(AC86,moves!A:D,4,FALSE)</f>
        <v>3</v>
      </c>
      <c r="AF86" t="str">
        <f>IF(VLOOKUP(AC86,moves!A:F,5,FALSE)=0, "", VLOOKUP(AC86,moves!A:F,5,FALSE))</f>
        <v/>
      </c>
      <c r="AG86" t="str">
        <f>VLOOKUP(AC86,moves!A:F,6,FALSE)</f>
        <v>[status_symbol]s deal +1 damage.</v>
      </c>
      <c r="AH86">
        <v>0</v>
      </c>
      <c r="AI86">
        <v>0</v>
      </c>
      <c r="AJ86" t="str" cm="1">
        <f t="array" ref="AJ86">_xlfn.IFS(AH86=1, "starter", AI86=1, "legendary",V86&lt; 13, "weak",V86&lt; 17, "moderate", TRUE, "strong")</f>
        <v>weak</v>
      </c>
      <c r="AL86">
        <v>1</v>
      </c>
      <c r="AM86">
        <v>0</v>
      </c>
    </row>
    <row r="87" spans="1:39" x14ac:dyDescent="0.25">
      <c r="A87">
        <v>448</v>
      </c>
      <c r="B87" t="s">
        <v>202</v>
      </c>
      <c r="C87" t="str">
        <f>B87</f>
        <v>Lucario</v>
      </c>
      <c r="E87" t="s">
        <v>22</v>
      </c>
      <c r="F87" t="s">
        <v>39</v>
      </c>
      <c r="G87">
        <v>70</v>
      </c>
      <c r="H87">
        <v>110</v>
      </c>
      <c r="I87">
        <v>70</v>
      </c>
      <c r="J87">
        <v>115</v>
      </c>
      <c r="K87">
        <v>70</v>
      </c>
      <c r="L87">
        <v>90</v>
      </c>
      <c r="M87" t="s">
        <v>377</v>
      </c>
      <c r="N87" t="s">
        <v>304</v>
      </c>
      <c r="O87" t="s">
        <v>299</v>
      </c>
      <c r="P87">
        <f t="shared" si="67"/>
        <v>10.45</v>
      </c>
      <c r="Q87">
        <f t="shared" si="68"/>
        <v>7</v>
      </c>
      <c r="R87">
        <v>1</v>
      </c>
      <c r="S87">
        <v>0</v>
      </c>
      <c r="T87">
        <f t="shared" si="69"/>
        <v>11</v>
      </c>
      <c r="U87">
        <f t="shared" si="70"/>
        <v>7</v>
      </c>
      <c r="V87">
        <f t="shared" si="71"/>
        <v>18</v>
      </c>
      <c r="W87" t="str">
        <f t="shared" si="65"/>
        <v>fighting</v>
      </c>
      <c r="X87" t="str">
        <f>IF(F87 = 0, "", F87)</f>
        <v>steel</v>
      </c>
      <c r="Y87" t="s">
        <v>8</v>
      </c>
      <c r="Z87" t="s">
        <v>26</v>
      </c>
      <c r="AB87" t="str">
        <f t="shared" si="66"/>
        <v/>
      </c>
      <c r="AC87" t="s">
        <v>491</v>
      </c>
      <c r="AD87" t="str">
        <f>VLOOKUP(AC87,moves!A:B,2,FALSE)</f>
        <v>fighting</v>
      </c>
      <c r="AE87">
        <f>VLOOKUP(AC87,moves!A:D,4,FALSE)</f>
        <v>4</v>
      </c>
      <c r="AF87" t="str">
        <f>IF(VLOOKUP(AC87,moves!A:F,5,FALSE)=0, "", VLOOKUP(AC87,moves!A:F,5,FALSE))</f>
        <v/>
      </c>
      <c r="AG87" t="str">
        <f>VLOOKUP(AC87,moves!A:F,6,FALSE)</f>
        <v>[status_symbol]s deal +1 damage.</v>
      </c>
      <c r="AH87">
        <v>0</v>
      </c>
      <c r="AI87">
        <v>0</v>
      </c>
      <c r="AJ87" t="str" cm="1">
        <f t="array" ref="AJ87">_xlfn.IFS(AH87=1, "starter", AI87=1, "legendary",V87&lt; 13, "weak",V87&lt; 17, "moderate", TRUE, "strong")</f>
        <v>strong</v>
      </c>
      <c r="AL87">
        <v>2</v>
      </c>
      <c r="AM87">
        <v>0</v>
      </c>
    </row>
    <row r="88" spans="1:39" x14ac:dyDescent="0.25">
      <c r="A88" t="s">
        <v>1136</v>
      </c>
      <c r="B88" t="s">
        <v>1160</v>
      </c>
      <c r="C88" t="s">
        <v>202</v>
      </c>
      <c r="D88" t="s">
        <v>1153</v>
      </c>
      <c r="E88" t="s">
        <v>22</v>
      </c>
      <c r="F88" t="s">
        <v>9</v>
      </c>
      <c r="G88">
        <v>70</v>
      </c>
      <c r="H88">
        <v>110</v>
      </c>
      <c r="I88">
        <v>70</v>
      </c>
      <c r="J88">
        <v>115</v>
      </c>
      <c r="K88">
        <v>70</v>
      </c>
      <c r="L88">
        <v>90</v>
      </c>
      <c r="M88" t="s">
        <v>591</v>
      </c>
      <c r="O88" t="s">
        <v>1146</v>
      </c>
      <c r="P88">
        <f t="shared" ref="P88" si="85">(0.4*L88 + 0.5*MAX(H88,J88) + 0.1*MIN(H88,J88)) / 10</f>
        <v>10.45</v>
      </c>
      <c r="Q88">
        <f t="shared" ref="Q88" si="86">(0.4*G88 + 0.3*I88 + 0.3*K88) / 10</f>
        <v>7</v>
      </c>
      <c r="R88">
        <v>2</v>
      </c>
      <c r="S88">
        <v>2</v>
      </c>
      <c r="T88">
        <f t="shared" ref="T88" si="87">ROUND(P88,0)+R88</f>
        <v>12</v>
      </c>
      <c r="U88">
        <f t="shared" ref="U88" si="88">ROUND(Q88,0)+S88</f>
        <v>9</v>
      </c>
      <c r="V88">
        <f t="shared" ref="V88" si="89">SUM(ROUND(T88,0),ROUND(U88,0))</f>
        <v>21</v>
      </c>
      <c r="W88" t="str">
        <f t="shared" ref="W88" si="90">E88</f>
        <v>fighting</v>
      </c>
      <c r="X88" t="str">
        <f>IF(F88 = 0, "", F88)</f>
        <v>dark</v>
      </c>
      <c r="Y88" t="s">
        <v>8</v>
      </c>
      <c r="Z88" t="s">
        <v>26</v>
      </c>
      <c r="AB88" t="str">
        <f t="shared" si="66"/>
        <v/>
      </c>
      <c r="AC88" t="s">
        <v>1168</v>
      </c>
      <c r="AD88" t="str">
        <f>VLOOKUP(AC88,moves!A:B,2,FALSE)</f>
        <v>dark</v>
      </c>
      <c r="AE88">
        <f>VLOOKUP(AC88,moves!A:D,4,FALSE)</f>
        <v>4</v>
      </c>
      <c r="AF88" t="str">
        <f>IF(VLOOKUP(AC88,moves!A:F,5,FALSE)=0, "", VLOOKUP(AC88,moves!A:F,5,FALSE))</f>
        <v/>
      </c>
      <c r="AG88" t="str">
        <f>VLOOKUP(AC88,moves!A:F,6,FALSE)</f>
        <v>[status_symbol]s deal +1 damage.</v>
      </c>
      <c r="AH88">
        <v>0</v>
      </c>
      <c r="AI88">
        <v>1</v>
      </c>
      <c r="AJ88" t="str" cm="1">
        <f t="array" ref="AJ88">_xlfn.IFS(AH88=1, "starter", AI88=1, "legendary",V88&lt; 13, "weak",V88&lt; 17, "moderate", TRUE, "strong")</f>
        <v>legendary</v>
      </c>
      <c r="AL88">
        <v>1</v>
      </c>
      <c r="AM88">
        <v>0</v>
      </c>
    </row>
    <row r="89" spans="1:39" x14ac:dyDescent="0.25">
      <c r="A89">
        <v>449</v>
      </c>
      <c r="B89" t="s">
        <v>203</v>
      </c>
      <c r="C89" t="str">
        <f>B89</f>
        <v>Hippopotas</v>
      </c>
      <c r="E89" t="s">
        <v>13</v>
      </c>
      <c r="G89">
        <v>68</v>
      </c>
      <c r="H89">
        <v>72</v>
      </c>
      <c r="I89">
        <v>78</v>
      </c>
      <c r="J89">
        <v>38</v>
      </c>
      <c r="K89">
        <v>42</v>
      </c>
      <c r="L89">
        <v>32</v>
      </c>
      <c r="M89" t="s">
        <v>378</v>
      </c>
      <c r="N89" t="s">
        <v>304</v>
      </c>
      <c r="O89" t="s">
        <v>302</v>
      </c>
      <c r="P89">
        <f t="shared" si="67"/>
        <v>5.26</v>
      </c>
      <c r="Q89">
        <f t="shared" si="68"/>
        <v>6.32</v>
      </c>
      <c r="R89">
        <v>0</v>
      </c>
      <c r="S89">
        <v>0</v>
      </c>
      <c r="T89">
        <f t="shared" si="69"/>
        <v>5</v>
      </c>
      <c r="U89">
        <f t="shared" si="70"/>
        <v>6</v>
      </c>
      <c r="V89">
        <f t="shared" si="71"/>
        <v>11</v>
      </c>
      <c r="W89" t="str">
        <f t="shared" si="65"/>
        <v>ground</v>
      </c>
      <c r="X89" t="s">
        <v>8</v>
      </c>
      <c r="Y89" t="s">
        <v>9</v>
      </c>
      <c r="Z89" t="s">
        <v>6</v>
      </c>
      <c r="AA89" t="str">
        <f>B90</f>
        <v>Hippowdon</v>
      </c>
      <c r="AB89">
        <f t="shared" si="66"/>
        <v>8</v>
      </c>
      <c r="AC89" t="s">
        <v>524</v>
      </c>
      <c r="AD89" t="str">
        <f>VLOOKUP(AC89,moves!A:B,2,FALSE)</f>
        <v>ground</v>
      </c>
      <c r="AE89">
        <f>VLOOKUP(AC89,moves!A:D,4,FALSE)</f>
        <v>2</v>
      </c>
      <c r="AF89" t="str">
        <f>IF(VLOOKUP(AC89,moves!A:F,5,FALSE)=0, "", VLOOKUP(AC89,moves!A:F,5,FALSE))</f>
        <v/>
      </c>
      <c r="AG89" t="str">
        <f>VLOOKUP(AC89,moves!A:F,6,FALSE)</f>
        <v>Inflict the [paralysed] status on the target.</v>
      </c>
      <c r="AH89">
        <v>0</v>
      </c>
      <c r="AI89">
        <v>0</v>
      </c>
      <c r="AJ89" t="str" cm="1">
        <f t="array" ref="AJ89">_xlfn.IFS(AH89=1, "starter", AI89=1, "legendary",V89&lt; 13, "weak",V89&lt; 17, "moderate", TRUE, "strong")</f>
        <v>weak</v>
      </c>
      <c r="AL89">
        <v>1</v>
      </c>
      <c r="AM89">
        <v>0</v>
      </c>
    </row>
    <row r="90" spans="1:39" x14ac:dyDescent="0.25">
      <c r="A90">
        <v>450</v>
      </c>
      <c r="B90" t="s">
        <v>204</v>
      </c>
      <c r="C90" t="str">
        <f>B90</f>
        <v>Hippowdon</v>
      </c>
      <c r="E90" t="s">
        <v>13</v>
      </c>
      <c r="G90">
        <v>108</v>
      </c>
      <c r="H90">
        <v>112</v>
      </c>
      <c r="I90">
        <v>118</v>
      </c>
      <c r="J90">
        <v>68</v>
      </c>
      <c r="K90">
        <v>72</v>
      </c>
      <c r="L90">
        <v>47</v>
      </c>
      <c r="M90" t="s">
        <v>379</v>
      </c>
      <c r="N90" t="s">
        <v>304</v>
      </c>
      <c r="O90" t="s">
        <v>302</v>
      </c>
      <c r="P90">
        <f t="shared" si="67"/>
        <v>8.16</v>
      </c>
      <c r="Q90">
        <f t="shared" si="68"/>
        <v>10.02</v>
      </c>
      <c r="R90">
        <v>0</v>
      </c>
      <c r="S90">
        <v>0</v>
      </c>
      <c r="T90">
        <f t="shared" si="69"/>
        <v>8</v>
      </c>
      <c r="U90">
        <f t="shared" si="70"/>
        <v>10</v>
      </c>
      <c r="V90">
        <f t="shared" si="71"/>
        <v>18</v>
      </c>
      <c r="W90" t="str">
        <f t="shared" si="65"/>
        <v>ground</v>
      </c>
      <c r="X90" t="s">
        <v>8</v>
      </c>
      <c r="Y90" t="s">
        <v>9</v>
      </c>
      <c r="Z90" t="s">
        <v>6</v>
      </c>
      <c r="AB90" t="str">
        <f t="shared" si="66"/>
        <v/>
      </c>
      <c r="AC90" t="s">
        <v>1112</v>
      </c>
      <c r="AD90" t="str">
        <f>VLOOKUP(AC90,moves!A:B,2,FALSE)</f>
        <v>ground</v>
      </c>
      <c r="AE90">
        <f>VLOOKUP(AC90,moves!A:D,4,FALSE)</f>
        <v>6</v>
      </c>
      <c r="AF90" t="str">
        <f>IF(VLOOKUP(AC90,moves!A:F,5,FALSE)=0, "", VLOOKUP(AC90,moves!A:F,5,FALSE))</f>
        <v/>
      </c>
      <c r="AG90" t="str">
        <f>VLOOKUP(AC90,moves!A:F,6,FALSE)</f>
        <v>If the target has 3 or less Health remaining after this attack, the target faints. [status_symbol]s deal -2 damage.</v>
      </c>
      <c r="AH90">
        <v>0</v>
      </c>
      <c r="AI90">
        <v>0</v>
      </c>
      <c r="AJ90" t="str" cm="1">
        <f t="array" ref="AJ90">_xlfn.IFS(AH90=1, "starter", AI90=1, "legendary",V90&lt; 13, "weak",V90&lt; 17, "moderate", TRUE, "strong")</f>
        <v>strong</v>
      </c>
      <c r="AL90">
        <v>2</v>
      </c>
      <c r="AM90">
        <v>0</v>
      </c>
    </row>
    <row r="91" spans="1:39" x14ac:dyDescent="0.25">
      <c r="A91">
        <v>451</v>
      </c>
      <c r="B91" t="s">
        <v>205</v>
      </c>
      <c r="C91" t="str">
        <f>B91</f>
        <v>Skorupi</v>
      </c>
      <c r="E91" t="s">
        <v>3</v>
      </c>
      <c r="F91" t="s">
        <v>7</v>
      </c>
      <c r="G91">
        <v>40</v>
      </c>
      <c r="H91">
        <v>50</v>
      </c>
      <c r="I91">
        <v>90</v>
      </c>
      <c r="J91">
        <v>30</v>
      </c>
      <c r="K91">
        <v>55</v>
      </c>
      <c r="L91">
        <v>65</v>
      </c>
      <c r="M91" t="s">
        <v>380</v>
      </c>
      <c r="N91" t="s">
        <v>298</v>
      </c>
      <c r="O91" t="s">
        <v>302</v>
      </c>
      <c r="P91">
        <f t="shared" si="67"/>
        <v>5.4</v>
      </c>
      <c r="Q91">
        <f t="shared" si="68"/>
        <v>5.95</v>
      </c>
      <c r="R91">
        <v>0</v>
      </c>
      <c r="S91">
        <v>0</v>
      </c>
      <c r="T91">
        <f t="shared" si="69"/>
        <v>5</v>
      </c>
      <c r="U91">
        <f t="shared" si="70"/>
        <v>6</v>
      </c>
      <c r="V91">
        <f t="shared" si="71"/>
        <v>11</v>
      </c>
      <c r="W91" t="str">
        <f t="shared" si="65"/>
        <v>poison</v>
      </c>
      <c r="X91" t="str">
        <f>IF(F91 = 0, "", F91)</f>
        <v>bug</v>
      </c>
      <c r="Y91" t="s">
        <v>9</v>
      </c>
      <c r="Z91" t="s">
        <v>13</v>
      </c>
      <c r="AA91" t="str">
        <f>B92</f>
        <v>Drapion</v>
      </c>
      <c r="AB91">
        <f t="shared" si="66"/>
        <v>7</v>
      </c>
      <c r="AC91" t="s">
        <v>513</v>
      </c>
      <c r="AD91" t="str">
        <f>VLOOKUP(AC91,moves!A:B,2,FALSE)</f>
        <v>bug</v>
      </c>
      <c r="AE91">
        <f>VLOOKUP(AC91,moves!A:D,4,FALSE)</f>
        <v>3</v>
      </c>
      <c r="AF91" t="str">
        <f>IF(VLOOKUP(AC91,moves!A:F,5,FALSE)=0, "", VLOOKUP(AC91,moves!A:F,5,FALSE))</f>
        <v/>
      </c>
      <c r="AG91" t="str">
        <f>VLOOKUP(AC91,moves!A:F,6,FALSE)</f>
        <v>If the target has a held item, deal 2 extra damage.</v>
      </c>
      <c r="AH91">
        <v>0</v>
      </c>
      <c r="AI91">
        <v>0</v>
      </c>
      <c r="AJ91" t="str" cm="1">
        <f t="array" ref="AJ91">_xlfn.IFS(AH91=1, "starter", AI91=1, "legendary",V91&lt; 13, "weak",V91&lt; 17, "moderate", TRUE, "strong")</f>
        <v>weak</v>
      </c>
      <c r="AL91">
        <v>1</v>
      </c>
      <c r="AM91">
        <v>0</v>
      </c>
    </row>
    <row r="92" spans="1:39" x14ac:dyDescent="0.25">
      <c r="A92">
        <v>452</v>
      </c>
      <c r="B92" t="s">
        <v>206</v>
      </c>
      <c r="C92" t="str">
        <f>B92</f>
        <v>Drapion</v>
      </c>
      <c r="E92" t="s">
        <v>3</v>
      </c>
      <c r="F92" t="s">
        <v>9</v>
      </c>
      <c r="G92">
        <v>70</v>
      </c>
      <c r="H92">
        <v>90</v>
      </c>
      <c r="I92">
        <v>110</v>
      </c>
      <c r="J92">
        <v>60</v>
      </c>
      <c r="K92">
        <v>75</v>
      </c>
      <c r="L92">
        <v>95</v>
      </c>
      <c r="M92" t="s">
        <v>381</v>
      </c>
      <c r="N92" t="s">
        <v>298</v>
      </c>
      <c r="O92" t="s">
        <v>302</v>
      </c>
      <c r="P92">
        <f t="shared" si="67"/>
        <v>8.9</v>
      </c>
      <c r="Q92">
        <f t="shared" si="68"/>
        <v>8.35</v>
      </c>
      <c r="R92">
        <v>0</v>
      </c>
      <c r="S92">
        <v>0</v>
      </c>
      <c r="T92">
        <f t="shared" si="69"/>
        <v>9</v>
      </c>
      <c r="U92">
        <f t="shared" si="70"/>
        <v>8</v>
      </c>
      <c r="V92">
        <f t="shared" si="71"/>
        <v>17</v>
      </c>
      <c r="W92" t="str">
        <f t="shared" si="65"/>
        <v>poison</v>
      </c>
      <c r="X92" t="str">
        <f>IF(F92 = 0, "", F92)</f>
        <v>dark</v>
      </c>
      <c r="Y92" t="s">
        <v>7</v>
      </c>
      <c r="Z92" t="s">
        <v>13</v>
      </c>
      <c r="AB92" t="str">
        <f t="shared" si="66"/>
        <v/>
      </c>
      <c r="AC92" t="s">
        <v>464</v>
      </c>
      <c r="AD92" t="str">
        <f>VLOOKUP(AC92,moves!A:B,2,FALSE)</f>
        <v>poison</v>
      </c>
      <c r="AE92">
        <f>VLOOKUP(AC92,moves!A:D,4,FALSE)</f>
        <v>4</v>
      </c>
      <c r="AF92" t="str">
        <f>IF(VLOOKUP(AC92,moves!A:F,5,FALSE)=0, "", VLOOKUP(AC92,moves!A:F,5,FALSE))</f>
        <v/>
      </c>
      <c r="AG92" t="str">
        <f>VLOOKUP(AC92,moves!A:F,6,FALSE)</f>
        <v>[critical_hit]s deal +1 damage.</v>
      </c>
      <c r="AH92">
        <v>0</v>
      </c>
      <c r="AI92">
        <v>0</v>
      </c>
      <c r="AJ92" t="str" cm="1">
        <f t="array" ref="AJ92">_xlfn.IFS(AH92=1, "starter", AI92=1, "legendary",V92&lt; 13, "weak",V92&lt; 17, "moderate", TRUE, "strong")</f>
        <v>strong</v>
      </c>
      <c r="AL92">
        <v>2</v>
      </c>
      <c r="AM92">
        <v>0</v>
      </c>
    </row>
    <row r="93" spans="1:39" x14ac:dyDescent="0.25">
      <c r="A93" t="s">
        <v>1145</v>
      </c>
      <c r="B93" t="s">
        <v>1162</v>
      </c>
      <c r="C93" t="s">
        <v>206</v>
      </c>
      <c r="D93" t="s">
        <v>1156</v>
      </c>
      <c r="E93" t="s">
        <v>39</v>
      </c>
      <c r="F93" t="s">
        <v>3</v>
      </c>
      <c r="G93">
        <v>70</v>
      </c>
      <c r="H93">
        <v>90</v>
      </c>
      <c r="I93">
        <v>110</v>
      </c>
      <c r="J93">
        <v>60</v>
      </c>
      <c r="K93">
        <v>75</v>
      </c>
      <c r="L93">
        <v>95</v>
      </c>
      <c r="M93" t="s">
        <v>591</v>
      </c>
      <c r="O93" t="s">
        <v>1146</v>
      </c>
      <c r="P93">
        <f t="shared" ref="P93" si="91">(0.4*L93 + 0.5*MAX(H93,J93) + 0.1*MIN(H93,J93)) / 10</f>
        <v>8.9</v>
      </c>
      <c r="Q93">
        <f t="shared" ref="Q93" si="92">(0.4*G93 + 0.3*I93 + 0.3*K93) / 10</f>
        <v>8.35</v>
      </c>
      <c r="R93">
        <v>-2</v>
      </c>
      <c r="S93">
        <v>6</v>
      </c>
      <c r="T93">
        <f t="shared" ref="T93" si="93">ROUND(P93,0)+R93</f>
        <v>7</v>
      </c>
      <c r="U93">
        <f t="shared" ref="U93" si="94">ROUND(Q93,0)+S93</f>
        <v>14</v>
      </c>
      <c r="V93">
        <f t="shared" ref="V93" si="95">SUM(ROUND(T93,0),ROUND(U93,0))</f>
        <v>21</v>
      </c>
      <c r="W93" t="str">
        <f t="shared" ref="W93" si="96">E93</f>
        <v>steel</v>
      </c>
      <c r="X93" t="str">
        <f>IF(F93 = 0, "", F93)</f>
        <v>poison</v>
      </c>
      <c r="Y93" t="s">
        <v>7</v>
      </c>
      <c r="Z93" t="s">
        <v>13</v>
      </c>
      <c r="AB93" t="str">
        <f t="shared" si="66"/>
        <v/>
      </c>
      <c r="AC93" t="s">
        <v>1169</v>
      </c>
      <c r="AD93" t="str">
        <f>VLOOKUP(AC93,moves!A:B,2,FALSE)</f>
        <v>steel</v>
      </c>
      <c r="AE93">
        <f>VLOOKUP(AC93,moves!A:D,4,FALSE)</f>
        <v>3</v>
      </c>
      <c r="AF93" t="str">
        <f>IF(VLOOKUP(AC93,moves!A:F,5,FALSE)=0, "", VLOOKUP(AC93,moves!A:F,5,FALSE))</f>
        <v/>
      </c>
      <c r="AG93" t="str">
        <f>VLOOKUP(AC93,moves!A:F,6,FALSE)</f>
        <v>Inflict both the [poisoned] and [paralysed] statuses on the target.</v>
      </c>
      <c r="AH93">
        <v>0</v>
      </c>
      <c r="AI93">
        <v>1</v>
      </c>
      <c r="AJ93" t="str" cm="1">
        <f t="array" ref="AJ93">_xlfn.IFS(AH93=1, "starter", AI93=1, "legendary",V93&lt; 13, "weak",V93&lt; 17, "moderate", TRUE, "strong")</f>
        <v>legendary</v>
      </c>
      <c r="AL93">
        <v>1</v>
      </c>
      <c r="AM93">
        <v>0</v>
      </c>
    </row>
    <row r="94" spans="1:39" x14ac:dyDescent="0.25">
      <c r="A94">
        <v>453</v>
      </c>
      <c r="B94" t="s">
        <v>207</v>
      </c>
      <c r="C94" t="str">
        <f t="shared" ref="C94:C104" si="97">B94</f>
        <v>Croagunk</v>
      </c>
      <c r="E94" t="s">
        <v>3</v>
      </c>
      <c r="F94" t="s">
        <v>22</v>
      </c>
      <c r="G94">
        <v>48</v>
      </c>
      <c r="H94">
        <v>61</v>
      </c>
      <c r="I94">
        <v>40</v>
      </c>
      <c r="J94">
        <v>61</v>
      </c>
      <c r="K94">
        <v>40</v>
      </c>
      <c r="L94">
        <v>50</v>
      </c>
      <c r="M94" t="s">
        <v>382</v>
      </c>
      <c r="N94" t="s">
        <v>298</v>
      </c>
      <c r="O94" t="s">
        <v>302</v>
      </c>
      <c r="P94">
        <f t="shared" si="67"/>
        <v>5.66</v>
      </c>
      <c r="Q94">
        <f t="shared" si="68"/>
        <v>4.32</v>
      </c>
      <c r="R94">
        <v>0</v>
      </c>
      <c r="S94">
        <v>0</v>
      </c>
      <c r="T94">
        <f t="shared" si="69"/>
        <v>6</v>
      </c>
      <c r="U94">
        <f t="shared" si="70"/>
        <v>4</v>
      </c>
      <c r="V94">
        <f t="shared" si="71"/>
        <v>10</v>
      </c>
      <c r="W94" t="str">
        <f t="shared" si="65"/>
        <v>poison</v>
      </c>
      <c r="X94" t="str">
        <f>IF(F94 = 0, "", F94)</f>
        <v>fighting</v>
      </c>
      <c r="Y94" t="s">
        <v>9</v>
      </c>
      <c r="Z94" t="s">
        <v>13</v>
      </c>
      <c r="AA94" t="str">
        <f>B95</f>
        <v>Toxicroak</v>
      </c>
      <c r="AB94">
        <f t="shared" si="66"/>
        <v>8</v>
      </c>
      <c r="AC94" t="s">
        <v>527</v>
      </c>
      <c r="AD94" t="str">
        <f>VLOOKUP(AC94,moves!A:B,2,FALSE)</f>
        <v>fighting</v>
      </c>
      <c r="AE94">
        <f>VLOOKUP(AC94,moves!A:D,4,FALSE)</f>
        <v>2</v>
      </c>
      <c r="AF94" t="str">
        <f>IF(VLOOKUP(AC94,moves!A:F,5,FALSE)=0, "", VLOOKUP(AC94,moves!A:F,5,FALSE))</f>
        <v>dynamic</v>
      </c>
      <c r="AG94" t="str">
        <f>VLOOKUP(AC94,moves!A:F,6,FALSE)</f>
        <v>For each fainted Pokémon in your party: Attack Strength is increased by 1.</v>
      </c>
      <c r="AH94">
        <v>0</v>
      </c>
      <c r="AI94">
        <v>0</v>
      </c>
      <c r="AJ94" t="str" cm="1">
        <f t="array" ref="AJ94">_xlfn.IFS(AH94=1, "starter", AI94=1, "legendary",V94&lt; 13, "weak",V94&lt; 17, "moderate", TRUE, "strong")</f>
        <v>weak</v>
      </c>
      <c r="AL94">
        <v>1</v>
      </c>
      <c r="AM94">
        <v>0</v>
      </c>
    </row>
    <row r="95" spans="1:39" x14ac:dyDescent="0.25">
      <c r="A95">
        <v>454</v>
      </c>
      <c r="B95" t="s">
        <v>208</v>
      </c>
      <c r="C95" t="str">
        <f t="shared" si="97"/>
        <v>Toxicroak</v>
      </c>
      <c r="E95" t="s">
        <v>3</v>
      </c>
      <c r="F95" t="s">
        <v>22</v>
      </c>
      <c r="G95">
        <v>83</v>
      </c>
      <c r="H95">
        <v>106</v>
      </c>
      <c r="I95">
        <v>65</v>
      </c>
      <c r="J95">
        <v>86</v>
      </c>
      <c r="K95">
        <v>65</v>
      </c>
      <c r="L95">
        <v>85</v>
      </c>
      <c r="M95" t="s">
        <v>382</v>
      </c>
      <c r="N95" t="s">
        <v>298</v>
      </c>
      <c r="O95" t="s">
        <v>302</v>
      </c>
      <c r="P95">
        <f t="shared" si="67"/>
        <v>9.5599999999999987</v>
      </c>
      <c r="Q95">
        <f t="shared" si="68"/>
        <v>7.2200000000000006</v>
      </c>
      <c r="R95">
        <v>0</v>
      </c>
      <c r="S95">
        <v>0</v>
      </c>
      <c r="T95">
        <f t="shared" si="69"/>
        <v>10</v>
      </c>
      <c r="U95">
        <f t="shared" si="70"/>
        <v>7</v>
      </c>
      <c r="V95">
        <f t="shared" si="71"/>
        <v>17</v>
      </c>
      <c r="W95" t="str">
        <f t="shared" si="65"/>
        <v>poison</v>
      </c>
      <c r="X95" t="str">
        <f>IF(F95 = 0, "", F95)</f>
        <v>fighting</v>
      </c>
      <c r="Y95" t="s">
        <v>9</v>
      </c>
      <c r="Z95" t="s">
        <v>13</v>
      </c>
      <c r="AB95" t="str">
        <f t="shared" si="66"/>
        <v/>
      </c>
      <c r="AC95" t="s">
        <v>838</v>
      </c>
      <c r="AD95" t="str">
        <f>VLOOKUP(AC95,moves!A:B,2,FALSE)</f>
        <v>poison</v>
      </c>
      <c r="AE95">
        <f>VLOOKUP(AC95,moves!A:D,4,FALSE)</f>
        <v>4</v>
      </c>
      <c r="AF95" t="str">
        <f>IF(VLOOKUP(AC95,moves!A:F,5,FALSE)=0, "", VLOOKUP(AC95,moves!A:F,5,FALSE))</f>
        <v/>
      </c>
      <c r="AG95" t="str">
        <f>VLOOKUP(AC95,moves!A:F,6,FALSE)</f>
        <v>If any [status_symbol]s are rolled: Inflict the [poisoned] status on the target.</v>
      </c>
      <c r="AH95">
        <v>0</v>
      </c>
      <c r="AI95">
        <v>0</v>
      </c>
      <c r="AJ95" t="str" cm="1">
        <f t="array" ref="AJ95">_xlfn.IFS(AH95=1, "starter", AI95=1, "legendary",V95&lt; 13, "weak",V95&lt; 17, "moderate", TRUE, "strong")</f>
        <v>strong</v>
      </c>
      <c r="AL95">
        <v>2</v>
      </c>
      <c r="AM95">
        <v>0</v>
      </c>
    </row>
    <row r="96" spans="1:39" x14ac:dyDescent="0.25">
      <c r="A96">
        <v>455</v>
      </c>
      <c r="B96" t="s">
        <v>209</v>
      </c>
      <c r="C96" t="str">
        <f t="shared" si="97"/>
        <v>Carnivine</v>
      </c>
      <c r="E96" t="s">
        <v>2</v>
      </c>
      <c r="G96">
        <v>74</v>
      </c>
      <c r="H96">
        <v>100</v>
      </c>
      <c r="I96">
        <v>72</v>
      </c>
      <c r="J96">
        <v>90</v>
      </c>
      <c r="K96">
        <v>72</v>
      </c>
      <c r="L96">
        <v>46</v>
      </c>
      <c r="M96" t="s">
        <v>383</v>
      </c>
      <c r="N96" t="s">
        <v>298</v>
      </c>
      <c r="O96" t="s">
        <v>302</v>
      </c>
      <c r="P96">
        <f t="shared" si="67"/>
        <v>7.74</v>
      </c>
      <c r="Q96">
        <f t="shared" si="68"/>
        <v>7.2799999999999994</v>
      </c>
      <c r="R96">
        <v>0</v>
      </c>
      <c r="S96">
        <v>0</v>
      </c>
      <c r="T96">
        <f t="shared" si="69"/>
        <v>8</v>
      </c>
      <c r="U96">
        <f t="shared" si="70"/>
        <v>7</v>
      </c>
      <c r="V96">
        <f t="shared" si="71"/>
        <v>15</v>
      </c>
      <c r="W96" t="str">
        <f t="shared" si="65"/>
        <v>grass</v>
      </c>
      <c r="X96" t="s">
        <v>9</v>
      </c>
      <c r="Y96" t="s">
        <v>8</v>
      </c>
      <c r="Z96" t="s">
        <v>3</v>
      </c>
      <c r="AB96" t="str">
        <f t="shared" si="66"/>
        <v/>
      </c>
      <c r="AC96" t="s">
        <v>837</v>
      </c>
      <c r="AD96" t="str">
        <f>VLOOKUP(AC96,moves!A:B,2,FALSE)</f>
        <v>grass</v>
      </c>
      <c r="AE96">
        <f>VLOOKUP(AC96,moves!A:D,4,FALSE)</f>
        <v>3</v>
      </c>
      <c r="AF96" t="str">
        <f>IF(VLOOKUP(AC96,moves!A:F,5,FALSE)=0, "", VLOOKUP(AC96,moves!A:F,5,FALSE))</f>
        <v/>
      </c>
      <c r="AG96" t="str">
        <f>VLOOKUP(AC96,moves!A:F,6,FALSE)</f>
        <v>Inflict the [paralysed] status on the target. Deals 4 extra damage to [bug]-Type Pokémon.</v>
      </c>
      <c r="AH96">
        <v>0</v>
      </c>
      <c r="AI96">
        <v>0</v>
      </c>
      <c r="AJ96" t="str" cm="1">
        <f t="array" ref="AJ96">_xlfn.IFS(AH96=1, "starter", AI96=1, "legendary",V96&lt; 13, "weak",V96&lt; 17, "moderate", TRUE, "strong")</f>
        <v>moderate</v>
      </c>
      <c r="AL96">
        <v>1</v>
      </c>
      <c r="AM96">
        <v>0</v>
      </c>
    </row>
    <row r="97" spans="1:39" x14ac:dyDescent="0.25">
      <c r="A97">
        <v>456</v>
      </c>
      <c r="B97" t="s">
        <v>210</v>
      </c>
      <c r="C97" t="str">
        <f t="shared" si="97"/>
        <v>Finneon</v>
      </c>
      <c r="E97" t="s">
        <v>6</v>
      </c>
      <c r="G97">
        <v>49</v>
      </c>
      <c r="H97">
        <v>49</v>
      </c>
      <c r="I97">
        <v>56</v>
      </c>
      <c r="J97">
        <v>49</v>
      </c>
      <c r="K97">
        <v>61</v>
      </c>
      <c r="L97">
        <v>66</v>
      </c>
      <c r="M97" t="s">
        <v>384</v>
      </c>
      <c r="N97" t="s">
        <v>303</v>
      </c>
      <c r="O97" t="s">
        <v>302</v>
      </c>
      <c r="P97">
        <f t="shared" si="67"/>
        <v>5.58</v>
      </c>
      <c r="Q97">
        <f t="shared" si="68"/>
        <v>5.4700000000000006</v>
      </c>
      <c r="R97">
        <v>0</v>
      </c>
      <c r="S97">
        <v>0</v>
      </c>
      <c r="T97">
        <f t="shared" si="69"/>
        <v>6</v>
      </c>
      <c r="U97">
        <f t="shared" si="70"/>
        <v>5</v>
      </c>
      <c r="V97">
        <f t="shared" si="71"/>
        <v>11</v>
      </c>
      <c r="W97" t="str">
        <f t="shared" si="65"/>
        <v>water</v>
      </c>
      <c r="X97" t="s">
        <v>7</v>
      </c>
      <c r="Y97" t="s">
        <v>5</v>
      </c>
      <c r="Z97" t="s">
        <v>14</v>
      </c>
      <c r="AA97" t="str">
        <f>B98</f>
        <v>Lumineon</v>
      </c>
      <c r="AB97">
        <f t="shared" si="66"/>
        <v>6</v>
      </c>
      <c r="AC97" t="s">
        <v>482</v>
      </c>
      <c r="AD97" t="str">
        <f>VLOOKUP(AC97,moves!A:B,2,FALSE)</f>
        <v>bug</v>
      </c>
      <c r="AE97">
        <f>VLOOKUP(AC97,moves!A:D,4,FALSE)</f>
        <v>3</v>
      </c>
      <c r="AF97" t="str">
        <f>IF(VLOOKUP(AC97,moves!A:F,5,FALSE)=0, "", VLOOKUP(AC97,moves!A:F,5,FALSE))</f>
        <v>switch</v>
      </c>
      <c r="AG97" t="str">
        <f>VLOOKUP(AC97,moves!A:F,6,FALSE)</f>
        <v>When the target next attacks, remove 1 [regular_hit] from the roll.</v>
      </c>
      <c r="AH97">
        <v>0</v>
      </c>
      <c r="AI97">
        <v>0</v>
      </c>
      <c r="AJ97" t="str" cm="1">
        <f t="array" ref="AJ97">_xlfn.IFS(AH97=1, "starter", AI97=1, "legendary",V97&lt; 13, "weak",V97&lt; 17, "moderate", TRUE, "strong")</f>
        <v>weak</v>
      </c>
      <c r="AL97">
        <v>1</v>
      </c>
      <c r="AM97">
        <v>0</v>
      </c>
    </row>
    <row r="98" spans="1:39" x14ac:dyDescent="0.25">
      <c r="A98">
        <v>457</v>
      </c>
      <c r="B98" t="s">
        <v>211</v>
      </c>
      <c r="C98" t="str">
        <f t="shared" si="97"/>
        <v>Lumineon</v>
      </c>
      <c r="E98" t="s">
        <v>6</v>
      </c>
      <c r="G98">
        <v>69</v>
      </c>
      <c r="H98">
        <v>69</v>
      </c>
      <c r="I98">
        <v>76</v>
      </c>
      <c r="J98">
        <v>69</v>
      </c>
      <c r="K98">
        <v>86</v>
      </c>
      <c r="L98">
        <v>91</v>
      </c>
      <c r="M98" t="s">
        <v>385</v>
      </c>
      <c r="N98" t="s">
        <v>303</v>
      </c>
      <c r="O98" t="s">
        <v>302</v>
      </c>
      <c r="P98">
        <f t="shared" si="67"/>
        <v>7.7800000000000011</v>
      </c>
      <c r="Q98">
        <f t="shared" si="68"/>
        <v>7.62</v>
      </c>
      <c r="R98">
        <v>0</v>
      </c>
      <c r="S98">
        <v>0</v>
      </c>
      <c r="T98">
        <f t="shared" si="69"/>
        <v>8</v>
      </c>
      <c r="U98">
        <f t="shared" si="70"/>
        <v>8</v>
      </c>
      <c r="V98">
        <f t="shared" si="71"/>
        <v>16</v>
      </c>
      <c r="W98" t="str">
        <f t="shared" si="65"/>
        <v>water</v>
      </c>
      <c r="X98" t="s">
        <v>7</v>
      </c>
      <c r="Y98" t="s">
        <v>5</v>
      </c>
      <c r="Z98" t="s">
        <v>14</v>
      </c>
      <c r="AB98" t="str">
        <f t="shared" si="66"/>
        <v/>
      </c>
      <c r="AC98" t="s">
        <v>841</v>
      </c>
      <c r="AD98" t="str">
        <f>VLOOKUP(AC98,moves!A:B,2,FALSE)</f>
        <v>water</v>
      </c>
      <c r="AE98">
        <f>VLOOKUP(AC98,moves!A:D,4,FALSE)</f>
        <v>2</v>
      </c>
      <c r="AF98" t="str">
        <f>IF(VLOOKUP(AC98,moves!A:F,5,FALSE)=0, "", VLOOKUP(AC98,moves!A:F,5,FALSE))</f>
        <v/>
      </c>
      <c r="AG98" t="str">
        <f>VLOOKUP(AC98,moves!A:F,6,FALSE)</f>
        <v>Inflict both the [confused] and [paralysed] statuses on the target.</v>
      </c>
      <c r="AH98">
        <v>0</v>
      </c>
      <c r="AI98">
        <v>0</v>
      </c>
      <c r="AJ98" t="str" cm="1">
        <f t="array" ref="AJ98">_xlfn.IFS(AH98=1, "starter", AI98=1, "legendary",V98&lt; 13, "weak",V98&lt; 17, "moderate", TRUE, "strong")</f>
        <v>moderate</v>
      </c>
      <c r="AL98">
        <v>2</v>
      </c>
      <c r="AM98">
        <v>0</v>
      </c>
    </row>
    <row r="99" spans="1:39" x14ac:dyDescent="0.25">
      <c r="A99">
        <v>458</v>
      </c>
      <c r="B99" t="s">
        <v>212</v>
      </c>
      <c r="C99" t="str">
        <f t="shared" si="97"/>
        <v>Mantyke</v>
      </c>
      <c r="E99" t="s">
        <v>6</v>
      </c>
      <c r="F99" t="s">
        <v>5</v>
      </c>
      <c r="G99">
        <v>45</v>
      </c>
      <c r="H99">
        <v>20</v>
      </c>
      <c r="I99">
        <v>50</v>
      </c>
      <c r="J99">
        <v>60</v>
      </c>
      <c r="K99">
        <v>120</v>
      </c>
      <c r="L99">
        <v>50</v>
      </c>
      <c r="M99" t="s">
        <v>386</v>
      </c>
      <c r="N99" t="s">
        <v>303</v>
      </c>
      <c r="O99" t="s">
        <v>302</v>
      </c>
      <c r="P99">
        <f t="shared" si="67"/>
        <v>5.2</v>
      </c>
      <c r="Q99">
        <f t="shared" si="68"/>
        <v>6.9</v>
      </c>
      <c r="R99">
        <v>0</v>
      </c>
      <c r="S99">
        <v>0</v>
      </c>
      <c r="T99">
        <f t="shared" si="69"/>
        <v>5</v>
      </c>
      <c r="U99">
        <f t="shared" si="70"/>
        <v>7</v>
      </c>
      <c r="V99">
        <f t="shared" si="71"/>
        <v>12</v>
      </c>
      <c r="W99" t="str">
        <f t="shared" si="65"/>
        <v>water</v>
      </c>
      <c r="X99" t="str">
        <f>IF(F99 = 0, "", F99)</f>
        <v>flying</v>
      </c>
      <c r="Y99" t="s">
        <v>14</v>
      </c>
      <c r="Z99" t="s">
        <v>13</v>
      </c>
      <c r="AA99" t="str">
        <f>B100</f>
        <v>Mantine</v>
      </c>
      <c r="AB99">
        <f t="shared" si="66"/>
        <v>6</v>
      </c>
      <c r="AC99" t="s">
        <v>494</v>
      </c>
      <c r="AD99" t="str">
        <f>VLOOKUP(AC99,moves!A:B,2,FALSE)</f>
        <v>flying</v>
      </c>
      <c r="AE99">
        <f>VLOOKUP(AC99,moves!A:D,4,FALSE)</f>
        <v>3</v>
      </c>
      <c r="AF99" t="str">
        <f>IF(VLOOKUP(AC99,moves!A:F,5,FALSE)=0, "", VLOOKUP(AC99,moves!A:F,5,FALSE))</f>
        <v/>
      </c>
      <c r="AG99" t="str">
        <f>VLOOKUP(AC99,moves!A:F,6,FALSE)</f>
        <v>When the target next attacks, remove 1 [regular_hit] from the roll.</v>
      </c>
      <c r="AH99">
        <v>0</v>
      </c>
      <c r="AI99">
        <v>0</v>
      </c>
      <c r="AJ99" t="str" cm="1">
        <f t="array" ref="AJ99">_xlfn.IFS(AH99=1, "starter", AI99=1, "legendary",V99&lt; 13, "weak",V99&lt; 17, "moderate", TRUE, "strong")</f>
        <v>weak</v>
      </c>
      <c r="AL99">
        <v>1</v>
      </c>
      <c r="AM99">
        <v>0</v>
      </c>
    </row>
    <row r="100" spans="1:39" x14ac:dyDescent="0.25">
      <c r="A100">
        <v>226</v>
      </c>
      <c r="B100" t="s">
        <v>98</v>
      </c>
      <c r="C100" t="str">
        <f t="shared" si="97"/>
        <v>Mantine</v>
      </c>
      <c r="E100" t="s">
        <v>6</v>
      </c>
      <c r="F100" t="s">
        <v>5</v>
      </c>
      <c r="G100">
        <v>85</v>
      </c>
      <c r="H100">
        <v>40</v>
      </c>
      <c r="I100">
        <v>70</v>
      </c>
      <c r="J100">
        <v>80</v>
      </c>
      <c r="K100">
        <v>140</v>
      </c>
      <c r="L100">
        <v>70</v>
      </c>
      <c r="M100" t="s">
        <v>386</v>
      </c>
      <c r="N100" t="s">
        <v>303</v>
      </c>
      <c r="O100" t="s">
        <v>302</v>
      </c>
      <c r="P100">
        <f t="shared" si="67"/>
        <v>7.2</v>
      </c>
      <c r="Q100">
        <f t="shared" si="68"/>
        <v>9.6999999999999993</v>
      </c>
      <c r="R100">
        <v>0</v>
      </c>
      <c r="S100">
        <v>0</v>
      </c>
      <c r="T100">
        <f t="shared" si="69"/>
        <v>7</v>
      </c>
      <c r="U100">
        <f t="shared" si="70"/>
        <v>10</v>
      </c>
      <c r="V100">
        <f t="shared" si="71"/>
        <v>17</v>
      </c>
      <c r="W100" t="str">
        <f t="shared" si="65"/>
        <v>water</v>
      </c>
      <c r="X100" t="str">
        <f>IF(F100 = 0, "", F100)</f>
        <v>flying</v>
      </c>
      <c r="Y100" t="s">
        <v>14</v>
      </c>
      <c r="Z100" t="s">
        <v>13</v>
      </c>
      <c r="AB100" t="str">
        <f t="shared" si="66"/>
        <v/>
      </c>
      <c r="AC100" t="s">
        <v>576</v>
      </c>
      <c r="AD100" t="str">
        <f>VLOOKUP(AC100,moves!A:B,2,FALSE)</f>
        <v>water</v>
      </c>
      <c r="AE100">
        <f>VLOOKUP(AC100,moves!A:D,4,FALSE)</f>
        <v>4</v>
      </c>
      <c r="AF100" t="str">
        <f>IF(VLOOKUP(AC100,moves!A:F,5,FALSE)=0, "", VLOOKUP(AC100,moves!A:F,5,FALSE))</f>
        <v>dynamic</v>
      </c>
      <c r="AG100" t="str">
        <f>VLOOKUP(AC100,moves!A:F,6,FALSE)</f>
        <v>For each other Surf Move in your party: Attack Strength is increased by 1.</v>
      </c>
      <c r="AH100">
        <v>0</v>
      </c>
      <c r="AI100">
        <v>0</v>
      </c>
      <c r="AJ100" t="str" cm="1">
        <f t="array" ref="AJ100">_xlfn.IFS(AH100=1, "starter", AI100=1, "legendary",V100&lt; 13, "weak",V100&lt; 17, "moderate", TRUE, "strong")</f>
        <v>strong</v>
      </c>
      <c r="AL100">
        <v>2</v>
      </c>
      <c r="AM100">
        <v>0</v>
      </c>
    </row>
    <row r="101" spans="1:39" x14ac:dyDescent="0.25">
      <c r="A101">
        <v>223</v>
      </c>
      <c r="B101" t="s">
        <v>96</v>
      </c>
      <c r="C101" t="str">
        <f t="shared" si="97"/>
        <v>Remoraid</v>
      </c>
      <c r="E101" t="s">
        <v>6</v>
      </c>
      <c r="G101">
        <v>35</v>
      </c>
      <c r="H101">
        <v>65</v>
      </c>
      <c r="I101">
        <v>35</v>
      </c>
      <c r="J101">
        <v>65</v>
      </c>
      <c r="K101">
        <v>35</v>
      </c>
      <c r="L101">
        <v>65</v>
      </c>
      <c r="M101" t="s">
        <v>283</v>
      </c>
      <c r="N101" t="s">
        <v>303</v>
      </c>
      <c r="O101" t="s">
        <v>300</v>
      </c>
      <c r="P101">
        <f t="shared" si="67"/>
        <v>6.5</v>
      </c>
      <c r="Q101">
        <f t="shared" si="68"/>
        <v>3.5</v>
      </c>
      <c r="R101">
        <v>0</v>
      </c>
      <c r="S101">
        <v>0</v>
      </c>
      <c r="T101">
        <f t="shared" si="69"/>
        <v>7</v>
      </c>
      <c r="U101">
        <f t="shared" si="70"/>
        <v>4</v>
      </c>
      <c r="V101">
        <f t="shared" si="71"/>
        <v>11</v>
      </c>
      <c r="W101" t="str">
        <f t="shared" si="65"/>
        <v>water</v>
      </c>
      <c r="X101" t="s">
        <v>14</v>
      </c>
      <c r="Y101" t="s">
        <v>4</v>
      </c>
      <c r="Z101" t="s">
        <v>3</v>
      </c>
      <c r="AA101" t="str">
        <f>B102</f>
        <v>Octillery</v>
      </c>
      <c r="AB101">
        <f t="shared" si="66"/>
        <v>6</v>
      </c>
      <c r="AC101" t="s">
        <v>625</v>
      </c>
      <c r="AD101" t="str">
        <f>VLOOKUP(AC101,moves!A:B,2,FALSE)</f>
        <v>ice</v>
      </c>
      <c r="AE101">
        <f>VLOOKUP(AC101,moves!A:D,4,FALSE)</f>
        <v>3</v>
      </c>
      <c r="AF101" t="str">
        <f>IF(VLOOKUP(AC101,moves!A:F,5,FALSE)=0, "", VLOOKUP(AC101,moves!A:F,5,FALSE))</f>
        <v/>
      </c>
      <c r="AG101" t="str">
        <f>VLOOKUP(AC101,moves!A:F,6,FALSE)</f>
        <v>When the target next attacks, remove 1 [regular_hit] from the roll.</v>
      </c>
      <c r="AH101">
        <v>0</v>
      </c>
      <c r="AI101">
        <v>0</v>
      </c>
      <c r="AJ101" t="str" cm="1">
        <f t="array" ref="AJ101">_xlfn.IFS(AH101=1, "starter", AI101=1, "legendary",V101&lt; 13, "weak",V101&lt; 17, "moderate", TRUE, "strong")</f>
        <v>weak</v>
      </c>
      <c r="AL101">
        <v>1</v>
      </c>
      <c r="AM101">
        <v>0</v>
      </c>
    </row>
    <row r="102" spans="1:39" x14ac:dyDescent="0.25">
      <c r="A102">
        <v>224</v>
      </c>
      <c r="B102" t="s">
        <v>97</v>
      </c>
      <c r="C102" t="str">
        <f t="shared" si="97"/>
        <v>Octillery</v>
      </c>
      <c r="E102" t="s">
        <v>6</v>
      </c>
      <c r="G102">
        <v>75</v>
      </c>
      <c r="H102">
        <v>105</v>
      </c>
      <c r="I102">
        <v>75</v>
      </c>
      <c r="J102">
        <v>105</v>
      </c>
      <c r="K102">
        <v>75</v>
      </c>
      <c r="L102">
        <v>45</v>
      </c>
      <c r="M102" t="s">
        <v>283</v>
      </c>
      <c r="N102" t="s">
        <v>303</v>
      </c>
      <c r="O102" t="s">
        <v>300</v>
      </c>
      <c r="P102">
        <f t="shared" si="67"/>
        <v>8.1</v>
      </c>
      <c r="Q102">
        <f t="shared" si="68"/>
        <v>7.5</v>
      </c>
      <c r="R102">
        <v>0</v>
      </c>
      <c r="S102">
        <v>0</v>
      </c>
      <c r="T102">
        <f t="shared" si="69"/>
        <v>8</v>
      </c>
      <c r="U102">
        <f t="shared" si="70"/>
        <v>8</v>
      </c>
      <c r="V102">
        <f t="shared" si="71"/>
        <v>16</v>
      </c>
      <c r="W102" t="str">
        <f t="shared" si="65"/>
        <v>water</v>
      </c>
      <c r="X102" t="s">
        <v>14</v>
      </c>
      <c r="Y102" t="s">
        <v>4</v>
      </c>
      <c r="Z102" t="s">
        <v>3</v>
      </c>
      <c r="AB102" t="str">
        <f t="shared" si="66"/>
        <v/>
      </c>
      <c r="AC102" t="s">
        <v>528</v>
      </c>
      <c r="AD102" t="str">
        <f>VLOOKUP(AC102,moves!A:B,2,FALSE)</f>
        <v>water</v>
      </c>
      <c r="AE102">
        <f>VLOOKUP(AC102,moves!A:D,4,FALSE)</f>
        <v>4</v>
      </c>
      <c r="AF102" t="str">
        <f>IF(VLOOKUP(AC102,moves!A:F,5,FALSE)=0, "", VLOOKUP(AC102,moves!A:F,5,FALSE))</f>
        <v/>
      </c>
      <c r="AG102" t="str">
        <f>VLOOKUP(AC102,moves!A:F,6,FALSE)</f>
        <v>[critical_hit]s deal +2 damage.</v>
      </c>
      <c r="AH102">
        <v>0</v>
      </c>
      <c r="AI102">
        <v>0</v>
      </c>
      <c r="AJ102" t="str" cm="1">
        <f t="array" ref="AJ102">_xlfn.IFS(AH102=1, "starter", AI102=1, "legendary",V102&lt; 13, "weak",V102&lt; 17, "moderate", TRUE, "strong")</f>
        <v>moderate</v>
      </c>
      <c r="AL102">
        <v>2</v>
      </c>
      <c r="AM102">
        <v>0</v>
      </c>
    </row>
    <row r="103" spans="1:39" x14ac:dyDescent="0.25">
      <c r="A103">
        <v>459</v>
      </c>
      <c r="B103" t="s">
        <v>213</v>
      </c>
      <c r="C103" t="str">
        <f t="shared" si="97"/>
        <v>Snover</v>
      </c>
      <c r="E103" t="s">
        <v>2</v>
      </c>
      <c r="F103" t="s">
        <v>14</v>
      </c>
      <c r="G103">
        <v>60</v>
      </c>
      <c r="H103">
        <v>62</v>
      </c>
      <c r="I103">
        <v>50</v>
      </c>
      <c r="J103">
        <v>62</v>
      </c>
      <c r="K103">
        <v>60</v>
      </c>
      <c r="L103">
        <v>40</v>
      </c>
      <c r="M103" t="s">
        <v>387</v>
      </c>
      <c r="N103" t="s">
        <v>301</v>
      </c>
      <c r="O103" t="s">
        <v>299</v>
      </c>
      <c r="P103">
        <f t="shared" si="67"/>
        <v>5.32</v>
      </c>
      <c r="Q103">
        <f t="shared" si="68"/>
        <v>5.7</v>
      </c>
      <c r="R103">
        <v>0</v>
      </c>
      <c r="S103">
        <v>0</v>
      </c>
      <c r="T103">
        <f t="shared" si="69"/>
        <v>5</v>
      </c>
      <c r="U103">
        <f t="shared" si="70"/>
        <v>6</v>
      </c>
      <c r="V103">
        <f t="shared" si="71"/>
        <v>11</v>
      </c>
      <c r="W103" t="str">
        <f t="shared" si="65"/>
        <v>grass</v>
      </c>
      <c r="X103" t="str">
        <f t="shared" ref="X103:X110" si="98">IF(F103 = 0, "", F103)</f>
        <v>ice</v>
      </c>
      <c r="Y103" t="s">
        <v>13</v>
      </c>
      <c r="Z103" t="s">
        <v>33</v>
      </c>
      <c r="AA103" t="str">
        <f>B104</f>
        <v>Abomasnow</v>
      </c>
      <c r="AB103">
        <f t="shared" si="66"/>
        <v>6</v>
      </c>
      <c r="AC103" t="s">
        <v>490</v>
      </c>
      <c r="AD103" t="str">
        <f>VLOOKUP(AC103,moves!A:B,2,FALSE)</f>
        <v>ice</v>
      </c>
      <c r="AE103">
        <f>VLOOKUP(AC103,moves!A:D,4,FALSE)</f>
        <v>2</v>
      </c>
      <c r="AF103" t="str">
        <f>IF(VLOOKUP(AC103,moves!A:F,5,FALSE)=0, "", VLOOKUP(AC103,moves!A:F,5,FALSE))</f>
        <v/>
      </c>
      <c r="AG103" t="str">
        <f>VLOOKUP(AC103,moves!A:F,6,FALSE)</f>
        <v>Inflict the [frozen] status on the target.</v>
      </c>
      <c r="AH103">
        <v>0</v>
      </c>
      <c r="AI103">
        <v>0</v>
      </c>
      <c r="AJ103" t="str" cm="1">
        <f t="array" ref="AJ103">_xlfn.IFS(AH103=1, "starter", AI103=1, "legendary",V103&lt; 13, "weak",V103&lt; 17, "moderate", TRUE, "strong")</f>
        <v>weak</v>
      </c>
      <c r="AL103">
        <v>1</v>
      </c>
      <c r="AM103">
        <v>0</v>
      </c>
    </row>
    <row r="104" spans="1:39" x14ac:dyDescent="0.25">
      <c r="A104">
        <v>460</v>
      </c>
      <c r="B104" t="s">
        <v>214</v>
      </c>
      <c r="C104" t="str">
        <f t="shared" si="97"/>
        <v>Abomasnow</v>
      </c>
      <c r="E104" t="s">
        <v>2</v>
      </c>
      <c r="F104" t="s">
        <v>14</v>
      </c>
      <c r="G104">
        <v>90</v>
      </c>
      <c r="H104">
        <v>92</v>
      </c>
      <c r="I104">
        <v>75</v>
      </c>
      <c r="J104">
        <v>92</v>
      </c>
      <c r="K104">
        <v>85</v>
      </c>
      <c r="L104">
        <v>60</v>
      </c>
      <c r="M104" t="s">
        <v>387</v>
      </c>
      <c r="N104" t="s">
        <v>301</v>
      </c>
      <c r="O104" t="s">
        <v>299</v>
      </c>
      <c r="P104">
        <f t="shared" si="67"/>
        <v>7.92</v>
      </c>
      <c r="Q104">
        <f t="shared" si="68"/>
        <v>8.4</v>
      </c>
      <c r="R104">
        <v>0</v>
      </c>
      <c r="S104">
        <v>0</v>
      </c>
      <c r="T104">
        <f t="shared" si="69"/>
        <v>8</v>
      </c>
      <c r="U104">
        <f t="shared" si="70"/>
        <v>8</v>
      </c>
      <c r="V104">
        <f t="shared" si="71"/>
        <v>16</v>
      </c>
      <c r="W104" t="str">
        <f t="shared" si="65"/>
        <v>grass</v>
      </c>
      <c r="X104" t="str">
        <f t="shared" si="98"/>
        <v>ice</v>
      </c>
      <c r="Y104" t="s">
        <v>13</v>
      </c>
      <c r="Z104" t="s">
        <v>33</v>
      </c>
      <c r="AB104" t="str">
        <f t="shared" si="66"/>
        <v/>
      </c>
      <c r="AC104" t="s">
        <v>529</v>
      </c>
      <c r="AD104" t="str">
        <f>VLOOKUP(AC104,moves!A:B,2,FALSE)</f>
        <v>grass</v>
      </c>
      <c r="AE104">
        <f>VLOOKUP(AC104,moves!A:D,4,FALSE)</f>
        <v>5</v>
      </c>
      <c r="AF104" t="str">
        <f>IF(VLOOKUP(AC104,moves!A:F,5,FALSE)=0, "", VLOOKUP(AC104,moves!A:F,5,FALSE))</f>
        <v/>
      </c>
      <c r="AG104" t="str">
        <f>VLOOKUP(AC104,moves!A:F,6,FALSE)</f>
        <v>[critical_hit]s deal +2 damage but for each [critical_hit] rolled: The user takes 2 damage.</v>
      </c>
      <c r="AH104">
        <v>0</v>
      </c>
      <c r="AI104">
        <v>0</v>
      </c>
      <c r="AJ104" t="str" cm="1">
        <f t="array" ref="AJ104">_xlfn.IFS(AH104=1, "starter", AI104=1, "legendary",V104&lt; 13, "weak",V104&lt; 17, "moderate", TRUE, "strong")</f>
        <v>moderate</v>
      </c>
      <c r="AL104">
        <v>2</v>
      </c>
      <c r="AM104">
        <v>0</v>
      </c>
    </row>
    <row r="105" spans="1:39" x14ac:dyDescent="0.25">
      <c r="A105" t="s">
        <v>1141</v>
      </c>
      <c r="B105" t="s">
        <v>1158</v>
      </c>
      <c r="C105" t="s">
        <v>214</v>
      </c>
      <c r="D105" t="s">
        <v>1152</v>
      </c>
      <c r="E105" t="s">
        <v>5</v>
      </c>
      <c r="F105" t="s">
        <v>14</v>
      </c>
      <c r="G105">
        <v>90</v>
      </c>
      <c r="H105">
        <v>92</v>
      </c>
      <c r="I105">
        <v>75</v>
      </c>
      <c r="J105">
        <v>92</v>
      </c>
      <c r="K105">
        <v>85</v>
      </c>
      <c r="L105">
        <v>60</v>
      </c>
      <c r="M105" t="s">
        <v>591</v>
      </c>
      <c r="O105" t="s">
        <v>1146</v>
      </c>
      <c r="P105">
        <f t="shared" ref="P105" si="99">(0.4*L105 + 0.5*MAX(H105,J105) + 0.1*MIN(H105,J105)) / 10</f>
        <v>7.92</v>
      </c>
      <c r="Q105">
        <f t="shared" ref="Q105" si="100">(0.4*G105 + 0.3*I105 + 0.3*K105) / 10</f>
        <v>8.4</v>
      </c>
      <c r="R105">
        <v>5</v>
      </c>
      <c r="S105">
        <v>0</v>
      </c>
      <c r="T105">
        <f t="shared" ref="T105" si="101">ROUND(P105,0)+R105</f>
        <v>13</v>
      </c>
      <c r="U105">
        <f t="shared" ref="U105" si="102">ROUND(Q105,0)+S105</f>
        <v>8</v>
      </c>
      <c r="V105">
        <f t="shared" ref="V105" si="103">SUM(ROUND(T105,0),ROUND(U105,0))</f>
        <v>21</v>
      </c>
      <c r="W105" t="str">
        <f t="shared" ref="W105" si="104">E105</f>
        <v>flying</v>
      </c>
      <c r="X105" t="str">
        <f t="shared" ref="X105" si="105">IF(F105 = 0, "", F105)</f>
        <v>ice</v>
      </c>
      <c r="Y105" t="s">
        <v>13</v>
      </c>
      <c r="Z105" t="s">
        <v>33</v>
      </c>
      <c r="AB105" t="str">
        <f t="shared" si="66"/>
        <v/>
      </c>
      <c r="AC105" t="s">
        <v>1170</v>
      </c>
      <c r="AD105" t="str">
        <f>VLOOKUP(AC105,moves!A:B,2,FALSE)</f>
        <v>flying</v>
      </c>
      <c r="AE105">
        <f>VLOOKUP(AC105,moves!A:D,4,FALSE)</f>
        <v>2</v>
      </c>
      <c r="AF105" t="str">
        <f>IF(VLOOKUP(AC105,moves!A:F,5,FALSE)=0, "", VLOOKUP(AC105,moves!A:F,5,FALSE))</f>
        <v>switch</v>
      </c>
      <c r="AG105" t="str">
        <f>VLOOKUP(AC105,moves!A:F,6,FALSE)</f>
        <v>Inflict the [frozen] status on the target.</v>
      </c>
      <c r="AH105">
        <v>0</v>
      </c>
      <c r="AI105">
        <v>1</v>
      </c>
      <c r="AJ105" t="str" cm="1">
        <f t="array" ref="AJ105">_xlfn.IFS(AH105=1, "starter", AI105=1, "legendary",V105&lt; 13, "weak",V105&lt; 17, "moderate", TRUE, "strong")</f>
        <v>legendary</v>
      </c>
      <c r="AL105">
        <v>1</v>
      </c>
      <c r="AM105">
        <v>0</v>
      </c>
    </row>
    <row r="106" spans="1:39" x14ac:dyDescent="0.25">
      <c r="A106">
        <v>215</v>
      </c>
      <c r="B106" t="s">
        <v>90</v>
      </c>
      <c r="C106" t="str">
        <f t="shared" ref="C106:C120" si="106">B106</f>
        <v>Sneasel</v>
      </c>
      <c r="E106" t="s">
        <v>9</v>
      </c>
      <c r="F106" t="s">
        <v>14</v>
      </c>
      <c r="G106">
        <v>55</v>
      </c>
      <c r="H106">
        <v>95</v>
      </c>
      <c r="I106">
        <v>55</v>
      </c>
      <c r="J106">
        <v>35</v>
      </c>
      <c r="K106">
        <v>75</v>
      </c>
      <c r="L106">
        <v>115</v>
      </c>
      <c r="M106" t="s">
        <v>388</v>
      </c>
      <c r="N106" t="s">
        <v>304</v>
      </c>
      <c r="O106" t="s">
        <v>299</v>
      </c>
      <c r="P106">
        <f t="shared" si="67"/>
        <v>9.6999999999999993</v>
      </c>
      <c r="Q106">
        <f t="shared" si="68"/>
        <v>6.1</v>
      </c>
      <c r="R106">
        <v>0</v>
      </c>
      <c r="S106">
        <v>0</v>
      </c>
      <c r="T106">
        <f t="shared" si="69"/>
        <v>10</v>
      </c>
      <c r="U106">
        <f t="shared" si="70"/>
        <v>6</v>
      </c>
      <c r="V106">
        <f t="shared" si="71"/>
        <v>16</v>
      </c>
      <c r="W106" t="str">
        <f t="shared" si="65"/>
        <v>dark</v>
      </c>
      <c r="X106" t="str">
        <f t="shared" si="98"/>
        <v>ice</v>
      </c>
      <c r="Y106" t="s">
        <v>8</v>
      </c>
      <c r="Z106" t="s">
        <v>22</v>
      </c>
      <c r="AA106" t="str">
        <f>B107</f>
        <v>Weavile</v>
      </c>
      <c r="AB106">
        <f t="shared" si="66"/>
        <v>4</v>
      </c>
      <c r="AC106" t="s">
        <v>530</v>
      </c>
      <c r="AD106" t="str">
        <f>VLOOKUP(AC106,moves!A:B,2,FALSE)</f>
        <v>normal</v>
      </c>
      <c r="AE106">
        <f>VLOOKUP(AC106,moves!A:D,4,FALSE)</f>
        <v>4</v>
      </c>
      <c r="AF106" t="str">
        <f>IF(VLOOKUP(AC106,moves!A:F,5,FALSE)=0, "", VLOOKUP(AC106,moves!A:F,5,FALSE))</f>
        <v/>
      </c>
      <c r="AG106" t="str">
        <f>VLOOKUP(AC106,moves!A:F,6,FALSE)</f>
        <v>[critical_hit]s deal +1 damage.</v>
      </c>
      <c r="AH106">
        <v>0</v>
      </c>
      <c r="AI106">
        <v>0</v>
      </c>
      <c r="AJ106" t="str" cm="1">
        <f t="array" ref="AJ106">_xlfn.IFS(AH106=1, "starter", AI106=1, "legendary",V106&lt; 13, "weak",V106&lt; 17, "moderate", TRUE, "strong")</f>
        <v>moderate</v>
      </c>
      <c r="AL106">
        <v>1</v>
      </c>
      <c r="AM106">
        <v>0</v>
      </c>
    </row>
    <row r="107" spans="1:39" x14ac:dyDescent="0.25">
      <c r="A107">
        <v>461</v>
      </c>
      <c r="B107" t="s">
        <v>215</v>
      </c>
      <c r="C107" t="str">
        <f t="shared" si="106"/>
        <v>Weavile</v>
      </c>
      <c r="E107" t="s">
        <v>9</v>
      </c>
      <c r="F107" t="s">
        <v>14</v>
      </c>
      <c r="G107">
        <v>70</v>
      </c>
      <c r="H107">
        <v>120</v>
      </c>
      <c r="I107">
        <v>65</v>
      </c>
      <c r="J107">
        <v>45</v>
      </c>
      <c r="K107">
        <v>85</v>
      </c>
      <c r="L107">
        <v>125</v>
      </c>
      <c r="M107" t="s">
        <v>388</v>
      </c>
      <c r="N107" t="s">
        <v>304</v>
      </c>
      <c r="O107" t="s">
        <v>299</v>
      </c>
      <c r="P107">
        <f t="shared" si="67"/>
        <v>11.45</v>
      </c>
      <c r="Q107">
        <f t="shared" si="68"/>
        <v>7.3</v>
      </c>
      <c r="R107">
        <v>0</v>
      </c>
      <c r="S107">
        <v>0</v>
      </c>
      <c r="T107">
        <f t="shared" si="69"/>
        <v>11</v>
      </c>
      <c r="U107">
        <f t="shared" si="70"/>
        <v>7</v>
      </c>
      <c r="V107">
        <f t="shared" si="71"/>
        <v>18</v>
      </c>
      <c r="W107" t="str">
        <f t="shared" si="65"/>
        <v>dark</v>
      </c>
      <c r="X107" t="str">
        <f t="shared" si="98"/>
        <v>ice</v>
      </c>
      <c r="Y107" t="s">
        <v>8</v>
      </c>
      <c r="Z107" t="s">
        <v>22</v>
      </c>
      <c r="AB107" t="str">
        <f t="shared" si="66"/>
        <v/>
      </c>
      <c r="AC107" t="s">
        <v>595</v>
      </c>
      <c r="AD107" t="str">
        <f>VLOOKUP(AC107,moves!A:B,2,FALSE)</f>
        <v>ice</v>
      </c>
      <c r="AE107">
        <f>VLOOKUP(AC107,moves!A:D,4,FALSE)</f>
        <v>4</v>
      </c>
      <c r="AF107" t="str">
        <f>IF(VLOOKUP(AC107,moves!A:F,5,FALSE)=0, "", VLOOKUP(AC107,moves!A:F,5,FALSE))</f>
        <v/>
      </c>
      <c r="AG107" t="str">
        <f>VLOOKUP(AC107,moves!A:F,6,FALSE)</f>
        <v>If any [status_symbol]s are rolled: Inflict the [frozen] status on the target.</v>
      </c>
      <c r="AH107">
        <v>0</v>
      </c>
      <c r="AI107">
        <v>0</v>
      </c>
      <c r="AJ107" t="str" cm="1">
        <f t="array" ref="AJ107">_xlfn.IFS(AH107=1, "starter", AI107=1, "legendary",V107&lt; 13, "weak",V107&lt; 17, "moderate", TRUE, "strong")</f>
        <v>strong</v>
      </c>
      <c r="AL107">
        <v>2</v>
      </c>
      <c r="AM107">
        <v>0</v>
      </c>
    </row>
    <row r="108" spans="1:39" x14ac:dyDescent="0.25">
      <c r="A108">
        <v>81</v>
      </c>
      <c r="B108" t="s">
        <v>38</v>
      </c>
      <c r="C108" t="str">
        <f t="shared" si="106"/>
        <v>Magnemite</v>
      </c>
      <c r="E108" t="s">
        <v>11</v>
      </c>
      <c r="F108" t="s">
        <v>39</v>
      </c>
      <c r="G108">
        <v>25</v>
      </c>
      <c r="H108">
        <v>35</v>
      </c>
      <c r="I108">
        <v>70</v>
      </c>
      <c r="J108">
        <v>95</v>
      </c>
      <c r="K108">
        <v>55</v>
      </c>
      <c r="L108">
        <v>45</v>
      </c>
      <c r="M108" t="s">
        <v>389</v>
      </c>
      <c r="N108" t="s">
        <v>304</v>
      </c>
      <c r="O108" t="s">
        <v>302</v>
      </c>
      <c r="P108">
        <f t="shared" si="67"/>
        <v>6.9</v>
      </c>
      <c r="Q108">
        <f t="shared" si="68"/>
        <v>4.75</v>
      </c>
      <c r="R108">
        <v>0</v>
      </c>
      <c r="S108">
        <v>0</v>
      </c>
      <c r="T108">
        <f t="shared" si="69"/>
        <v>7</v>
      </c>
      <c r="U108">
        <f t="shared" si="70"/>
        <v>5</v>
      </c>
      <c r="V108">
        <f t="shared" si="71"/>
        <v>12</v>
      </c>
      <c r="W108" t="str">
        <f t="shared" si="65"/>
        <v>electric</v>
      </c>
      <c r="X108" t="str">
        <f t="shared" si="98"/>
        <v>steel</v>
      </c>
      <c r="Y108" t="s">
        <v>8</v>
      </c>
      <c r="Z108" t="s">
        <v>22</v>
      </c>
      <c r="AA108" t="str">
        <f>B109</f>
        <v>Magneton</v>
      </c>
      <c r="AB108">
        <f t="shared" si="66"/>
        <v>5</v>
      </c>
      <c r="AC108" t="s">
        <v>567</v>
      </c>
      <c r="AD108" t="str">
        <f>VLOOKUP(AC108,moves!A:B,2,FALSE)</f>
        <v>electric</v>
      </c>
      <c r="AE108">
        <f>VLOOKUP(AC108,moves!A:D,4,FALSE)</f>
        <v>2</v>
      </c>
      <c r="AF108" t="str">
        <f>IF(VLOOKUP(AC108,moves!A:F,5,FALSE)=0, "", VLOOKUP(AC108,moves!A:F,5,FALSE))</f>
        <v/>
      </c>
      <c r="AG108" t="str">
        <f>VLOOKUP(AC108,moves!A:F,6,FALSE)</f>
        <v>Inflict the [paralysed] status on the target.</v>
      </c>
      <c r="AH108">
        <v>0</v>
      </c>
      <c r="AI108">
        <v>0</v>
      </c>
      <c r="AJ108" t="str" cm="1">
        <f t="array" ref="AJ108">_xlfn.IFS(AH108=1, "starter", AI108=1, "legendary",V108&lt; 13, "weak",V108&lt; 17, "moderate", TRUE, "strong")</f>
        <v>weak</v>
      </c>
      <c r="AL108">
        <v>1</v>
      </c>
      <c r="AM108">
        <v>0</v>
      </c>
    </row>
    <row r="109" spans="1:39" x14ac:dyDescent="0.25">
      <c r="A109">
        <v>82</v>
      </c>
      <c r="B109" t="s">
        <v>40</v>
      </c>
      <c r="C109" t="str">
        <f t="shared" si="106"/>
        <v>Magneton</v>
      </c>
      <c r="E109" t="s">
        <v>11</v>
      </c>
      <c r="F109" t="s">
        <v>39</v>
      </c>
      <c r="G109">
        <v>50</v>
      </c>
      <c r="H109">
        <v>60</v>
      </c>
      <c r="I109">
        <v>95</v>
      </c>
      <c r="J109">
        <v>120</v>
      </c>
      <c r="K109">
        <v>70</v>
      </c>
      <c r="L109">
        <v>70</v>
      </c>
      <c r="M109" t="s">
        <v>389</v>
      </c>
      <c r="N109" t="s">
        <v>304</v>
      </c>
      <c r="O109" t="s">
        <v>302</v>
      </c>
      <c r="P109">
        <f t="shared" si="67"/>
        <v>9.4</v>
      </c>
      <c r="Q109">
        <f t="shared" si="68"/>
        <v>6.95</v>
      </c>
      <c r="R109">
        <v>0</v>
      </c>
      <c r="S109">
        <v>0</v>
      </c>
      <c r="T109">
        <f t="shared" si="69"/>
        <v>9</v>
      </c>
      <c r="U109">
        <f t="shared" si="70"/>
        <v>7</v>
      </c>
      <c r="V109">
        <f t="shared" si="71"/>
        <v>16</v>
      </c>
      <c r="W109" t="str">
        <f t="shared" si="65"/>
        <v>electric</v>
      </c>
      <c r="X109" t="str">
        <f t="shared" si="98"/>
        <v>steel</v>
      </c>
      <c r="Y109" t="s">
        <v>8</v>
      </c>
      <c r="Z109" t="s">
        <v>22</v>
      </c>
      <c r="AA109" t="str">
        <f>B110</f>
        <v>Magnezone</v>
      </c>
      <c r="AB109">
        <f t="shared" si="66"/>
        <v>5</v>
      </c>
      <c r="AC109" t="s">
        <v>531</v>
      </c>
      <c r="AD109" t="str">
        <f>VLOOKUP(AC109,moves!A:B,2,FALSE)</f>
        <v>normal</v>
      </c>
      <c r="AE109">
        <f>VLOOKUP(AC109,moves!A:D,4,FALSE)</f>
        <v>4</v>
      </c>
      <c r="AF109" t="str">
        <f>IF(VLOOKUP(AC109,moves!A:F,5,FALSE)=0, "", VLOOKUP(AC109,moves!A:F,5,FALSE))</f>
        <v/>
      </c>
      <c r="AG109" t="str">
        <f>VLOOKUP(AC109,moves!A:F,6,FALSE)</f>
        <v>If any [status_symbol]s are rolled: Inflict any status effect on the target.</v>
      </c>
      <c r="AH109">
        <v>0</v>
      </c>
      <c r="AI109">
        <v>0</v>
      </c>
      <c r="AJ109" t="str" cm="1">
        <f t="array" ref="AJ109">_xlfn.IFS(AH109=1, "starter", AI109=1, "legendary",V109&lt; 13, "weak",V109&lt; 17, "moderate", TRUE, "strong")</f>
        <v>moderate</v>
      </c>
      <c r="AL109">
        <v>2</v>
      </c>
      <c r="AM109">
        <v>0</v>
      </c>
    </row>
    <row r="110" spans="1:39" x14ac:dyDescent="0.25">
      <c r="A110">
        <v>462</v>
      </c>
      <c r="B110" t="s">
        <v>216</v>
      </c>
      <c r="C110" t="str">
        <f t="shared" si="106"/>
        <v>Magnezone</v>
      </c>
      <c r="E110" t="s">
        <v>11</v>
      </c>
      <c r="F110" t="s">
        <v>39</v>
      </c>
      <c r="G110">
        <v>70</v>
      </c>
      <c r="H110">
        <v>70</v>
      </c>
      <c r="I110">
        <v>115</v>
      </c>
      <c r="J110">
        <v>130</v>
      </c>
      <c r="K110">
        <v>90</v>
      </c>
      <c r="L110">
        <v>60</v>
      </c>
      <c r="M110" t="s">
        <v>390</v>
      </c>
      <c r="N110" t="s">
        <v>304</v>
      </c>
      <c r="O110" t="s">
        <v>302</v>
      </c>
      <c r="P110">
        <f t="shared" si="67"/>
        <v>9.6</v>
      </c>
      <c r="Q110">
        <f t="shared" si="68"/>
        <v>8.9499999999999993</v>
      </c>
      <c r="R110">
        <v>0</v>
      </c>
      <c r="S110">
        <v>0</v>
      </c>
      <c r="T110">
        <f t="shared" si="69"/>
        <v>10</v>
      </c>
      <c r="U110">
        <f t="shared" si="70"/>
        <v>9</v>
      </c>
      <c r="V110">
        <f t="shared" si="71"/>
        <v>19</v>
      </c>
      <c r="W110" t="str">
        <f t="shared" si="65"/>
        <v>electric</v>
      </c>
      <c r="X110" t="str">
        <f t="shared" si="98"/>
        <v>steel</v>
      </c>
      <c r="Y110" t="s">
        <v>8</v>
      </c>
      <c r="Z110" t="s">
        <v>22</v>
      </c>
      <c r="AB110" t="str">
        <f t="shared" si="66"/>
        <v/>
      </c>
      <c r="AC110" t="s">
        <v>507</v>
      </c>
      <c r="AD110" t="str">
        <f>VLOOKUP(AC110,moves!A:B,2,FALSE)</f>
        <v>steel</v>
      </c>
      <c r="AE110">
        <f>VLOOKUP(AC110,moves!A:D,4,FALSE)</f>
        <v>4</v>
      </c>
      <c r="AF110" t="str">
        <f>IF(VLOOKUP(AC110,moves!A:F,5,FALSE)=0, "", VLOOKUP(AC110,moves!A:F,5,FALSE))</f>
        <v/>
      </c>
      <c r="AG110" t="str">
        <f>VLOOKUP(AC110,moves!A:F,6,FALSE)</f>
        <v>When the target next attacks, [status_symbol]s deal -1 damage.</v>
      </c>
      <c r="AH110">
        <v>0</v>
      </c>
      <c r="AI110">
        <v>0</v>
      </c>
      <c r="AJ110" t="str" cm="1">
        <f t="array" ref="AJ110">_xlfn.IFS(AH110=1, "starter", AI110=1, "legendary",V110&lt; 13, "weak",V110&lt; 17, "moderate", TRUE, "strong")</f>
        <v>strong</v>
      </c>
      <c r="AL110">
        <v>3</v>
      </c>
      <c r="AM110">
        <v>0</v>
      </c>
    </row>
    <row r="111" spans="1:39" x14ac:dyDescent="0.25">
      <c r="A111">
        <v>108</v>
      </c>
      <c r="B111" t="s">
        <v>48</v>
      </c>
      <c r="C111" t="str">
        <f t="shared" si="106"/>
        <v>Lickitung</v>
      </c>
      <c r="E111" t="s">
        <v>8</v>
      </c>
      <c r="G111">
        <v>90</v>
      </c>
      <c r="H111">
        <v>55</v>
      </c>
      <c r="I111">
        <v>75</v>
      </c>
      <c r="J111">
        <v>60</v>
      </c>
      <c r="K111">
        <v>75</v>
      </c>
      <c r="L111">
        <v>30</v>
      </c>
      <c r="M111" t="s">
        <v>391</v>
      </c>
      <c r="N111" t="s">
        <v>301</v>
      </c>
      <c r="O111" t="s">
        <v>300</v>
      </c>
      <c r="P111">
        <f t="shared" si="67"/>
        <v>4.75</v>
      </c>
      <c r="Q111">
        <f t="shared" si="68"/>
        <v>8.1</v>
      </c>
      <c r="R111">
        <v>0</v>
      </c>
      <c r="S111">
        <v>0</v>
      </c>
      <c r="T111">
        <f t="shared" si="69"/>
        <v>5</v>
      </c>
      <c r="U111">
        <f t="shared" si="70"/>
        <v>8</v>
      </c>
      <c r="V111">
        <f t="shared" si="71"/>
        <v>13</v>
      </c>
      <c r="W111" t="str">
        <f t="shared" si="65"/>
        <v>normal</v>
      </c>
      <c r="X111" t="s">
        <v>33</v>
      </c>
      <c r="Y111" t="s">
        <v>4</v>
      </c>
      <c r="Z111" t="s">
        <v>14</v>
      </c>
      <c r="AA111" t="str">
        <f>B112</f>
        <v>Lickilicky</v>
      </c>
      <c r="AB111">
        <f t="shared" si="66"/>
        <v>6</v>
      </c>
      <c r="AC111" t="s">
        <v>532</v>
      </c>
      <c r="AD111" t="str">
        <f>VLOOKUP(AC111,moves!A:B,2,FALSE)</f>
        <v>rock</v>
      </c>
      <c r="AE111">
        <f>VLOOKUP(AC111,moves!A:D,4,FALSE)</f>
        <v>3</v>
      </c>
      <c r="AF111" t="str">
        <f>IF(VLOOKUP(AC111,moves!A:F,5,FALSE)=0, "", VLOOKUP(AC111,moves!A:F,5,FALSE))</f>
        <v>dynamic</v>
      </c>
      <c r="AG111" t="str">
        <f>VLOOKUP(AC111,moves!A:F,6,FALSE)</f>
        <v>Each time this attack is used this battle, Attack Strength is increased by 1.</v>
      </c>
      <c r="AH111">
        <v>0</v>
      </c>
      <c r="AI111">
        <v>0</v>
      </c>
      <c r="AJ111" t="str" cm="1">
        <f t="array" ref="AJ111">_xlfn.IFS(AH111=1, "starter", AI111=1, "legendary",V111&lt; 13, "weak",V111&lt; 17, "moderate", TRUE, "strong")</f>
        <v>moderate</v>
      </c>
      <c r="AL111">
        <v>1</v>
      </c>
      <c r="AM111">
        <v>0</v>
      </c>
    </row>
    <row r="112" spans="1:39" ht="14.25" customHeight="1" x14ac:dyDescent="0.25">
      <c r="A112">
        <v>463</v>
      </c>
      <c r="B112" t="s">
        <v>217</v>
      </c>
      <c r="C112" t="str">
        <f t="shared" si="106"/>
        <v>Lickilicky</v>
      </c>
      <c r="E112" t="s">
        <v>8</v>
      </c>
      <c r="G112">
        <v>110</v>
      </c>
      <c r="H112">
        <v>85</v>
      </c>
      <c r="I112">
        <v>95</v>
      </c>
      <c r="J112">
        <v>80</v>
      </c>
      <c r="K112">
        <v>95</v>
      </c>
      <c r="L112">
        <v>50</v>
      </c>
      <c r="M112" t="s">
        <v>391</v>
      </c>
      <c r="N112" t="s">
        <v>301</v>
      </c>
      <c r="O112" t="s">
        <v>300</v>
      </c>
      <c r="P112">
        <f t="shared" si="67"/>
        <v>7.05</v>
      </c>
      <c r="Q112">
        <f t="shared" si="68"/>
        <v>10.1</v>
      </c>
      <c r="R112">
        <v>0</v>
      </c>
      <c r="S112">
        <v>0</v>
      </c>
      <c r="T112">
        <f t="shared" si="69"/>
        <v>7</v>
      </c>
      <c r="U112">
        <f t="shared" si="70"/>
        <v>10</v>
      </c>
      <c r="V112">
        <f t="shared" si="71"/>
        <v>17</v>
      </c>
      <c r="W112" t="str">
        <f t="shared" si="65"/>
        <v>normal</v>
      </c>
      <c r="X112" t="s">
        <v>33</v>
      </c>
      <c r="Y112" t="s">
        <v>4</v>
      </c>
      <c r="Z112" t="s">
        <v>14</v>
      </c>
      <c r="AB112" t="str">
        <f t="shared" si="66"/>
        <v/>
      </c>
      <c r="AC112" t="s">
        <v>516</v>
      </c>
      <c r="AD112" t="str">
        <f>VLOOKUP(AC112,moves!A:B,2,FALSE)</f>
        <v>normal</v>
      </c>
      <c r="AE112">
        <f>VLOOKUP(AC112,moves!A:D,4,FALSE)</f>
        <v>8</v>
      </c>
      <c r="AF112" t="str">
        <f>IF(VLOOKUP(AC112,moves!A:F,5,FALSE)=0, "", VLOOKUP(AC112,moves!A:F,5,FALSE))</f>
        <v>surge</v>
      </c>
      <c r="AG112" t="str">
        <f>VLOOKUP(AC112,moves!A:F,6,FALSE)</f>
        <v>The user takes 4 damage.</v>
      </c>
      <c r="AH112">
        <v>0</v>
      </c>
      <c r="AI112">
        <v>0</v>
      </c>
      <c r="AJ112" t="str" cm="1">
        <f t="array" ref="AJ112">_xlfn.IFS(AH112=1, "starter", AI112=1, "legendary",V112&lt; 13, "weak",V112&lt; 17, "moderate", TRUE, "strong")</f>
        <v>strong</v>
      </c>
      <c r="AL112">
        <v>2</v>
      </c>
      <c r="AM112">
        <v>0</v>
      </c>
    </row>
    <row r="113" spans="1:40" x14ac:dyDescent="0.25">
      <c r="A113">
        <v>111</v>
      </c>
      <c r="B113" t="s">
        <v>49</v>
      </c>
      <c r="C113" t="str">
        <f t="shared" si="106"/>
        <v>Rhyhorn</v>
      </c>
      <c r="E113" t="s">
        <v>13</v>
      </c>
      <c r="F113" t="s">
        <v>33</v>
      </c>
      <c r="G113">
        <v>80</v>
      </c>
      <c r="H113">
        <v>85</v>
      </c>
      <c r="I113">
        <v>95</v>
      </c>
      <c r="J113">
        <v>30</v>
      </c>
      <c r="K113">
        <v>30</v>
      </c>
      <c r="L113">
        <v>25</v>
      </c>
      <c r="M113" t="s">
        <v>392</v>
      </c>
      <c r="N113" t="s">
        <v>304</v>
      </c>
      <c r="O113" t="s">
        <v>300</v>
      </c>
      <c r="P113">
        <f t="shared" si="67"/>
        <v>5.55</v>
      </c>
      <c r="Q113">
        <f t="shared" si="68"/>
        <v>6.95</v>
      </c>
      <c r="R113">
        <v>0</v>
      </c>
      <c r="S113">
        <v>0</v>
      </c>
      <c r="T113">
        <f t="shared" si="69"/>
        <v>6</v>
      </c>
      <c r="U113">
        <f t="shared" si="70"/>
        <v>7</v>
      </c>
      <c r="V113">
        <f t="shared" si="71"/>
        <v>13</v>
      </c>
      <c r="W113" t="str">
        <f t="shared" si="65"/>
        <v>ground</v>
      </c>
      <c r="X113" t="str">
        <f>IF(F113 = 0, "", F113)</f>
        <v>rock</v>
      </c>
      <c r="Y113" t="s">
        <v>7</v>
      </c>
      <c r="Z113" t="s">
        <v>22</v>
      </c>
      <c r="AA113" t="str">
        <f>B114</f>
        <v>Rhydon</v>
      </c>
      <c r="AB113">
        <f t="shared" si="66"/>
        <v>7</v>
      </c>
      <c r="AC113" t="s">
        <v>632</v>
      </c>
      <c r="AD113" t="str">
        <f>VLOOKUP(AC113,moves!A:B,2,FALSE)</f>
        <v>rock</v>
      </c>
      <c r="AE113">
        <f>VLOOKUP(AC113,moves!A:D,4,FALSE)</f>
        <v>2</v>
      </c>
      <c r="AF113" t="str">
        <f>IF(VLOOKUP(AC113,moves!A:F,5,FALSE)=0, "", VLOOKUP(AC113,moves!A:F,5,FALSE))</f>
        <v/>
      </c>
      <c r="AG113" t="str">
        <f>VLOOKUP(AC113,moves!A:F,6,FALSE)</f>
        <v>Deals 2 extra damage to [flying]-Type Pokémon.</v>
      </c>
      <c r="AH113">
        <v>0</v>
      </c>
      <c r="AI113">
        <v>0</v>
      </c>
      <c r="AJ113" t="str" cm="1">
        <f t="array" ref="AJ113">_xlfn.IFS(AH113=1, "starter", AI113=1, "legendary",V113&lt; 13, "weak",V113&lt; 17, "moderate", TRUE, "strong")</f>
        <v>moderate</v>
      </c>
      <c r="AL113">
        <v>1</v>
      </c>
      <c r="AM113">
        <v>0</v>
      </c>
    </row>
    <row r="114" spans="1:40" x14ac:dyDescent="0.25">
      <c r="A114">
        <v>112</v>
      </c>
      <c r="B114" t="s">
        <v>50</v>
      </c>
      <c r="C114" t="str">
        <f t="shared" si="106"/>
        <v>Rhydon</v>
      </c>
      <c r="E114" t="s">
        <v>13</v>
      </c>
      <c r="F114" t="s">
        <v>33</v>
      </c>
      <c r="G114">
        <v>105</v>
      </c>
      <c r="H114">
        <v>130</v>
      </c>
      <c r="I114">
        <v>120</v>
      </c>
      <c r="J114">
        <v>45</v>
      </c>
      <c r="K114">
        <v>45</v>
      </c>
      <c r="L114">
        <v>40</v>
      </c>
      <c r="M114" t="s">
        <v>393</v>
      </c>
      <c r="N114" t="s">
        <v>304</v>
      </c>
      <c r="O114" t="s">
        <v>300</v>
      </c>
      <c r="P114">
        <f t="shared" si="67"/>
        <v>8.5500000000000007</v>
      </c>
      <c r="Q114">
        <f t="shared" si="68"/>
        <v>9.15</v>
      </c>
      <c r="R114">
        <v>0</v>
      </c>
      <c r="S114">
        <v>0</v>
      </c>
      <c r="T114">
        <f t="shared" si="69"/>
        <v>9</v>
      </c>
      <c r="U114">
        <f t="shared" si="70"/>
        <v>9</v>
      </c>
      <c r="V114">
        <f t="shared" si="71"/>
        <v>18</v>
      </c>
      <c r="W114" t="str">
        <f t="shared" si="65"/>
        <v>ground</v>
      </c>
      <c r="X114" t="str">
        <f>IF(F114 = 0, "", F114)</f>
        <v>rock</v>
      </c>
      <c r="Y114" t="s">
        <v>7</v>
      </c>
      <c r="Z114" t="s">
        <v>22</v>
      </c>
      <c r="AA114" t="str">
        <f>B115</f>
        <v>Rhyperior</v>
      </c>
      <c r="AB114">
        <f t="shared" si="66"/>
        <v>3</v>
      </c>
      <c r="AC114" t="s">
        <v>484</v>
      </c>
      <c r="AD114" t="str">
        <f>VLOOKUP(AC114,moves!A:B,2,FALSE)</f>
        <v>ground</v>
      </c>
      <c r="AE114">
        <f>VLOOKUP(AC114,moves!A:D,4,FALSE)</f>
        <v>5</v>
      </c>
      <c r="AF114" t="str">
        <f>IF(VLOOKUP(AC114,moves!A:F,5,FALSE)=0, "", VLOOKUP(AC114,moves!A:F,5,FALSE))</f>
        <v/>
      </c>
      <c r="AG114" t="str">
        <f>VLOOKUP(AC114,moves!A:F,6,FALSE)</f>
        <v>If 2 or more [status_symbol]s are rolled: Deal 2 damage to a Pokémon in the target party that is not the target.</v>
      </c>
      <c r="AH114">
        <v>0</v>
      </c>
      <c r="AI114">
        <v>0</v>
      </c>
      <c r="AJ114" t="str" cm="1">
        <f t="array" ref="AJ114">_xlfn.IFS(AH114=1, "starter", AI114=1, "legendary",V114&lt; 13, "weak",V114&lt; 17, "moderate", TRUE, "strong")</f>
        <v>strong</v>
      </c>
      <c r="AL114">
        <v>2</v>
      </c>
      <c r="AM114">
        <v>0</v>
      </c>
    </row>
    <row r="115" spans="1:40" x14ac:dyDescent="0.25">
      <c r="A115">
        <v>464</v>
      </c>
      <c r="B115" t="s">
        <v>218</v>
      </c>
      <c r="C115" t="str">
        <f t="shared" si="106"/>
        <v>Rhyperior</v>
      </c>
      <c r="E115" t="s">
        <v>13</v>
      </c>
      <c r="F115" t="s">
        <v>33</v>
      </c>
      <c r="G115">
        <v>115</v>
      </c>
      <c r="H115">
        <v>140</v>
      </c>
      <c r="I115">
        <v>130</v>
      </c>
      <c r="J115">
        <v>55</v>
      </c>
      <c r="K115">
        <v>55</v>
      </c>
      <c r="L115">
        <v>40</v>
      </c>
      <c r="M115" t="s">
        <v>393</v>
      </c>
      <c r="N115" t="s">
        <v>304</v>
      </c>
      <c r="O115" t="s">
        <v>300</v>
      </c>
      <c r="P115">
        <f t="shared" si="67"/>
        <v>9.15</v>
      </c>
      <c r="Q115">
        <f t="shared" si="68"/>
        <v>10.15</v>
      </c>
      <c r="R115">
        <v>0</v>
      </c>
      <c r="S115">
        <v>0</v>
      </c>
      <c r="T115">
        <f t="shared" si="69"/>
        <v>9</v>
      </c>
      <c r="U115">
        <f t="shared" si="70"/>
        <v>10</v>
      </c>
      <c r="V115">
        <f t="shared" si="71"/>
        <v>19</v>
      </c>
      <c r="W115" t="str">
        <f t="shared" si="65"/>
        <v>ground</v>
      </c>
      <c r="X115" t="str">
        <f>IF(F115 = 0, "", F115)</f>
        <v>rock</v>
      </c>
      <c r="Y115" t="s">
        <v>7</v>
      </c>
      <c r="Z115" t="s">
        <v>22</v>
      </c>
      <c r="AB115" t="str">
        <f t="shared" si="66"/>
        <v/>
      </c>
      <c r="AC115" t="s">
        <v>499</v>
      </c>
      <c r="AD115" t="str">
        <f>VLOOKUP(AC115,moves!A:B,2,FALSE)</f>
        <v>rock</v>
      </c>
      <c r="AE115">
        <f>VLOOKUP(AC115,moves!A:D,4,FALSE)</f>
        <v>6</v>
      </c>
      <c r="AF115" t="str">
        <f>IF(VLOOKUP(AC115,moves!A:F,5,FALSE)=0, "", VLOOKUP(AC115,moves!A:F,5,FALSE))</f>
        <v>surge</v>
      </c>
      <c r="AG115" t="str">
        <f>VLOOKUP(AC115,moves!A:F,6,FALSE)</f>
        <v>Increase the Battle Fatigue of the user by 1.</v>
      </c>
      <c r="AH115">
        <v>0</v>
      </c>
      <c r="AI115">
        <v>0</v>
      </c>
      <c r="AJ115" t="str" cm="1">
        <f t="array" ref="AJ115">_xlfn.IFS(AH115=1, "starter", AI115=1, "legendary",V115&lt; 13, "weak",V115&lt; 17, "moderate", TRUE, "strong")</f>
        <v>strong</v>
      </c>
      <c r="AL115">
        <v>3</v>
      </c>
      <c r="AM115">
        <v>0</v>
      </c>
    </row>
    <row r="116" spans="1:40" x14ac:dyDescent="0.25">
      <c r="A116">
        <v>114</v>
      </c>
      <c r="B116" t="s">
        <v>52</v>
      </c>
      <c r="C116" t="str">
        <f t="shared" si="106"/>
        <v>Tangela</v>
      </c>
      <c r="E116" t="s">
        <v>2</v>
      </c>
      <c r="G116">
        <v>65</v>
      </c>
      <c r="H116">
        <v>55</v>
      </c>
      <c r="I116">
        <v>115</v>
      </c>
      <c r="J116">
        <v>100</v>
      </c>
      <c r="K116">
        <v>40</v>
      </c>
      <c r="L116">
        <v>60</v>
      </c>
      <c r="M116" t="s">
        <v>394</v>
      </c>
      <c r="N116" t="s">
        <v>298</v>
      </c>
      <c r="O116" t="s">
        <v>302</v>
      </c>
      <c r="P116">
        <f t="shared" si="67"/>
        <v>7.95</v>
      </c>
      <c r="Q116">
        <f t="shared" si="68"/>
        <v>7.25</v>
      </c>
      <c r="R116">
        <v>0</v>
      </c>
      <c r="S116">
        <v>0</v>
      </c>
      <c r="T116">
        <f t="shared" si="69"/>
        <v>8</v>
      </c>
      <c r="U116">
        <f t="shared" si="70"/>
        <v>7</v>
      </c>
      <c r="V116">
        <f t="shared" si="71"/>
        <v>15</v>
      </c>
      <c r="W116" t="str">
        <f t="shared" si="65"/>
        <v>grass</v>
      </c>
      <c r="X116" t="s">
        <v>33</v>
      </c>
      <c r="Y116" t="s">
        <v>3</v>
      </c>
      <c r="Z116" t="s">
        <v>13</v>
      </c>
      <c r="AA116" t="str">
        <f>B117</f>
        <v>Tangrowth</v>
      </c>
      <c r="AB116">
        <f t="shared" si="66"/>
        <v>7</v>
      </c>
      <c r="AC116" t="s">
        <v>533</v>
      </c>
      <c r="AD116" t="str">
        <f>VLOOKUP(AC116,moves!A:B,2,FALSE)</f>
        <v>rock</v>
      </c>
      <c r="AE116">
        <f>VLOOKUP(AC116,moves!A:D,4,FALSE)</f>
        <v>2</v>
      </c>
      <c r="AF116" t="str">
        <f>IF(VLOOKUP(AC116,moves!A:F,5,FALSE)=0, "", VLOOKUP(AC116,moves!A:F,5,FALSE))</f>
        <v>boost</v>
      </c>
      <c r="AG116" t="str">
        <f>VLOOKUP(AC116,moves!A:F,6,FALSE)</f>
        <v>Add 1 [critical_hit] and 1 [status_symbol] to your future attack rolls.</v>
      </c>
      <c r="AH116">
        <v>0</v>
      </c>
      <c r="AI116">
        <v>0</v>
      </c>
      <c r="AJ116" t="str" cm="1">
        <f t="array" ref="AJ116">_xlfn.IFS(AH116=1, "starter", AI116=1, "legendary",V116&lt; 13, "weak",V116&lt; 17, "moderate", TRUE, "strong")</f>
        <v>moderate</v>
      </c>
      <c r="AL116">
        <v>1</v>
      </c>
      <c r="AM116">
        <v>0</v>
      </c>
    </row>
    <row r="117" spans="1:40" x14ac:dyDescent="0.25">
      <c r="A117">
        <v>465</v>
      </c>
      <c r="B117" t="s">
        <v>219</v>
      </c>
      <c r="C117" t="str">
        <f t="shared" si="106"/>
        <v>Tangrowth</v>
      </c>
      <c r="E117" t="s">
        <v>2</v>
      </c>
      <c r="G117">
        <v>100</v>
      </c>
      <c r="H117">
        <v>100</v>
      </c>
      <c r="I117">
        <v>125</v>
      </c>
      <c r="J117">
        <v>110</v>
      </c>
      <c r="K117">
        <v>50</v>
      </c>
      <c r="L117">
        <v>50</v>
      </c>
      <c r="M117" t="s">
        <v>394</v>
      </c>
      <c r="N117" t="s">
        <v>298</v>
      </c>
      <c r="O117" t="s">
        <v>302</v>
      </c>
      <c r="P117">
        <f t="shared" si="67"/>
        <v>8.5</v>
      </c>
      <c r="Q117">
        <f t="shared" si="68"/>
        <v>9.25</v>
      </c>
      <c r="R117">
        <v>0</v>
      </c>
      <c r="S117">
        <v>1</v>
      </c>
      <c r="T117">
        <f t="shared" si="69"/>
        <v>9</v>
      </c>
      <c r="U117">
        <f t="shared" si="70"/>
        <v>10</v>
      </c>
      <c r="V117">
        <f t="shared" si="71"/>
        <v>19</v>
      </c>
      <c r="W117" t="str">
        <f t="shared" si="65"/>
        <v>grass</v>
      </c>
      <c r="X117" t="s">
        <v>33</v>
      </c>
      <c r="Y117" t="s">
        <v>3</v>
      </c>
      <c r="Z117" t="s">
        <v>13</v>
      </c>
      <c r="AB117" t="str">
        <f t="shared" si="66"/>
        <v/>
      </c>
      <c r="AC117" t="s">
        <v>1081</v>
      </c>
      <c r="AD117" t="str">
        <f>VLOOKUP(AC117,moves!A:B,2,FALSE)</f>
        <v>grass</v>
      </c>
      <c r="AE117">
        <f>VLOOKUP(AC117,moves!A:D,4,FALSE)</f>
        <v>4</v>
      </c>
      <c r="AF117" t="str">
        <f>IF(VLOOKUP(AC117,moves!A:F,5,FALSE)=0, "", VLOOKUP(AC117,moves!A:F,5,FALSE))</f>
        <v>surge</v>
      </c>
      <c r="AG117" t="str">
        <f>VLOOKUP(AC117,moves!A:F,6,FALSE)</f>
        <v>Heal damage equal to the damage dealt.</v>
      </c>
      <c r="AH117">
        <v>0</v>
      </c>
      <c r="AI117">
        <v>0</v>
      </c>
      <c r="AJ117" t="str" cm="1">
        <f t="array" ref="AJ117">_xlfn.IFS(AH117=1, "starter", AI117=1, "legendary",V117&lt; 13, "weak",V117&lt; 17, "moderate", TRUE, "strong")</f>
        <v>strong</v>
      </c>
      <c r="AL117">
        <v>2</v>
      </c>
      <c r="AM117">
        <v>0</v>
      </c>
    </row>
    <row r="118" spans="1:40" x14ac:dyDescent="0.25">
      <c r="A118">
        <v>239</v>
      </c>
      <c r="B118" t="s">
        <v>104</v>
      </c>
      <c r="C118" t="str">
        <f t="shared" si="106"/>
        <v>Elekid</v>
      </c>
      <c r="E118" t="s">
        <v>11</v>
      </c>
      <c r="G118">
        <v>45</v>
      </c>
      <c r="H118">
        <v>63</v>
      </c>
      <c r="I118">
        <v>37</v>
      </c>
      <c r="J118">
        <v>65</v>
      </c>
      <c r="K118">
        <v>55</v>
      </c>
      <c r="L118">
        <v>95</v>
      </c>
      <c r="M118" t="s">
        <v>395</v>
      </c>
      <c r="N118" t="s">
        <v>301</v>
      </c>
      <c r="O118" t="s">
        <v>302</v>
      </c>
      <c r="P118">
        <f t="shared" si="67"/>
        <v>7.68</v>
      </c>
      <c r="Q118">
        <f t="shared" si="68"/>
        <v>4.5600000000000005</v>
      </c>
      <c r="R118">
        <v>0</v>
      </c>
      <c r="S118">
        <v>0</v>
      </c>
      <c r="T118">
        <f t="shared" si="69"/>
        <v>8</v>
      </c>
      <c r="U118">
        <f t="shared" si="70"/>
        <v>5</v>
      </c>
      <c r="V118">
        <f t="shared" si="71"/>
        <v>13</v>
      </c>
      <c r="W118" t="str">
        <f t="shared" si="65"/>
        <v>electric</v>
      </c>
      <c r="X118" t="s">
        <v>22</v>
      </c>
      <c r="Y118" t="s">
        <v>8</v>
      </c>
      <c r="Z118" t="s">
        <v>4</v>
      </c>
      <c r="AA118" t="str">
        <f>B119</f>
        <v>Electabuzz</v>
      </c>
      <c r="AB118">
        <f t="shared" si="66"/>
        <v>6</v>
      </c>
      <c r="AC118" t="s">
        <v>567</v>
      </c>
      <c r="AD118" t="str">
        <f>VLOOKUP(AC118,moves!A:B,2,FALSE)</f>
        <v>electric</v>
      </c>
      <c r="AE118">
        <f>VLOOKUP(AC118,moves!A:D,4,FALSE)</f>
        <v>2</v>
      </c>
      <c r="AF118" t="str">
        <f>IF(VLOOKUP(AC118,moves!A:F,5,FALSE)=0, "", VLOOKUP(AC118,moves!A:F,5,FALSE))</f>
        <v/>
      </c>
      <c r="AG118" t="str">
        <f>VLOOKUP(AC118,moves!A:F,6,FALSE)</f>
        <v>Inflict the [paralysed] status on the target.</v>
      </c>
      <c r="AH118">
        <v>0</v>
      </c>
      <c r="AI118">
        <v>0</v>
      </c>
      <c r="AJ118" t="str" cm="1">
        <f t="array" ref="AJ118">_xlfn.IFS(AH118=1, "starter", AI118=1, "legendary",V118&lt; 13, "weak",V118&lt; 17, "moderate", TRUE, "strong")</f>
        <v>moderate</v>
      </c>
      <c r="AL118">
        <v>1</v>
      </c>
      <c r="AM118">
        <v>0</v>
      </c>
    </row>
    <row r="119" spans="1:40" x14ac:dyDescent="0.25">
      <c r="A119">
        <v>125</v>
      </c>
      <c r="B119" t="s">
        <v>54</v>
      </c>
      <c r="C119" t="str">
        <f t="shared" si="106"/>
        <v>Electabuzz</v>
      </c>
      <c r="E119" t="s">
        <v>11</v>
      </c>
      <c r="G119">
        <v>65</v>
      </c>
      <c r="H119">
        <v>83</v>
      </c>
      <c r="I119">
        <v>57</v>
      </c>
      <c r="J119">
        <v>95</v>
      </c>
      <c r="K119">
        <v>85</v>
      </c>
      <c r="L119">
        <v>105</v>
      </c>
      <c r="M119" t="s">
        <v>395</v>
      </c>
      <c r="N119" t="s">
        <v>301</v>
      </c>
      <c r="O119" t="s">
        <v>302</v>
      </c>
      <c r="P119">
        <f t="shared" si="67"/>
        <v>9.7799999999999994</v>
      </c>
      <c r="Q119">
        <f t="shared" si="68"/>
        <v>6.8599999999999994</v>
      </c>
      <c r="R119">
        <v>0</v>
      </c>
      <c r="S119">
        <v>0</v>
      </c>
      <c r="T119">
        <f t="shared" si="69"/>
        <v>10</v>
      </c>
      <c r="U119">
        <f t="shared" si="70"/>
        <v>7</v>
      </c>
      <c r="V119">
        <f t="shared" si="71"/>
        <v>17</v>
      </c>
      <c r="W119" t="str">
        <f t="shared" si="65"/>
        <v>electric</v>
      </c>
      <c r="X119" t="s">
        <v>22</v>
      </c>
      <c r="Y119" t="s">
        <v>8</v>
      </c>
      <c r="Z119" t="s">
        <v>4</v>
      </c>
      <c r="AA119" t="str">
        <f>B120</f>
        <v>Electivire</v>
      </c>
      <c r="AB119">
        <f t="shared" si="66"/>
        <v>4</v>
      </c>
      <c r="AC119" t="s">
        <v>485</v>
      </c>
      <c r="AD119" t="str">
        <f>VLOOKUP(AC119,moves!A:B,2,FALSE)</f>
        <v>electric</v>
      </c>
      <c r="AE119">
        <f>VLOOKUP(AC119,moves!A:D,4,FALSE)</f>
        <v>4</v>
      </c>
      <c r="AF119" t="str">
        <f>IF(VLOOKUP(AC119,moves!A:F,5,FALSE)=0, "", VLOOKUP(AC119,moves!A:F,5,FALSE))</f>
        <v/>
      </c>
      <c r="AG119" t="str">
        <f>VLOOKUP(AC119,moves!A:F,6,FALSE)</f>
        <v>If any [status_symbol]s are rolled: Inflict the [paralysed] status on the target.</v>
      </c>
      <c r="AH119">
        <v>0</v>
      </c>
      <c r="AI119">
        <v>0</v>
      </c>
      <c r="AJ119" t="str" cm="1">
        <f t="array" ref="AJ119">_xlfn.IFS(AH119=1, "starter", AI119=1, "legendary",V119&lt; 13, "weak",V119&lt; 17, "moderate", TRUE, "strong")</f>
        <v>strong</v>
      </c>
      <c r="AL119">
        <v>2</v>
      </c>
      <c r="AM119">
        <v>0</v>
      </c>
    </row>
    <row r="120" spans="1:40" x14ac:dyDescent="0.25">
      <c r="A120">
        <v>466</v>
      </c>
      <c r="B120" t="s">
        <v>220</v>
      </c>
      <c r="C120" t="str">
        <f t="shared" si="106"/>
        <v>Electivire</v>
      </c>
      <c r="E120" t="s">
        <v>11</v>
      </c>
      <c r="G120">
        <v>75</v>
      </c>
      <c r="H120">
        <v>123</v>
      </c>
      <c r="I120">
        <v>67</v>
      </c>
      <c r="J120">
        <v>95</v>
      </c>
      <c r="K120">
        <v>85</v>
      </c>
      <c r="L120">
        <v>95</v>
      </c>
      <c r="M120" t="s">
        <v>396</v>
      </c>
      <c r="N120" t="s">
        <v>301</v>
      </c>
      <c r="O120" t="s">
        <v>302</v>
      </c>
      <c r="P120">
        <f t="shared" si="67"/>
        <v>10.9</v>
      </c>
      <c r="Q120">
        <f t="shared" si="68"/>
        <v>7.56</v>
      </c>
      <c r="R120">
        <v>0</v>
      </c>
      <c r="S120">
        <v>0</v>
      </c>
      <c r="T120">
        <f t="shared" si="69"/>
        <v>11</v>
      </c>
      <c r="U120">
        <f t="shared" si="70"/>
        <v>8</v>
      </c>
      <c r="V120">
        <f t="shared" si="71"/>
        <v>19</v>
      </c>
      <c r="W120" t="str">
        <f t="shared" si="65"/>
        <v>electric</v>
      </c>
      <c r="X120" t="s">
        <v>22</v>
      </c>
      <c r="Y120" t="s">
        <v>8</v>
      </c>
      <c r="Z120" t="s">
        <v>4</v>
      </c>
      <c r="AB120" t="str">
        <f t="shared" si="66"/>
        <v/>
      </c>
      <c r="AC120" t="s">
        <v>661</v>
      </c>
      <c r="AD120" t="str">
        <f>VLOOKUP(AC120,moves!A:B,2,FALSE)</f>
        <v>electric</v>
      </c>
      <c r="AE120">
        <f>VLOOKUP(AC120,moves!A:D,4,FALSE)</f>
        <v>4</v>
      </c>
      <c r="AF120" t="str">
        <f>IF(VLOOKUP(AC120,moves!A:F,5,FALSE)=0, "", VLOOKUP(AC120,moves!A:F,5,FALSE))</f>
        <v/>
      </c>
      <c r="AG120" t="str">
        <f>VLOOKUP(AC120,moves!A:F,6,FALSE)</f>
        <v>If the user knows another [electric]-Type Move, deal 2 extra damage.</v>
      </c>
      <c r="AH120">
        <v>0</v>
      </c>
      <c r="AI120">
        <v>0</v>
      </c>
      <c r="AJ120" t="str" cm="1">
        <f t="array" ref="AJ120">_xlfn.IFS(AH120=1, "starter", AI120=1, "legendary",V120&lt; 13, "weak",V120&lt; 17, "moderate", TRUE, "strong")</f>
        <v>strong</v>
      </c>
      <c r="AL120">
        <v>3</v>
      </c>
      <c r="AM120">
        <v>0</v>
      </c>
    </row>
    <row r="121" spans="1:40" x14ac:dyDescent="0.25">
      <c r="A121" t="s">
        <v>1142</v>
      </c>
      <c r="B121" t="s">
        <v>1161</v>
      </c>
      <c r="C121" t="s">
        <v>220</v>
      </c>
      <c r="D121" t="s">
        <v>1150</v>
      </c>
      <c r="E121" t="s">
        <v>11</v>
      </c>
      <c r="F121" t="s">
        <v>2</v>
      </c>
      <c r="G121">
        <v>75</v>
      </c>
      <c r="H121">
        <v>123</v>
      </c>
      <c r="I121">
        <v>67</v>
      </c>
      <c r="J121">
        <v>95</v>
      </c>
      <c r="K121">
        <v>85</v>
      </c>
      <c r="L121">
        <v>95</v>
      </c>
      <c r="M121" t="s">
        <v>591</v>
      </c>
      <c r="O121" t="s">
        <v>1146</v>
      </c>
      <c r="P121">
        <f t="shared" ref="P121" si="107">(0.4*L121 + 0.5*MAX(H121,J121) + 0.1*MIN(H121,J121)) / 10</f>
        <v>10.9</v>
      </c>
      <c r="Q121">
        <f t="shared" ref="Q121" si="108">(0.4*G121 + 0.3*I121 + 0.3*K121) / 10</f>
        <v>7.56</v>
      </c>
      <c r="R121">
        <v>0</v>
      </c>
      <c r="S121">
        <v>2</v>
      </c>
      <c r="T121">
        <f t="shared" ref="T121" si="109">ROUND(P121,0)+R121</f>
        <v>11</v>
      </c>
      <c r="U121">
        <f t="shared" ref="U121" si="110">ROUND(Q121,0)+S121</f>
        <v>10</v>
      </c>
      <c r="V121">
        <f t="shared" ref="V121" si="111">SUM(ROUND(T121,0),ROUND(U121,0))</f>
        <v>21</v>
      </c>
      <c r="W121" t="str">
        <f t="shared" ref="W121" si="112">E121</f>
        <v>electric</v>
      </c>
      <c r="X121" t="str">
        <f t="shared" ref="X121" si="113">IF(F121 = 0, "", F121)</f>
        <v>grass</v>
      </c>
      <c r="Y121" t="s">
        <v>8</v>
      </c>
      <c r="Z121" t="s">
        <v>4</v>
      </c>
      <c r="AB121" t="str">
        <f t="shared" si="66"/>
        <v/>
      </c>
      <c r="AC121" t="s">
        <v>1171</v>
      </c>
      <c r="AD121" t="str">
        <f>VLOOKUP(AC121,moves!A:B,2,FALSE)</f>
        <v>grass</v>
      </c>
      <c r="AE121">
        <f>VLOOKUP(AC121,moves!A:D,4,FALSE)</f>
        <v>4</v>
      </c>
      <c r="AF121" t="str">
        <f>IF(VLOOKUP(AC121,moves!A:F,5,FALSE)=0, "", VLOOKUP(AC121,moves!A:F,5,FALSE))</f>
        <v/>
      </c>
      <c r="AG121" t="str">
        <f>VLOOKUP(AC121,moves!A:F,6,FALSE)</f>
        <v>If the user knows an [electric]-Type Move, deal 2 extra damage.</v>
      </c>
      <c r="AH121">
        <v>0</v>
      </c>
      <c r="AI121">
        <v>1</v>
      </c>
      <c r="AJ121" t="str" cm="1">
        <f t="array" ref="AJ121">_xlfn.IFS(AH121=1, "starter", AI121=1, "legendary",V121&lt; 13, "weak",V121&lt; 17, "moderate", TRUE, "strong")</f>
        <v>legendary</v>
      </c>
      <c r="AL121">
        <v>1</v>
      </c>
      <c r="AM121">
        <v>0</v>
      </c>
    </row>
    <row r="122" spans="1:40" x14ac:dyDescent="0.25">
      <c r="A122">
        <v>240</v>
      </c>
      <c r="B122" t="s">
        <v>105</v>
      </c>
      <c r="C122" t="str">
        <f>B122</f>
        <v>Magby</v>
      </c>
      <c r="E122" t="s">
        <v>4</v>
      </c>
      <c r="G122">
        <v>45</v>
      </c>
      <c r="H122">
        <v>75</v>
      </c>
      <c r="I122">
        <v>37</v>
      </c>
      <c r="J122">
        <v>70</v>
      </c>
      <c r="K122">
        <v>55</v>
      </c>
      <c r="L122">
        <v>83</v>
      </c>
      <c r="M122" t="s">
        <v>397</v>
      </c>
      <c r="N122" t="s">
        <v>304</v>
      </c>
      <c r="O122" t="s">
        <v>302</v>
      </c>
      <c r="P122">
        <f t="shared" si="67"/>
        <v>7.7700000000000005</v>
      </c>
      <c r="Q122">
        <f t="shared" si="68"/>
        <v>4.5600000000000005</v>
      </c>
      <c r="R122">
        <v>0</v>
      </c>
      <c r="S122">
        <v>0</v>
      </c>
      <c r="T122">
        <f t="shared" si="69"/>
        <v>8</v>
      </c>
      <c r="U122">
        <f t="shared" si="70"/>
        <v>5</v>
      </c>
      <c r="V122">
        <f t="shared" si="71"/>
        <v>13</v>
      </c>
      <c r="W122" t="str">
        <f t="shared" si="65"/>
        <v>fire</v>
      </c>
      <c r="X122" t="s">
        <v>13</v>
      </c>
      <c r="Y122" t="s">
        <v>8</v>
      </c>
      <c r="Z122" t="s">
        <v>11</v>
      </c>
      <c r="AA122" t="str">
        <f>B123</f>
        <v>Magmar</v>
      </c>
      <c r="AB122">
        <f t="shared" si="66"/>
        <v>6</v>
      </c>
      <c r="AC122" t="s">
        <v>801</v>
      </c>
      <c r="AD122" t="str">
        <f>VLOOKUP(AC122,moves!A:B,2,FALSE)</f>
        <v>fire</v>
      </c>
      <c r="AE122">
        <f>VLOOKUP(AC122,moves!A:D,4,FALSE)</f>
        <v>2</v>
      </c>
      <c r="AF122" t="str">
        <f>IF(VLOOKUP(AC122,moves!A:F,5,FALSE)=0, "", VLOOKUP(AC122,moves!A:F,5,FALSE))</f>
        <v/>
      </c>
      <c r="AG122" t="str">
        <f>VLOOKUP(AC122,moves!A:F,6,FALSE)</f>
        <v>Inflict the [burned] status on the target.</v>
      </c>
      <c r="AH122">
        <v>0</v>
      </c>
      <c r="AI122">
        <v>0</v>
      </c>
      <c r="AJ122" t="str" cm="1">
        <f t="array" ref="AJ122">_xlfn.IFS(AH122=1, "starter", AI122=1, "legendary",V122&lt; 13, "weak",V122&lt; 17, "moderate", TRUE, "strong")</f>
        <v>moderate</v>
      </c>
      <c r="AL122">
        <v>1</v>
      </c>
      <c r="AM122">
        <v>0</v>
      </c>
    </row>
    <row r="123" spans="1:40" x14ac:dyDescent="0.25">
      <c r="A123">
        <v>126</v>
      </c>
      <c r="B123" t="s">
        <v>55</v>
      </c>
      <c r="C123" t="str">
        <f>B123</f>
        <v>Magmar</v>
      </c>
      <c r="E123" t="s">
        <v>4</v>
      </c>
      <c r="G123">
        <v>65</v>
      </c>
      <c r="H123">
        <v>95</v>
      </c>
      <c r="I123">
        <v>57</v>
      </c>
      <c r="J123">
        <v>100</v>
      </c>
      <c r="K123">
        <v>85</v>
      </c>
      <c r="L123">
        <v>93</v>
      </c>
      <c r="M123" t="s">
        <v>398</v>
      </c>
      <c r="N123" t="s">
        <v>304</v>
      </c>
      <c r="O123" t="s">
        <v>302</v>
      </c>
      <c r="P123">
        <f t="shared" si="67"/>
        <v>9.67</v>
      </c>
      <c r="Q123">
        <f t="shared" si="68"/>
        <v>6.8599999999999994</v>
      </c>
      <c r="R123">
        <v>0</v>
      </c>
      <c r="S123">
        <v>0</v>
      </c>
      <c r="T123">
        <f t="shared" si="69"/>
        <v>10</v>
      </c>
      <c r="U123">
        <f t="shared" si="70"/>
        <v>7</v>
      </c>
      <c r="V123">
        <f t="shared" si="71"/>
        <v>17</v>
      </c>
      <c r="W123" t="str">
        <f t="shared" si="65"/>
        <v>fire</v>
      </c>
      <c r="X123" t="s">
        <v>13</v>
      </c>
      <c r="Y123" t="s">
        <v>8</v>
      </c>
      <c r="Z123" t="s">
        <v>11</v>
      </c>
      <c r="AA123" t="str">
        <f>B124</f>
        <v>Magmortar</v>
      </c>
      <c r="AB123">
        <f t="shared" si="66"/>
        <v>4</v>
      </c>
      <c r="AC123" t="s">
        <v>480</v>
      </c>
      <c r="AD123" t="str">
        <f>VLOOKUP(AC123,moves!A:B,2,FALSE)</f>
        <v>fire</v>
      </c>
      <c r="AE123">
        <f>VLOOKUP(AC123,moves!A:D,4,FALSE)</f>
        <v>4</v>
      </c>
      <c r="AF123" t="str">
        <f>IF(VLOOKUP(AC123,moves!A:F,5,FALSE)=0, "", VLOOKUP(AC123,moves!A:F,5,FALSE))</f>
        <v/>
      </c>
      <c r="AG123" t="str">
        <f>VLOOKUP(AC123,moves!A:F,6,FALSE)</f>
        <v>If any [status_symbol]s are rolled: Inflict the [burned] status on the target.</v>
      </c>
      <c r="AH123">
        <v>0</v>
      </c>
      <c r="AI123">
        <v>0</v>
      </c>
      <c r="AJ123" t="str" cm="1">
        <f t="array" ref="AJ123">_xlfn.IFS(AH123=1, "starter", AI123=1, "legendary",V123&lt; 13, "weak",V123&lt; 17, "moderate", TRUE, "strong")</f>
        <v>strong</v>
      </c>
      <c r="AL123">
        <v>2</v>
      </c>
      <c r="AM123">
        <v>0</v>
      </c>
    </row>
    <row r="124" spans="1:40" x14ac:dyDescent="0.25">
      <c r="A124">
        <v>467</v>
      </c>
      <c r="B124" t="s">
        <v>221</v>
      </c>
      <c r="C124" t="str">
        <f>B124</f>
        <v>Magmortar</v>
      </c>
      <c r="E124" t="s">
        <v>4</v>
      </c>
      <c r="G124">
        <v>75</v>
      </c>
      <c r="H124">
        <v>95</v>
      </c>
      <c r="I124">
        <v>67</v>
      </c>
      <c r="J124">
        <v>125</v>
      </c>
      <c r="K124">
        <v>95</v>
      </c>
      <c r="L124">
        <v>83</v>
      </c>
      <c r="M124" t="s">
        <v>399</v>
      </c>
      <c r="N124" t="s">
        <v>304</v>
      </c>
      <c r="O124" t="s">
        <v>302</v>
      </c>
      <c r="P124">
        <f t="shared" si="67"/>
        <v>10.52</v>
      </c>
      <c r="Q124">
        <f t="shared" si="68"/>
        <v>7.8599999999999994</v>
      </c>
      <c r="R124">
        <v>0</v>
      </c>
      <c r="S124">
        <v>0</v>
      </c>
      <c r="T124">
        <f t="shared" si="69"/>
        <v>11</v>
      </c>
      <c r="U124">
        <f t="shared" si="70"/>
        <v>8</v>
      </c>
      <c r="V124">
        <f t="shared" si="71"/>
        <v>19</v>
      </c>
      <c r="W124" t="str">
        <f t="shared" si="65"/>
        <v>fire</v>
      </c>
      <c r="X124" t="s">
        <v>13</v>
      </c>
      <c r="Y124" t="s">
        <v>8</v>
      </c>
      <c r="Z124" t="s">
        <v>11</v>
      </c>
      <c r="AB124" t="str">
        <f t="shared" si="66"/>
        <v/>
      </c>
      <c r="AC124" t="s">
        <v>802</v>
      </c>
      <c r="AD124" t="str">
        <f>VLOOKUP(AC124,moves!A:B,2,FALSE)</f>
        <v>fire</v>
      </c>
      <c r="AE124">
        <f>VLOOKUP(AC124,moves!A:D,4,FALSE)</f>
        <v>4</v>
      </c>
      <c r="AF124" t="str">
        <f>IF(VLOOKUP(AC124,moves!A:F,5,FALSE)=0, "", VLOOKUP(AC124,moves!A:F,5,FALSE))</f>
        <v/>
      </c>
      <c r="AG124" t="str">
        <f>VLOOKUP(AC124,moves!A:F,6,FALSE)</f>
        <v>If the user knows another [fire]-Type Move, deal 2 extra damage.</v>
      </c>
      <c r="AH124">
        <v>0</v>
      </c>
      <c r="AI124">
        <v>0</v>
      </c>
      <c r="AJ124" t="str" cm="1">
        <f t="array" ref="AJ124">_xlfn.IFS(AH124=1, "starter", AI124=1, "legendary",V124&lt; 13, "weak",V124&lt; 17, "moderate", TRUE, "strong")</f>
        <v>strong</v>
      </c>
      <c r="AL124">
        <v>3</v>
      </c>
      <c r="AM124">
        <v>0</v>
      </c>
    </row>
    <row r="125" spans="1:40" x14ac:dyDescent="0.25">
      <c r="A125" t="s">
        <v>1143</v>
      </c>
      <c r="B125" t="s">
        <v>1157</v>
      </c>
      <c r="C125" t="s">
        <v>221</v>
      </c>
      <c r="D125" t="s">
        <v>1149</v>
      </c>
      <c r="E125" t="s">
        <v>4</v>
      </c>
      <c r="F125" t="s">
        <v>33</v>
      </c>
      <c r="G125">
        <v>75</v>
      </c>
      <c r="H125">
        <v>95</v>
      </c>
      <c r="I125">
        <v>67</v>
      </c>
      <c r="J125">
        <v>125</v>
      </c>
      <c r="K125">
        <v>95</v>
      </c>
      <c r="L125">
        <v>83</v>
      </c>
      <c r="M125" t="s">
        <v>591</v>
      </c>
      <c r="O125" t="s">
        <v>1146</v>
      </c>
      <c r="P125">
        <f t="shared" ref="P125" si="114">(0.4*L125 + 0.5*MAX(H125,J125) + 0.1*MIN(H125,J125)) / 10</f>
        <v>10.52</v>
      </c>
      <c r="Q125">
        <f t="shared" ref="Q125" si="115">(0.4*G125 + 0.3*I125 + 0.3*K125) / 10</f>
        <v>7.8599999999999994</v>
      </c>
      <c r="R125">
        <v>0</v>
      </c>
      <c r="S125">
        <v>2</v>
      </c>
      <c r="T125">
        <f t="shared" ref="T125" si="116">ROUND(P125,0)+R125</f>
        <v>11</v>
      </c>
      <c r="U125">
        <f t="shared" ref="U125" si="117">ROUND(Q125,0)+S125</f>
        <v>10</v>
      </c>
      <c r="V125">
        <f t="shared" ref="V125" si="118">SUM(ROUND(T125,0),ROUND(U125,0))</f>
        <v>21</v>
      </c>
      <c r="W125" t="str">
        <f t="shared" ref="W125" si="119">E125</f>
        <v>fire</v>
      </c>
      <c r="X125" t="str">
        <f t="shared" ref="X125" si="120">IF(F125 = 0, "", F125)</f>
        <v>rock</v>
      </c>
      <c r="Y125" t="s">
        <v>8</v>
      </c>
      <c r="Z125" t="s">
        <v>11</v>
      </c>
      <c r="AB125" t="str">
        <f t="shared" si="66"/>
        <v/>
      </c>
      <c r="AC125" t="s">
        <v>1172</v>
      </c>
      <c r="AD125" t="str">
        <f>VLOOKUP(AC125,moves!A:B,2,FALSE)</f>
        <v>rock</v>
      </c>
      <c r="AE125">
        <f>VLOOKUP(AC125,moves!A:D,4,FALSE)</f>
        <v>4</v>
      </c>
      <c r="AF125" t="str">
        <f>IF(VLOOKUP(AC125,moves!A:F,5,FALSE)=0, "", VLOOKUP(AC125,moves!A:F,5,FALSE))</f>
        <v/>
      </c>
      <c r="AG125" t="str">
        <f>VLOOKUP(AC125,moves!A:F,6,FALSE)</f>
        <v>If the user knows a [fire]-Type Move, deal 2 extra damage.</v>
      </c>
      <c r="AH125">
        <v>0</v>
      </c>
      <c r="AI125">
        <v>1</v>
      </c>
      <c r="AJ125" t="str" cm="1">
        <f t="array" ref="AJ125">_xlfn.IFS(AH125=1, "starter", AI125=1, "legendary",V125&lt; 13, "weak",V125&lt; 17, "moderate", TRUE, "strong")</f>
        <v>legendary</v>
      </c>
      <c r="AL125">
        <v>1</v>
      </c>
      <c r="AM125">
        <v>0</v>
      </c>
    </row>
    <row r="126" spans="1:40" x14ac:dyDescent="0.25">
      <c r="A126">
        <v>175</v>
      </c>
      <c r="B126" t="s">
        <v>73</v>
      </c>
      <c r="C126" t="str">
        <f t="shared" ref="C126:C131" si="121">B126</f>
        <v>Togepi</v>
      </c>
      <c r="E126" t="s">
        <v>16</v>
      </c>
      <c r="G126">
        <v>35</v>
      </c>
      <c r="H126">
        <v>20</v>
      </c>
      <c r="I126">
        <v>65</v>
      </c>
      <c r="J126">
        <v>40</v>
      </c>
      <c r="K126">
        <v>65</v>
      </c>
      <c r="L126">
        <v>20</v>
      </c>
      <c r="M126" t="s">
        <v>400</v>
      </c>
      <c r="N126" t="s">
        <v>301</v>
      </c>
      <c r="O126" t="s">
        <v>302</v>
      </c>
      <c r="P126">
        <f t="shared" si="67"/>
        <v>3</v>
      </c>
      <c r="Q126">
        <f t="shared" si="68"/>
        <v>5.3</v>
      </c>
      <c r="R126">
        <v>1</v>
      </c>
      <c r="S126">
        <v>1</v>
      </c>
      <c r="T126">
        <f t="shared" si="69"/>
        <v>4</v>
      </c>
      <c r="U126">
        <f t="shared" si="70"/>
        <v>6</v>
      </c>
      <c r="V126">
        <f t="shared" si="71"/>
        <v>10</v>
      </c>
      <c r="W126" t="str">
        <f t="shared" si="65"/>
        <v>fairy</v>
      </c>
      <c r="X126" t="s">
        <v>5</v>
      </c>
      <c r="Y126" t="s">
        <v>8</v>
      </c>
      <c r="Z126" t="s">
        <v>22</v>
      </c>
      <c r="AA126" t="str">
        <f>B127</f>
        <v>Togetic</v>
      </c>
      <c r="AB126">
        <f t="shared" si="66"/>
        <v>4</v>
      </c>
      <c r="AC126" t="s">
        <v>1031</v>
      </c>
      <c r="AD126" t="str">
        <f>VLOOKUP(AC126,moves!A:B,2,FALSE)</f>
        <v>fairy</v>
      </c>
      <c r="AE126">
        <f>VLOOKUP(AC126,moves!A:D,4,FALSE)</f>
        <v>2</v>
      </c>
      <c r="AF126" t="str">
        <f>IF(VLOOKUP(AC126,moves!A:F,5,FALSE)=0, "", VLOOKUP(AC126,moves!A:F,5,FALSE))</f>
        <v/>
      </c>
      <c r="AG126" t="str">
        <f>VLOOKUP(AC126,moves!A:F,6,FALSE)</f>
        <v>Heal 1 damage and inflict the [drowsy] status on the target.</v>
      </c>
      <c r="AH126">
        <v>1</v>
      </c>
      <c r="AI126">
        <v>0</v>
      </c>
      <c r="AJ126" t="str" cm="1">
        <f t="array" ref="AJ126">_xlfn.IFS(AH126=1, "starter", AI126=1, "legendary",V126&lt; 13, "weak",V126&lt; 17, "moderate", TRUE, "strong")</f>
        <v>starter</v>
      </c>
      <c r="AL126">
        <v>1</v>
      </c>
      <c r="AM126">
        <v>0</v>
      </c>
    </row>
    <row r="127" spans="1:40" x14ac:dyDescent="0.25">
      <c r="A127">
        <v>176</v>
      </c>
      <c r="B127" t="s">
        <v>74</v>
      </c>
      <c r="C127" t="str">
        <f t="shared" si="121"/>
        <v>Togetic</v>
      </c>
      <c r="E127" t="s">
        <v>16</v>
      </c>
      <c r="F127" t="s">
        <v>5</v>
      </c>
      <c r="G127">
        <v>55</v>
      </c>
      <c r="H127">
        <v>40</v>
      </c>
      <c r="I127">
        <v>85</v>
      </c>
      <c r="J127">
        <v>80</v>
      </c>
      <c r="K127">
        <v>105</v>
      </c>
      <c r="L127">
        <v>40</v>
      </c>
      <c r="M127" t="s">
        <v>368</v>
      </c>
      <c r="N127" t="s">
        <v>301</v>
      </c>
      <c r="O127" t="s">
        <v>302</v>
      </c>
      <c r="P127">
        <f t="shared" si="67"/>
        <v>6</v>
      </c>
      <c r="Q127">
        <f t="shared" si="68"/>
        <v>7.9</v>
      </c>
      <c r="R127">
        <v>0</v>
      </c>
      <c r="S127">
        <v>0</v>
      </c>
      <c r="T127">
        <f t="shared" si="69"/>
        <v>6</v>
      </c>
      <c r="U127">
        <f t="shared" si="70"/>
        <v>8</v>
      </c>
      <c r="V127">
        <f t="shared" si="71"/>
        <v>14</v>
      </c>
      <c r="W127" t="str">
        <f t="shared" si="65"/>
        <v>fairy</v>
      </c>
      <c r="X127" t="str">
        <f t="shared" ref="X127:X132" si="122">IF(F127 = 0, "", F127)</f>
        <v>flying</v>
      </c>
      <c r="Y127" t="s">
        <v>8</v>
      </c>
      <c r="Z127" t="s">
        <v>22</v>
      </c>
      <c r="AA127" t="str">
        <f>B128</f>
        <v>Togekiss</v>
      </c>
      <c r="AB127">
        <f t="shared" si="66"/>
        <v>9</v>
      </c>
      <c r="AC127" t="s">
        <v>706</v>
      </c>
      <c r="AD127" t="str">
        <f>VLOOKUP(AC127,moves!A:B,2,FALSE)</f>
        <v>fairy</v>
      </c>
      <c r="AE127">
        <f>VLOOKUP(AC127,moves!A:D,4,FALSE)</f>
        <v>4</v>
      </c>
      <c r="AF127" t="str">
        <f>IF(VLOOKUP(AC127,moves!A:F,5,FALSE)=0, "", VLOOKUP(AC127,moves!A:F,5,FALSE))</f>
        <v/>
      </c>
      <c r="AG127" t="str">
        <f>VLOOKUP(AC127,moves!A:F,6,FALSE)</f>
        <v>When the target next attacks, [status_symbol]s deal -1 damage.</v>
      </c>
      <c r="AH127">
        <v>0</v>
      </c>
      <c r="AI127">
        <v>0</v>
      </c>
      <c r="AJ127" t="str" cm="1">
        <f t="array" ref="AJ127">_xlfn.IFS(AH127=1, "starter", AI127=1, "legendary",V127&lt; 13, "weak",V127&lt; 17, "moderate", TRUE, "strong")</f>
        <v>moderate</v>
      </c>
      <c r="AL127">
        <v>2</v>
      </c>
      <c r="AM127">
        <v>0</v>
      </c>
    </row>
    <row r="128" spans="1:40" x14ac:dyDescent="0.25">
      <c r="A128">
        <v>468</v>
      </c>
      <c r="B128" t="s">
        <v>222</v>
      </c>
      <c r="C128" t="str">
        <f t="shared" si="121"/>
        <v>Togekiss</v>
      </c>
      <c r="E128" t="s">
        <v>16</v>
      </c>
      <c r="F128" t="s">
        <v>5</v>
      </c>
      <c r="G128">
        <v>85</v>
      </c>
      <c r="H128">
        <v>50</v>
      </c>
      <c r="I128">
        <v>95</v>
      </c>
      <c r="J128">
        <v>120</v>
      </c>
      <c r="K128">
        <v>115</v>
      </c>
      <c r="L128">
        <v>80</v>
      </c>
      <c r="M128" t="s">
        <v>401</v>
      </c>
      <c r="N128" t="s">
        <v>301</v>
      </c>
      <c r="O128" t="s">
        <v>302</v>
      </c>
      <c r="P128">
        <f t="shared" si="67"/>
        <v>9.6999999999999993</v>
      </c>
      <c r="Q128">
        <f t="shared" si="68"/>
        <v>9.6999999999999993</v>
      </c>
      <c r="R128">
        <v>0</v>
      </c>
      <c r="S128">
        <v>0</v>
      </c>
      <c r="T128">
        <f t="shared" si="69"/>
        <v>10</v>
      </c>
      <c r="U128">
        <f t="shared" si="70"/>
        <v>10</v>
      </c>
      <c r="V128">
        <f t="shared" si="71"/>
        <v>20</v>
      </c>
      <c r="W128" t="str">
        <f t="shared" si="65"/>
        <v>fairy</v>
      </c>
      <c r="X128" t="str">
        <f t="shared" si="122"/>
        <v>flying</v>
      </c>
      <c r="Y128" t="s">
        <v>8</v>
      </c>
      <c r="Z128" t="s">
        <v>22</v>
      </c>
      <c r="AB128" t="str">
        <f t="shared" si="66"/>
        <v/>
      </c>
      <c r="AC128" t="s">
        <v>514</v>
      </c>
      <c r="AD128" t="str">
        <f>VLOOKUP(AC128,moves!A:B,2,FALSE)</f>
        <v>flying</v>
      </c>
      <c r="AE128">
        <f>VLOOKUP(AC128,moves!A:D,4,FALSE)</f>
        <v>4</v>
      </c>
      <c r="AF128" t="str">
        <f>IF(VLOOKUP(AC128,moves!A:F,5,FALSE)=0, "", VLOOKUP(AC128,moves!A:F,5,FALSE))</f>
        <v/>
      </c>
      <c r="AG128" t="str">
        <f>VLOOKUP(AC128,moves!A:F,6,FALSE)</f>
        <v>[critical_hit]s deal +1 damage.</v>
      </c>
      <c r="AH128">
        <v>0</v>
      </c>
      <c r="AI128">
        <v>0</v>
      </c>
      <c r="AJ128" t="str" cm="1">
        <f t="array" ref="AJ128">_xlfn.IFS(AH128=1, "starter", AI128=1, "legendary",V128&lt; 13, "weak",V128&lt; 17, "moderate", TRUE, "strong")</f>
        <v>strong</v>
      </c>
      <c r="AL128">
        <v>3</v>
      </c>
      <c r="AM128">
        <v>0</v>
      </c>
      <c r="AN128">
        <v>1</v>
      </c>
    </row>
    <row r="129" spans="1:40" x14ac:dyDescent="0.25">
      <c r="A129" t="s">
        <v>983</v>
      </c>
      <c r="B129" t="s">
        <v>222</v>
      </c>
      <c r="C129" t="str">
        <f t="shared" si="121"/>
        <v>Togekiss</v>
      </c>
      <c r="D129" t="s">
        <v>1004</v>
      </c>
      <c r="E129" t="s">
        <v>16</v>
      </c>
      <c r="F129" t="s">
        <v>5</v>
      </c>
      <c r="G129">
        <v>85</v>
      </c>
      <c r="H129">
        <v>50</v>
      </c>
      <c r="I129">
        <v>95</v>
      </c>
      <c r="J129">
        <v>120</v>
      </c>
      <c r="K129">
        <v>115</v>
      </c>
      <c r="L129">
        <v>80</v>
      </c>
      <c r="M129" t="s">
        <v>401</v>
      </c>
      <c r="O129" t="s">
        <v>777</v>
      </c>
      <c r="P129">
        <f t="shared" ref="P129" si="123">(0.4*L129 + 0.5*MAX(H129,J129) + 0.1*MIN(H129,J129)) / 10</f>
        <v>9.6999999999999993</v>
      </c>
      <c r="Q129">
        <f t="shared" ref="Q129" si="124">(0.4*G129 + 0.3*I129 + 0.3*K129) / 10</f>
        <v>9.6999999999999993</v>
      </c>
      <c r="R129">
        <v>2</v>
      </c>
      <c r="S129">
        <v>2</v>
      </c>
      <c r="T129">
        <f t="shared" ref="T129" si="125">ROUND(P129,0)+R129</f>
        <v>12</v>
      </c>
      <c r="U129">
        <f t="shared" ref="U129" si="126">ROUND(Q129,0)+S129</f>
        <v>12</v>
      </c>
      <c r="V129">
        <f t="shared" ref="V129" si="127">SUM(ROUND(T129,0),ROUND(U129,0))</f>
        <v>24</v>
      </c>
      <c r="W129" t="str">
        <f t="shared" ref="W129" si="128">E129</f>
        <v>fairy</v>
      </c>
      <c r="X129" t="str">
        <f t="shared" si="122"/>
        <v>flying</v>
      </c>
      <c r="Y129" t="s">
        <v>8</v>
      </c>
      <c r="Z129" t="s">
        <v>22</v>
      </c>
      <c r="AB129" t="str">
        <f t="shared" si="66"/>
        <v/>
      </c>
      <c r="AC129" t="s">
        <v>514</v>
      </c>
      <c r="AD129" t="str">
        <f>VLOOKUP(AC129,moves!A:B,2,FALSE)</f>
        <v>flying</v>
      </c>
      <c r="AE129">
        <f>VLOOKUP(AC129,moves!A:D,4,FALSE)</f>
        <v>4</v>
      </c>
      <c r="AF129" t="str">
        <f>IF(VLOOKUP(AC129,moves!A:F,5,FALSE)=0, "", VLOOKUP(AC129,moves!A:F,5,FALSE))</f>
        <v/>
      </c>
      <c r="AG129" t="str">
        <f>VLOOKUP(AC129,moves!A:F,6,FALSE)</f>
        <v>[critical_hit]s deal +1 damage.</v>
      </c>
      <c r="AH129">
        <v>0</v>
      </c>
      <c r="AI129">
        <v>1</v>
      </c>
      <c r="AJ129" t="str" cm="1">
        <f t="array" ref="AJ129">_xlfn.IFS(AH129=1, "starter", AI129=1, "legendary",V129&lt; 13, "weak",V129&lt; 17, "moderate", TRUE, "strong")</f>
        <v>legendary</v>
      </c>
      <c r="AL129">
        <v>3</v>
      </c>
      <c r="AM129">
        <v>0</v>
      </c>
      <c r="AN129">
        <v>2</v>
      </c>
    </row>
    <row r="130" spans="1:40" x14ac:dyDescent="0.25">
      <c r="A130">
        <v>193</v>
      </c>
      <c r="B130" t="s">
        <v>79</v>
      </c>
      <c r="C130" t="str">
        <f t="shared" si="121"/>
        <v>Yanma</v>
      </c>
      <c r="E130" t="s">
        <v>7</v>
      </c>
      <c r="F130" t="s">
        <v>5</v>
      </c>
      <c r="G130">
        <v>65</v>
      </c>
      <c r="H130">
        <v>65</v>
      </c>
      <c r="I130">
        <v>45</v>
      </c>
      <c r="J130">
        <v>75</v>
      </c>
      <c r="K130">
        <v>45</v>
      </c>
      <c r="L130">
        <v>95</v>
      </c>
      <c r="M130" t="s">
        <v>402</v>
      </c>
      <c r="N130" t="s">
        <v>298</v>
      </c>
      <c r="O130" t="s">
        <v>302</v>
      </c>
      <c r="P130">
        <f t="shared" si="67"/>
        <v>8.1999999999999993</v>
      </c>
      <c r="Q130">
        <f t="shared" si="68"/>
        <v>5.3</v>
      </c>
      <c r="R130">
        <v>0</v>
      </c>
      <c r="S130">
        <v>0</v>
      </c>
      <c r="T130">
        <f t="shared" si="69"/>
        <v>8</v>
      </c>
      <c r="U130">
        <f t="shared" si="70"/>
        <v>5</v>
      </c>
      <c r="V130">
        <f t="shared" si="71"/>
        <v>13</v>
      </c>
      <c r="W130" t="str">
        <f t="shared" si="65"/>
        <v>bug</v>
      </c>
      <c r="X130" t="str">
        <f t="shared" si="122"/>
        <v>flying</v>
      </c>
      <c r="Y130" t="s">
        <v>33</v>
      </c>
      <c r="Z130" t="s">
        <v>9</v>
      </c>
      <c r="AA130" t="str">
        <f>B131</f>
        <v>Yanmega</v>
      </c>
      <c r="AB130">
        <f t="shared" si="66"/>
        <v>7</v>
      </c>
      <c r="AC130" t="s">
        <v>533</v>
      </c>
      <c r="AD130" t="str">
        <f>VLOOKUP(AC130,moves!A:B,2,FALSE)</f>
        <v>rock</v>
      </c>
      <c r="AE130">
        <f>VLOOKUP(AC130,moves!A:D,4,FALSE)</f>
        <v>2</v>
      </c>
      <c r="AF130" t="str">
        <f>IF(VLOOKUP(AC130,moves!A:F,5,FALSE)=0, "", VLOOKUP(AC130,moves!A:F,5,FALSE))</f>
        <v>boost</v>
      </c>
      <c r="AG130" t="str">
        <f>VLOOKUP(AC130,moves!A:F,6,FALSE)</f>
        <v>Add 1 [critical_hit] and 1 [status_symbol] to your future attack rolls.</v>
      </c>
      <c r="AH130">
        <v>0</v>
      </c>
      <c r="AI130">
        <v>0</v>
      </c>
      <c r="AJ130" t="str" cm="1">
        <f t="array" ref="AJ130">_xlfn.IFS(AH130=1, "starter", AI130=1, "legendary",V130&lt; 13, "weak",V130&lt; 17, "moderate", TRUE, "strong")</f>
        <v>moderate</v>
      </c>
      <c r="AL130">
        <v>1</v>
      </c>
      <c r="AM130">
        <v>0</v>
      </c>
    </row>
    <row r="131" spans="1:40" x14ac:dyDescent="0.25">
      <c r="A131">
        <v>469</v>
      </c>
      <c r="B131" t="s">
        <v>223</v>
      </c>
      <c r="C131" t="str">
        <f t="shared" si="121"/>
        <v>Yanmega</v>
      </c>
      <c r="E131" t="s">
        <v>7</v>
      </c>
      <c r="F131" t="s">
        <v>5</v>
      </c>
      <c r="G131">
        <v>86</v>
      </c>
      <c r="H131">
        <v>76</v>
      </c>
      <c r="I131">
        <v>86</v>
      </c>
      <c r="J131">
        <v>116</v>
      </c>
      <c r="K131">
        <v>56</v>
      </c>
      <c r="L131">
        <v>95</v>
      </c>
      <c r="M131" t="s">
        <v>403</v>
      </c>
      <c r="N131" t="s">
        <v>298</v>
      </c>
      <c r="O131" t="s">
        <v>302</v>
      </c>
      <c r="P131">
        <f t="shared" si="67"/>
        <v>10.36</v>
      </c>
      <c r="Q131">
        <f t="shared" si="68"/>
        <v>7.7</v>
      </c>
      <c r="R131">
        <v>0</v>
      </c>
      <c r="S131">
        <v>0</v>
      </c>
      <c r="T131">
        <f t="shared" si="69"/>
        <v>10</v>
      </c>
      <c r="U131">
        <f t="shared" si="70"/>
        <v>8</v>
      </c>
      <c r="V131">
        <f t="shared" si="71"/>
        <v>18</v>
      </c>
      <c r="W131" t="str">
        <f t="shared" si="65"/>
        <v>bug</v>
      </c>
      <c r="X131" t="str">
        <f t="shared" si="122"/>
        <v>flying</v>
      </c>
      <c r="Y131" t="s">
        <v>33</v>
      </c>
      <c r="Z131" t="s">
        <v>9</v>
      </c>
      <c r="AB131" t="str">
        <f t="shared" si="66"/>
        <v/>
      </c>
      <c r="AC131" t="s">
        <v>596</v>
      </c>
      <c r="AD131" t="str">
        <f>VLOOKUP(AC131,moves!A:B,2,FALSE)</f>
        <v>bug</v>
      </c>
      <c r="AE131">
        <f>VLOOKUP(AC131,moves!A:D,4,FALSE)</f>
        <v>4</v>
      </c>
      <c r="AF131" t="str">
        <f>IF(VLOOKUP(AC131,moves!A:F,5,FALSE)=0, "", VLOOKUP(AC131,moves!A:F,5,FALSE))</f>
        <v/>
      </c>
      <c r="AG131" t="str">
        <f>VLOOKUP(AC131,moves!A:F,6,FALSE)</f>
        <v>If any [status_symbol]s are rolled: Inflict the [paralysed] status on the target.</v>
      </c>
      <c r="AH131">
        <v>0</v>
      </c>
      <c r="AI131">
        <v>0</v>
      </c>
      <c r="AJ131" t="str" cm="1">
        <f t="array" ref="AJ131">_xlfn.IFS(AH131=1, "starter", AI131=1, "legendary",V131&lt; 13, "weak",V131&lt; 17, "moderate", TRUE, "strong")</f>
        <v>strong</v>
      </c>
      <c r="AL131">
        <v>2</v>
      </c>
      <c r="AM131">
        <v>0</v>
      </c>
    </row>
    <row r="132" spans="1:40" x14ac:dyDescent="0.25">
      <c r="A132" t="s">
        <v>1144</v>
      </c>
      <c r="B132" t="s">
        <v>1148</v>
      </c>
      <c r="C132" t="s">
        <v>223</v>
      </c>
      <c r="D132" t="s">
        <v>1151</v>
      </c>
      <c r="E132" t="s">
        <v>7</v>
      </c>
      <c r="F132" t="s">
        <v>67</v>
      </c>
      <c r="G132">
        <v>86</v>
      </c>
      <c r="H132">
        <v>76</v>
      </c>
      <c r="I132">
        <v>86</v>
      </c>
      <c r="J132">
        <v>116</v>
      </c>
      <c r="K132">
        <v>56</v>
      </c>
      <c r="L132">
        <v>95</v>
      </c>
      <c r="M132" t="s">
        <v>591</v>
      </c>
      <c r="O132" t="s">
        <v>1146</v>
      </c>
      <c r="P132">
        <f t="shared" ref="P132" si="129">(0.4*L132 + 0.5*MAX(H132,J132) + 0.1*MIN(H132,J132)) / 10</f>
        <v>10.36</v>
      </c>
      <c r="Q132">
        <f t="shared" ref="Q132" si="130">(0.4*G132 + 0.3*I132 + 0.3*K132) / 10</f>
        <v>7.7</v>
      </c>
      <c r="R132">
        <v>2</v>
      </c>
      <c r="S132">
        <v>1</v>
      </c>
      <c r="T132">
        <f t="shared" ref="T132" si="131">ROUND(P132,0)+R132</f>
        <v>12</v>
      </c>
      <c r="U132">
        <f t="shared" ref="U132" si="132">ROUND(Q132,0)+S132</f>
        <v>9</v>
      </c>
      <c r="V132">
        <f t="shared" ref="V132" si="133">SUM(ROUND(T132,0),ROUND(U132,0))</f>
        <v>21</v>
      </c>
      <c r="W132" t="str">
        <f t="shared" ref="W132" si="134">E132</f>
        <v>bug</v>
      </c>
      <c r="X132" t="str">
        <f t="shared" si="122"/>
        <v>dragon</v>
      </c>
      <c r="Y132" t="s">
        <v>33</v>
      </c>
      <c r="Z132" t="s">
        <v>9</v>
      </c>
      <c r="AB132" t="str">
        <f t="shared" si="66"/>
        <v/>
      </c>
      <c r="AC132" t="s">
        <v>1173</v>
      </c>
      <c r="AD132" t="str">
        <f>VLOOKUP(AC132,moves!A:B,2,FALSE)</f>
        <v>dragon</v>
      </c>
      <c r="AE132">
        <f>VLOOKUP(AC132,moves!A:D,4,FALSE)</f>
        <v>4</v>
      </c>
      <c r="AF132" t="str">
        <f>IF(VLOOKUP(AC132,moves!A:F,5,FALSE)=0, "", VLOOKUP(AC132,moves!A:F,5,FALSE))</f>
        <v/>
      </c>
      <c r="AG132" t="str">
        <f>VLOOKUP(AC132,moves!A:F,6,FALSE)</f>
        <v>If any [status_symbol]s are rolled: Inflict the [paralysed] status on the target.</v>
      </c>
      <c r="AH132">
        <v>0</v>
      </c>
      <c r="AI132">
        <v>1</v>
      </c>
      <c r="AJ132" t="str" cm="1">
        <f t="array" ref="AJ132">_xlfn.IFS(AH132=1, "starter", AI132=1, "legendary",V132&lt; 13, "weak",V132&lt; 17, "moderate", TRUE, "strong")</f>
        <v>legendary</v>
      </c>
      <c r="AL132">
        <v>1</v>
      </c>
      <c r="AM132">
        <v>0</v>
      </c>
    </row>
    <row r="133" spans="1:40" x14ac:dyDescent="0.25">
      <c r="A133">
        <v>133</v>
      </c>
      <c r="B133" t="s">
        <v>58</v>
      </c>
      <c r="C133" t="str">
        <f t="shared" ref="C133:C161" si="135">B133</f>
        <v>Eevee</v>
      </c>
      <c r="E133" t="s">
        <v>8</v>
      </c>
      <c r="G133">
        <v>55</v>
      </c>
      <c r="H133">
        <v>55</v>
      </c>
      <c r="I133">
        <v>50</v>
      </c>
      <c r="J133">
        <v>45</v>
      </c>
      <c r="K133">
        <v>65</v>
      </c>
      <c r="L133">
        <v>55</v>
      </c>
      <c r="M133" t="s">
        <v>404</v>
      </c>
      <c r="N133" t="s">
        <v>301</v>
      </c>
      <c r="O133" t="s">
        <v>300</v>
      </c>
      <c r="P133">
        <f t="shared" si="67"/>
        <v>5.4</v>
      </c>
      <c r="Q133">
        <f t="shared" si="68"/>
        <v>5.65</v>
      </c>
      <c r="R133">
        <v>0</v>
      </c>
      <c r="S133">
        <v>0</v>
      </c>
      <c r="T133">
        <f t="shared" si="69"/>
        <v>5</v>
      </c>
      <c r="U133">
        <f t="shared" si="70"/>
        <v>6</v>
      </c>
      <c r="V133">
        <f t="shared" si="71"/>
        <v>11</v>
      </c>
      <c r="W133" t="str">
        <f t="shared" si="65"/>
        <v>normal</v>
      </c>
      <c r="X133" t="s">
        <v>9</v>
      </c>
      <c r="Y133" t="s">
        <v>16</v>
      </c>
      <c r="Z133" t="s">
        <v>13</v>
      </c>
      <c r="AA133" t="s">
        <v>644</v>
      </c>
      <c r="AB133">
        <f t="shared" si="66"/>
        <v>8</v>
      </c>
      <c r="AC133" t="s">
        <v>721</v>
      </c>
      <c r="AD133" t="str">
        <f>VLOOKUP(AC133,moves!A:B,2,FALSE)</f>
        <v>normal</v>
      </c>
      <c r="AE133">
        <f>VLOOKUP(AC133,moves!A:D,4,FALSE)</f>
        <v>2</v>
      </c>
      <c r="AF133" t="str">
        <f>IF(VLOOKUP(AC133,moves!A:F,5,FALSE)=0, "", VLOOKUP(AC133,moves!A:F,5,FALSE))</f>
        <v>agile</v>
      </c>
      <c r="AG133" t="str">
        <f>VLOOKUP(AC133,moves!A:F,6,FALSE)</f>
        <v>[status_symbol]s deal -1 damage.</v>
      </c>
      <c r="AH133">
        <v>0</v>
      </c>
      <c r="AI133">
        <v>0</v>
      </c>
      <c r="AJ133" t="str" cm="1">
        <f t="array" ref="AJ133">_xlfn.IFS(AH133=1, "starter", AI133=1, "legendary",V133&lt; 13, "weak",V133&lt; 17, "moderate", TRUE, "strong")</f>
        <v>weak</v>
      </c>
      <c r="AL133">
        <v>1</v>
      </c>
      <c r="AM133">
        <v>0</v>
      </c>
    </row>
    <row r="134" spans="1:40" x14ac:dyDescent="0.25">
      <c r="A134">
        <v>134</v>
      </c>
      <c r="B134" t="s">
        <v>59</v>
      </c>
      <c r="C134" t="str">
        <f t="shared" si="135"/>
        <v>Vaporeon</v>
      </c>
      <c r="E134" t="s">
        <v>6</v>
      </c>
      <c r="G134">
        <v>130</v>
      </c>
      <c r="H134">
        <v>65</v>
      </c>
      <c r="I134">
        <v>60</v>
      </c>
      <c r="J134">
        <v>110</v>
      </c>
      <c r="K134">
        <v>95</v>
      </c>
      <c r="L134">
        <v>65</v>
      </c>
      <c r="M134" t="s">
        <v>405</v>
      </c>
      <c r="N134" t="s">
        <v>303</v>
      </c>
      <c r="O134" t="s">
        <v>302</v>
      </c>
      <c r="P134">
        <f t="shared" si="67"/>
        <v>8.75</v>
      </c>
      <c r="Q134">
        <f t="shared" si="68"/>
        <v>9.85</v>
      </c>
      <c r="R134">
        <v>0</v>
      </c>
      <c r="S134">
        <v>-1</v>
      </c>
      <c r="T134">
        <f t="shared" si="69"/>
        <v>9</v>
      </c>
      <c r="U134">
        <f t="shared" si="70"/>
        <v>9</v>
      </c>
      <c r="V134">
        <f t="shared" si="71"/>
        <v>18</v>
      </c>
      <c r="W134" t="str">
        <f t="shared" si="65"/>
        <v>water</v>
      </c>
      <c r="X134" t="s">
        <v>8</v>
      </c>
      <c r="Y134" t="s">
        <v>13</v>
      </c>
      <c r="Z134" t="s">
        <v>14</v>
      </c>
      <c r="AB134" t="str">
        <f t="shared" si="66"/>
        <v/>
      </c>
      <c r="AC134" t="s">
        <v>479</v>
      </c>
      <c r="AD134" t="str">
        <f>VLOOKUP(AC134,moves!A:B,2,FALSE)</f>
        <v>water</v>
      </c>
      <c r="AE134">
        <f>VLOOKUP(AC134,moves!A:D,4,FALSE)</f>
        <v>5</v>
      </c>
      <c r="AF134" t="str">
        <f>IF(VLOOKUP(AC134,moves!A:F,5,FALSE)=0, "", VLOOKUP(AC134,moves!A:F,5,FALSE))</f>
        <v/>
      </c>
      <c r="AG134" t="str">
        <f>VLOOKUP(AC134,moves!A:F,6,FALSE)</f>
        <v>If 2 or more [status_symbol]s are rolled: Inflict the [confused] status on the target.</v>
      </c>
      <c r="AH134">
        <v>0</v>
      </c>
      <c r="AI134">
        <v>0</v>
      </c>
      <c r="AJ134" t="str" cm="1">
        <f t="array" ref="AJ134">_xlfn.IFS(AH134=1, "starter", AI134=1, "legendary",V134&lt; 13, "weak",V134&lt; 17, "moderate", TRUE, "strong")</f>
        <v>strong</v>
      </c>
      <c r="AL134">
        <v>2</v>
      </c>
      <c r="AM134">
        <v>0</v>
      </c>
    </row>
    <row r="135" spans="1:40" x14ac:dyDescent="0.25">
      <c r="A135">
        <v>135</v>
      </c>
      <c r="B135" t="s">
        <v>60</v>
      </c>
      <c r="C135" t="str">
        <f t="shared" si="135"/>
        <v>Jolteon</v>
      </c>
      <c r="E135" t="s">
        <v>11</v>
      </c>
      <c r="G135">
        <v>65</v>
      </c>
      <c r="H135">
        <v>65</v>
      </c>
      <c r="I135">
        <v>60</v>
      </c>
      <c r="J135">
        <v>110</v>
      </c>
      <c r="K135">
        <v>95</v>
      </c>
      <c r="L135">
        <v>130</v>
      </c>
      <c r="M135" t="s">
        <v>406</v>
      </c>
      <c r="N135" t="s">
        <v>301</v>
      </c>
      <c r="O135" t="s">
        <v>302</v>
      </c>
      <c r="P135">
        <f t="shared" si="67"/>
        <v>11.35</v>
      </c>
      <c r="Q135">
        <f t="shared" si="68"/>
        <v>7.25</v>
      </c>
      <c r="R135">
        <v>0</v>
      </c>
      <c r="S135">
        <v>0</v>
      </c>
      <c r="T135">
        <f t="shared" si="69"/>
        <v>11</v>
      </c>
      <c r="U135">
        <f t="shared" si="70"/>
        <v>7</v>
      </c>
      <c r="V135">
        <f t="shared" si="71"/>
        <v>18</v>
      </c>
      <c r="W135" t="str">
        <f t="shared" si="65"/>
        <v>electric</v>
      </c>
      <c r="X135" t="s">
        <v>8</v>
      </c>
      <c r="Y135" t="s">
        <v>13</v>
      </c>
      <c r="Z135" t="s">
        <v>42</v>
      </c>
      <c r="AB135" t="str">
        <f t="shared" si="66"/>
        <v/>
      </c>
      <c r="AC135" t="s">
        <v>486</v>
      </c>
      <c r="AD135" t="str">
        <f>VLOOKUP(AC135,moves!A:B,2,FALSE)</f>
        <v>electric</v>
      </c>
      <c r="AE135">
        <f>VLOOKUP(AC135,moves!A:D,4,FALSE)</f>
        <v>5</v>
      </c>
      <c r="AF135" t="str">
        <f>IF(VLOOKUP(AC135,moves!A:F,5,FALSE)=0, "", VLOOKUP(AC135,moves!A:F,5,FALSE))</f>
        <v/>
      </c>
      <c r="AG135" t="str">
        <f>VLOOKUP(AC135,moves!A:F,6,FALSE)</f>
        <v>If 2 or more [status_symbol]s are rolled: Inflict the [paralysed] status on the target.</v>
      </c>
      <c r="AH135">
        <v>0</v>
      </c>
      <c r="AI135">
        <v>0</v>
      </c>
      <c r="AJ135" t="str" cm="1">
        <f t="array" ref="AJ135">_xlfn.IFS(AH135=1, "starter", AI135=1, "legendary",V135&lt; 13, "weak",V135&lt; 17, "moderate", TRUE, "strong")</f>
        <v>strong</v>
      </c>
      <c r="AL135">
        <v>2</v>
      </c>
      <c r="AM135">
        <v>0</v>
      </c>
    </row>
    <row r="136" spans="1:40" x14ac:dyDescent="0.25">
      <c r="A136">
        <v>136</v>
      </c>
      <c r="B136" t="s">
        <v>61</v>
      </c>
      <c r="C136" t="str">
        <f t="shared" si="135"/>
        <v>Flareon</v>
      </c>
      <c r="E136" t="s">
        <v>4</v>
      </c>
      <c r="G136">
        <v>65</v>
      </c>
      <c r="H136">
        <v>130</v>
      </c>
      <c r="I136">
        <v>60</v>
      </c>
      <c r="J136">
        <v>95</v>
      </c>
      <c r="K136">
        <v>110</v>
      </c>
      <c r="L136">
        <v>65</v>
      </c>
      <c r="M136" t="s">
        <v>322</v>
      </c>
      <c r="N136" t="s">
        <v>298</v>
      </c>
      <c r="O136" t="s">
        <v>302</v>
      </c>
      <c r="P136">
        <f t="shared" si="67"/>
        <v>10.050000000000001</v>
      </c>
      <c r="Q136">
        <f t="shared" si="68"/>
        <v>7.7</v>
      </c>
      <c r="R136">
        <v>0</v>
      </c>
      <c r="S136">
        <v>0</v>
      </c>
      <c r="T136">
        <f t="shared" si="69"/>
        <v>10</v>
      </c>
      <c r="U136">
        <f t="shared" si="70"/>
        <v>8</v>
      </c>
      <c r="V136">
        <f t="shared" si="71"/>
        <v>18</v>
      </c>
      <c r="W136" t="str">
        <f t="shared" si="65"/>
        <v>fire</v>
      </c>
      <c r="X136" t="s">
        <v>8</v>
      </c>
      <c r="Y136" t="s">
        <v>13</v>
      </c>
      <c r="Z136" t="s">
        <v>22</v>
      </c>
      <c r="AB136" t="str">
        <f t="shared" si="66"/>
        <v/>
      </c>
      <c r="AC136" t="s">
        <v>478</v>
      </c>
      <c r="AD136" t="str">
        <f>VLOOKUP(AC136,moves!A:B,2,FALSE)</f>
        <v>fire</v>
      </c>
      <c r="AE136">
        <f>VLOOKUP(AC136,moves!A:D,4,FALSE)</f>
        <v>5</v>
      </c>
      <c r="AF136" t="str">
        <f>IF(VLOOKUP(AC136,moves!A:F,5,FALSE)=0, "", VLOOKUP(AC136,moves!A:F,5,FALSE))</f>
        <v/>
      </c>
      <c r="AG136" t="str">
        <f>VLOOKUP(AC136,moves!A:F,6,FALSE)</f>
        <v>If 2 or more [status_symbol]s are rolled: Inflict the [burned] status on the target.</v>
      </c>
      <c r="AH136">
        <v>0</v>
      </c>
      <c r="AI136">
        <v>0</v>
      </c>
      <c r="AJ136" t="str" cm="1">
        <f t="array" ref="AJ136">_xlfn.IFS(AH136=1, "starter", AI136=1, "legendary",V136&lt; 13, "weak",V136&lt; 17, "moderate", TRUE, "strong")</f>
        <v>strong</v>
      </c>
      <c r="AL136">
        <v>2</v>
      </c>
      <c r="AM136">
        <v>0</v>
      </c>
    </row>
    <row r="137" spans="1:40" x14ac:dyDescent="0.25">
      <c r="A137">
        <v>196</v>
      </c>
      <c r="B137" t="s">
        <v>82</v>
      </c>
      <c r="C137" t="str">
        <f t="shared" si="135"/>
        <v>Espeon</v>
      </c>
      <c r="E137" t="s">
        <v>26</v>
      </c>
      <c r="G137">
        <v>65</v>
      </c>
      <c r="H137">
        <v>65</v>
      </c>
      <c r="I137">
        <v>60</v>
      </c>
      <c r="J137">
        <v>130</v>
      </c>
      <c r="K137">
        <v>95</v>
      </c>
      <c r="L137">
        <v>110</v>
      </c>
      <c r="M137" t="s">
        <v>407</v>
      </c>
      <c r="N137" t="s">
        <v>304</v>
      </c>
      <c r="O137" t="s">
        <v>302</v>
      </c>
      <c r="P137">
        <f t="shared" si="67"/>
        <v>11.55</v>
      </c>
      <c r="Q137">
        <f t="shared" si="68"/>
        <v>7.25</v>
      </c>
      <c r="R137">
        <v>0</v>
      </c>
      <c r="S137">
        <v>-1</v>
      </c>
      <c r="T137">
        <f t="shared" si="69"/>
        <v>12</v>
      </c>
      <c r="U137">
        <f t="shared" si="70"/>
        <v>6</v>
      </c>
      <c r="V137">
        <f t="shared" si="71"/>
        <v>18</v>
      </c>
      <c r="W137" t="str">
        <f t="shared" si="65"/>
        <v>psychic</v>
      </c>
      <c r="X137" t="s">
        <v>8</v>
      </c>
      <c r="Y137" t="s">
        <v>13</v>
      </c>
      <c r="Z137" t="s">
        <v>16</v>
      </c>
      <c r="AB137" t="str">
        <f t="shared" si="66"/>
        <v/>
      </c>
      <c r="AC137" t="s">
        <v>495</v>
      </c>
      <c r="AD137" t="str">
        <f>VLOOKUP(AC137,moves!A:B,2,FALSE)</f>
        <v>psychic</v>
      </c>
      <c r="AE137">
        <f>VLOOKUP(AC137,moves!A:D,4,FALSE)</f>
        <v>5</v>
      </c>
      <c r="AF137" t="str">
        <f>IF(VLOOKUP(AC137,moves!A:F,5,FALSE)=0, "", VLOOKUP(AC137,moves!A:F,5,FALSE))</f>
        <v/>
      </c>
      <c r="AG137" t="str">
        <f>VLOOKUP(AC137,moves!A:F,6,FALSE)</f>
        <v>If 2 or more [status_symbol]s are rolled: Inflict the [confused] status on the target.</v>
      </c>
      <c r="AH137">
        <v>0</v>
      </c>
      <c r="AI137">
        <v>0</v>
      </c>
      <c r="AJ137" t="str" cm="1">
        <f t="array" ref="AJ137">_xlfn.IFS(AH137=1, "starter", AI137=1, "legendary",V137&lt; 13, "weak",V137&lt; 17, "moderate", TRUE, "strong")</f>
        <v>strong</v>
      </c>
      <c r="AL137">
        <v>2</v>
      </c>
      <c r="AM137">
        <v>0</v>
      </c>
    </row>
    <row r="138" spans="1:40" x14ac:dyDescent="0.25">
      <c r="A138">
        <v>197</v>
      </c>
      <c r="B138" t="s">
        <v>83</v>
      </c>
      <c r="C138" t="str">
        <f t="shared" si="135"/>
        <v>Umbreon</v>
      </c>
      <c r="E138" t="s">
        <v>9</v>
      </c>
      <c r="G138">
        <v>95</v>
      </c>
      <c r="H138">
        <v>65</v>
      </c>
      <c r="I138">
        <v>110</v>
      </c>
      <c r="J138">
        <v>60</v>
      </c>
      <c r="K138">
        <v>130</v>
      </c>
      <c r="L138">
        <v>65</v>
      </c>
      <c r="M138" t="s">
        <v>408</v>
      </c>
      <c r="N138" t="s">
        <v>304</v>
      </c>
      <c r="O138" t="s">
        <v>299</v>
      </c>
      <c r="P138">
        <f t="shared" si="67"/>
        <v>6.45</v>
      </c>
      <c r="Q138">
        <f t="shared" si="68"/>
        <v>11</v>
      </c>
      <c r="R138">
        <v>0</v>
      </c>
      <c r="S138">
        <v>1</v>
      </c>
      <c r="T138">
        <f t="shared" si="69"/>
        <v>6</v>
      </c>
      <c r="U138">
        <f t="shared" si="70"/>
        <v>12</v>
      </c>
      <c r="V138">
        <f t="shared" si="71"/>
        <v>18</v>
      </c>
      <c r="W138" t="str">
        <f t="shared" si="65"/>
        <v>dark</v>
      </c>
      <c r="X138" t="s">
        <v>8</v>
      </c>
      <c r="Y138" t="s">
        <v>13</v>
      </c>
      <c r="Z138" t="s">
        <v>39</v>
      </c>
      <c r="AB138" t="str">
        <f t="shared" si="66"/>
        <v/>
      </c>
      <c r="AC138" t="s">
        <v>1246</v>
      </c>
      <c r="AD138" t="str">
        <f>VLOOKUP(AC138,moves!A:B,2,FALSE)</f>
        <v>dark</v>
      </c>
      <c r="AE138">
        <f>VLOOKUP(AC138,moves!A:D,4,FALSE)</f>
        <v>5</v>
      </c>
      <c r="AF138" t="str">
        <f>IF(VLOOKUP(AC138,moves!A:F,5,FALSE)=0, "", VLOOKUP(AC138,moves!A:F,5,FALSE))</f>
        <v/>
      </c>
      <c r="AG138" t="str">
        <f>VLOOKUP(AC138,moves!A:F,6,FALSE)</f>
        <v>If 2 or more [status_symbol]s are rolled: Inflict the [drowsy] status on the target.</v>
      </c>
      <c r="AH138">
        <v>0</v>
      </c>
      <c r="AI138">
        <v>0</v>
      </c>
      <c r="AJ138" t="str" cm="1">
        <f t="array" ref="AJ138">_xlfn.IFS(AH138=1, "starter", AI138=1, "legendary",V138&lt; 13, "weak",V138&lt; 17, "moderate", TRUE, "strong")</f>
        <v>strong</v>
      </c>
      <c r="AL138">
        <v>2</v>
      </c>
      <c r="AM138">
        <v>0</v>
      </c>
    </row>
    <row r="139" spans="1:40" x14ac:dyDescent="0.25">
      <c r="A139">
        <v>470</v>
      </c>
      <c r="B139" t="s">
        <v>224</v>
      </c>
      <c r="C139" t="str">
        <f t="shared" si="135"/>
        <v>Leafeon</v>
      </c>
      <c r="E139" t="s">
        <v>2</v>
      </c>
      <c r="G139">
        <v>65</v>
      </c>
      <c r="H139">
        <v>110</v>
      </c>
      <c r="I139">
        <v>130</v>
      </c>
      <c r="J139">
        <v>60</v>
      </c>
      <c r="K139">
        <v>65</v>
      </c>
      <c r="L139">
        <v>95</v>
      </c>
      <c r="M139" t="s">
        <v>409</v>
      </c>
      <c r="N139" t="s">
        <v>298</v>
      </c>
      <c r="O139" t="s">
        <v>299</v>
      </c>
      <c r="P139">
        <f t="shared" si="67"/>
        <v>9.9</v>
      </c>
      <c r="Q139">
        <f t="shared" si="68"/>
        <v>8.4499999999999993</v>
      </c>
      <c r="R139">
        <v>0</v>
      </c>
      <c r="S139">
        <v>0</v>
      </c>
      <c r="T139">
        <f t="shared" si="69"/>
        <v>10</v>
      </c>
      <c r="U139">
        <f t="shared" si="70"/>
        <v>8</v>
      </c>
      <c r="V139">
        <f t="shared" si="71"/>
        <v>18</v>
      </c>
      <c r="W139" t="str">
        <f t="shared" si="65"/>
        <v>grass</v>
      </c>
      <c r="X139" t="s">
        <v>8</v>
      </c>
      <c r="Y139" t="s">
        <v>13</v>
      </c>
      <c r="Z139" t="s">
        <v>7</v>
      </c>
      <c r="AB139" t="str">
        <f t="shared" si="66"/>
        <v/>
      </c>
      <c r="AC139" t="s">
        <v>1247</v>
      </c>
      <c r="AD139" t="str">
        <f>VLOOKUP(AC139,moves!A:B,2,FALSE)</f>
        <v>grass</v>
      </c>
      <c r="AE139">
        <f>VLOOKUP(AC139,moves!A:D,4,FALSE)</f>
        <v>5</v>
      </c>
      <c r="AF139" t="str">
        <f>IF(VLOOKUP(AC139,moves!A:F,5,FALSE)=0, "", VLOOKUP(AC139,moves!A:F,5,FALSE))</f>
        <v/>
      </c>
      <c r="AG139" t="str">
        <f>VLOOKUP(AC139,moves!A:F,6,FALSE)</f>
        <v>If 2 or more [status_symbol]s are rolled: Inflict the [poisoned] status on the target.</v>
      </c>
      <c r="AH139">
        <v>0</v>
      </c>
      <c r="AI139">
        <v>0</v>
      </c>
      <c r="AJ139" t="str" cm="1">
        <f t="array" ref="AJ139">_xlfn.IFS(AH139=1, "starter", AI139=1, "legendary",V139&lt; 13, "weak",V139&lt; 17, "moderate", TRUE, "strong")</f>
        <v>strong</v>
      </c>
      <c r="AL139">
        <v>2</v>
      </c>
      <c r="AM139">
        <v>0</v>
      </c>
    </row>
    <row r="140" spans="1:40" x14ac:dyDescent="0.25">
      <c r="A140">
        <v>471</v>
      </c>
      <c r="B140" t="s">
        <v>225</v>
      </c>
      <c r="C140" t="str">
        <f t="shared" si="135"/>
        <v>Glaceon</v>
      </c>
      <c r="E140" t="s">
        <v>14</v>
      </c>
      <c r="G140">
        <v>65</v>
      </c>
      <c r="H140">
        <v>60</v>
      </c>
      <c r="I140">
        <v>110</v>
      </c>
      <c r="J140">
        <v>130</v>
      </c>
      <c r="K140">
        <v>95</v>
      </c>
      <c r="L140">
        <v>65</v>
      </c>
      <c r="M140" t="s">
        <v>410</v>
      </c>
      <c r="N140" t="s">
        <v>301</v>
      </c>
      <c r="O140" t="s">
        <v>299</v>
      </c>
      <c r="P140">
        <f t="shared" si="67"/>
        <v>9.6999999999999993</v>
      </c>
      <c r="Q140">
        <f t="shared" si="68"/>
        <v>8.75</v>
      </c>
      <c r="R140">
        <v>0</v>
      </c>
      <c r="S140">
        <v>-1</v>
      </c>
      <c r="T140">
        <f t="shared" si="69"/>
        <v>10</v>
      </c>
      <c r="U140">
        <f t="shared" si="70"/>
        <v>8</v>
      </c>
      <c r="V140">
        <f t="shared" si="71"/>
        <v>18</v>
      </c>
      <c r="W140" t="str">
        <f t="shared" si="65"/>
        <v>ice</v>
      </c>
      <c r="X140" t="s">
        <v>8</v>
      </c>
      <c r="Y140" t="s">
        <v>13</v>
      </c>
      <c r="Z140" t="s">
        <v>6</v>
      </c>
      <c r="AB140" t="str">
        <f t="shared" ref="AB140:AB203" si="136">IF(ISBLANK(AA140), "", ROUND(( (V141-6)*(V141-7) - (V140-6)*(V140-7) )/15, 0) + 1)</f>
        <v/>
      </c>
      <c r="AC140" t="s">
        <v>488</v>
      </c>
      <c r="AD140" t="str">
        <f>VLOOKUP(AC140,moves!A:B,2,FALSE)</f>
        <v>ice</v>
      </c>
      <c r="AE140">
        <f>VLOOKUP(AC140,moves!A:D,4,FALSE)</f>
        <v>5</v>
      </c>
      <c r="AF140" t="str">
        <f>IF(VLOOKUP(AC140,moves!A:F,5,FALSE)=0, "", VLOOKUP(AC140,moves!A:F,5,FALSE))</f>
        <v/>
      </c>
      <c r="AG140" t="str">
        <f>VLOOKUP(AC140,moves!A:F,6,FALSE)</f>
        <v>If 2 or more [status_symbol]s are rolled: Inflict the [frozen] status on the target.</v>
      </c>
      <c r="AH140">
        <v>0</v>
      </c>
      <c r="AI140">
        <v>0</v>
      </c>
      <c r="AJ140" t="str" cm="1">
        <f t="array" ref="AJ140">_xlfn.IFS(AH140=1, "starter", AI140=1, "legendary",V140&lt; 13, "weak",V140&lt; 17, "moderate", TRUE, "strong")</f>
        <v>strong</v>
      </c>
      <c r="AL140">
        <v>2</v>
      </c>
      <c r="AM140">
        <v>0</v>
      </c>
    </row>
    <row r="141" spans="1:40" x14ac:dyDescent="0.25">
      <c r="A141">
        <v>700</v>
      </c>
      <c r="B141" t="s">
        <v>642</v>
      </c>
      <c r="C141" t="str">
        <f t="shared" si="135"/>
        <v>Sylveon</v>
      </c>
      <c r="E141" t="s">
        <v>16</v>
      </c>
      <c r="G141">
        <v>95</v>
      </c>
      <c r="H141">
        <v>65</v>
      </c>
      <c r="I141">
        <v>65</v>
      </c>
      <c r="J141">
        <v>110</v>
      </c>
      <c r="K141">
        <v>130</v>
      </c>
      <c r="L141">
        <v>60</v>
      </c>
      <c r="M141" t="s">
        <v>643</v>
      </c>
      <c r="N141" t="s">
        <v>298</v>
      </c>
      <c r="O141" t="s">
        <v>300</v>
      </c>
      <c r="P141">
        <f t="shared" si="67"/>
        <v>8.5500000000000007</v>
      </c>
      <c r="Q141">
        <f t="shared" si="68"/>
        <v>9.65</v>
      </c>
      <c r="R141">
        <v>0</v>
      </c>
      <c r="S141">
        <v>-1</v>
      </c>
      <c r="T141">
        <f t="shared" si="69"/>
        <v>9</v>
      </c>
      <c r="U141">
        <f t="shared" si="70"/>
        <v>9</v>
      </c>
      <c r="V141">
        <f t="shared" si="71"/>
        <v>18</v>
      </c>
      <c r="W141" t="str">
        <f t="shared" si="65"/>
        <v>fairy</v>
      </c>
      <c r="X141" t="s">
        <v>8</v>
      </c>
      <c r="Y141" t="s">
        <v>13</v>
      </c>
      <c r="Z141" t="s">
        <v>4</v>
      </c>
      <c r="AB141" t="str">
        <f t="shared" si="136"/>
        <v/>
      </c>
      <c r="AC141" t="s">
        <v>534</v>
      </c>
      <c r="AD141" t="str">
        <f>VLOOKUP(AC141,moves!A:B,2,FALSE)</f>
        <v>fairy</v>
      </c>
      <c r="AE141">
        <f>VLOOKUP(AC141,moves!A:D,4,FALSE)</f>
        <v>5</v>
      </c>
      <c r="AF141" t="str">
        <f>IF(VLOOKUP(AC141,moves!A:F,5,FALSE)=0, "", VLOOKUP(AC141,moves!A:F,5,FALSE))</f>
        <v/>
      </c>
      <c r="AG141" t="str">
        <f>VLOOKUP(AC141,moves!A:F,6,FALSE)</f>
        <v>If 2 or more [status_symbol]s are rolled: Inflict the [drowsy] status on the target.</v>
      </c>
      <c r="AH141">
        <v>0</v>
      </c>
      <c r="AI141">
        <v>0</v>
      </c>
      <c r="AJ141" t="str" cm="1">
        <f t="array" ref="AJ141">_xlfn.IFS(AH141=1, "starter", AI141=1, "legendary",V141&lt; 13, "weak",V141&lt; 17, "moderate", TRUE, "strong")</f>
        <v>strong</v>
      </c>
      <c r="AL141">
        <v>2</v>
      </c>
      <c r="AM141">
        <v>0</v>
      </c>
    </row>
    <row r="142" spans="1:40" x14ac:dyDescent="0.25">
      <c r="A142">
        <v>207</v>
      </c>
      <c r="B142" t="s">
        <v>87</v>
      </c>
      <c r="C142" t="str">
        <f t="shared" si="135"/>
        <v>Gligar</v>
      </c>
      <c r="E142" t="s">
        <v>13</v>
      </c>
      <c r="F142" t="s">
        <v>5</v>
      </c>
      <c r="G142">
        <v>65</v>
      </c>
      <c r="H142">
        <v>75</v>
      </c>
      <c r="I142">
        <v>105</v>
      </c>
      <c r="J142">
        <v>35</v>
      </c>
      <c r="K142">
        <v>65</v>
      </c>
      <c r="L142">
        <v>85</v>
      </c>
      <c r="M142" t="s">
        <v>411</v>
      </c>
      <c r="N142" t="s">
        <v>304</v>
      </c>
      <c r="O142" t="s">
        <v>299</v>
      </c>
      <c r="P142">
        <f t="shared" si="67"/>
        <v>7.5</v>
      </c>
      <c r="Q142">
        <f t="shared" si="68"/>
        <v>7.7</v>
      </c>
      <c r="R142">
        <v>0</v>
      </c>
      <c r="S142">
        <v>0</v>
      </c>
      <c r="T142">
        <f t="shared" si="69"/>
        <v>8</v>
      </c>
      <c r="U142">
        <f t="shared" si="70"/>
        <v>8</v>
      </c>
      <c r="V142">
        <f t="shared" si="71"/>
        <v>16</v>
      </c>
      <c r="W142" t="str">
        <f t="shared" si="65"/>
        <v>ground</v>
      </c>
      <c r="X142" t="str">
        <f t="shared" ref="X142:X151" si="137">IF(F142 = 0, "", F142)</f>
        <v>flying</v>
      </c>
      <c r="Y142" t="s">
        <v>3</v>
      </c>
      <c r="Z142" t="s">
        <v>7</v>
      </c>
      <c r="AA142" t="str">
        <f>B143</f>
        <v>Gliscor</v>
      </c>
      <c r="AB142">
        <f t="shared" si="136"/>
        <v>4</v>
      </c>
      <c r="AC142" t="s">
        <v>579</v>
      </c>
      <c r="AD142" t="str">
        <f>VLOOKUP(AC142,moves!A:B,2,FALSE)</f>
        <v>flying</v>
      </c>
      <c r="AE142">
        <f>VLOOKUP(AC142,moves!A:D,4,FALSE)</f>
        <v>3</v>
      </c>
      <c r="AF142" t="str">
        <f>IF(VLOOKUP(AC142,moves!A:F,5,FALSE)=0, "", VLOOKUP(AC142,moves!A:F,5,FALSE))</f>
        <v>switch</v>
      </c>
      <c r="AG142" t="str">
        <f>VLOOKUP(AC142,moves!A:F,6,FALSE)</f>
        <v>This Move can be used from your party, the user is switched in immediately.</v>
      </c>
      <c r="AH142">
        <v>0</v>
      </c>
      <c r="AI142">
        <v>0</v>
      </c>
      <c r="AJ142" t="str" cm="1">
        <f t="array" ref="AJ142">_xlfn.IFS(AH142=1, "starter", AI142=1, "legendary",V142&lt; 13, "weak",V142&lt; 17, "moderate", TRUE, "strong")</f>
        <v>moderate</v>
      </c>
      <c r="AL142">
        <v>1</v>
      </c>
      <c r="AM142">
        <v>0</v>
      </c>
    </row>
    <row r="143" spans="1:40" x14ac:dyDescent="0.25">
      <c r="A143">
        <v>472</v>
      </c>
      <c r="B143" t="s">
        <v>226</v>
      </c>
      <c r="C143" t="str">
        <f t="shared" si="135"/>
        <v>Gliscor</v>
      </c>
      <c r="E143" t="s">
        <v>13</v>
      </c>
      <c r="F143" t="s">
        <v>5</v>
      </c>
      <c r="G143">
        <v>75</v>
      </c>
      <c r="H143">
        <v>95</v>
      </c>
      <c r="I143">
        <v>125</v>
      </c>
      <c r="J143">
        <v>45</v>
      </c>
      <c r="K143">
        <v>75</v>
      </c>
      <c r="L143">
        <v>95</v>
      </c>
      <c r="M143" t="s">
        <v>412</v>
      </c>
      <c r="N143" t="s">
        <v>304</v>
      </c>
      <c r="O143" t="s">
        <v>299</v>
      </c>
      <c r="P143">
        <f t="shared" si="67"/>
        <v>9</v>
      </c>
      <c r="Q143">
        <f t="shared" si="68"/>
        <v>9</v>
      </c>
      <c r="R143">
        <v>0</v>
      </c>
      <c r="S143">
        <v>0</v>
      </c>
      <c r="T143">
        <f t="shared" si="69"/>
        <v>9</v>
      </c>
      <c r="U143">
        <f t="shared" si="70"/>
        <v>9</v>
      </c>
      <c r="V143">
        <f t="shared" si="71"/>
        <v>18</v>
      </c>
      <c r="W143" t="str">
        <f t="shared" si="65"/>
        <v>ground</v>
      </c>
      <c r="X143" t="str">
        <f t="shared" si="137"/>
        <v>flying</v>
      </c>
      <c r="Y143" t="s">
        <v>3</v>
      </c>
      <c r="Z143" t="s">
        <v>7</v>
      </c>
      <c r="AB143" t="str">
        <f t="shared" si="136"/>
        <v/>
      </c>
      <c r="AC143" t="s">
        <v>484</v>
      </c>
      <c r="AD143" t="str">
        <f>VLOOKUP(AC143,moves!A:B,2,FALSE)</f>
        <v>ground</v>
      </c>
      <c r="AE143">
        <f>VLOOKUP(AC143,moves!A:D,4,FALSE)</f>
        <v>5</v>
      </c>
      <c r="AF143" t="str">
        <f>IF(VLOOKUP(AC143,moves!A:F,5,FALSE)=0, "", VLOOKUP(AC143,moves!A:F,5,FALSE))</f>
        <v/>
      </c>
      <c r="AG143" t="str">
        <f>VLOOKUP(AC143,moves!A:F,6,FALSE)</f>
        <v>If 2 or more [status_symbol]s are rolled: Deal 2 damage to a Pokémon in the target party that is not the target.</v>
      </c>
      <c r="AH143">
        <v>0</v>
      </c>
      <c r="AI143">
        <v>0</v>
      </c>
      <c r="AJ143" t="str" cm="1">
        <f t="array" ref="AJ143">_xlfn.IFS(AH143=1, "starter", AI143=1, "legendary",V143&lt; 13, "weak",V143&lt; 17, "moderate", TRUE, "strong")</f>
        <v>strong</v>
      </c>
      <c r="AL143">
        <v>2</v>
      </c>
      <c r="AM143">
        <v>0</v>
      </c>
    </row>
    <row r="144" spans="1:40" x14ac:dyDescent="0.25">
      <c r="A144">
        <v>220</v>
      </c>
      <c r="B144" t="s">
        <v>93</v>
      </c>
      <c r="C144" t="str">
        <f t="shared" si="135"/>
        <v>Swinub</v>
      </c>
      <c r="E144" t="s">
        <v>14</v>
      </c>
      <c r="F144" t="s">
        <v>13</v>
      </c>
      <c r="G144">
        <v>50</v>
      </c>
      <c r="H144">
        <v>50</v>
      </c>
      <c r="I144">
        <v>40</v>
      </c>
      <c r="J144">
        <v>30</v>
      </c>
      <c r="K144">
        <v>30</v>
      </c>
      <c r="L144">
        <v>50</v>
      </c>
      <c r="M144" t="s">
        <v>413</v>
      </c>
      <c r="N144" t="s">
        <v>301</v>
      </c>
      <c r="O144" t="s">
        <v>299</v>
      </c>
      <c r="P144">
        <f t="shared" si="67"/>
        <v>4.8</v>
      </c>
      <c r="Q144">
        <f t="shared" si="68"/>
        <v>4.0999999999999996</v>
      </c>
      <c r="R144">
        <v>0</v>
      </c>
      <c r="S144">
        <v>1</v>
      </c>
      <c r="T144">
        <f t="shared" si="69"/>
        <v>5</v>
      </c>
      <c r="U144">
        <f t="shared" si="70"/>
        <v>5</v>
      </c>
      <c r="V144">
        <f t="shared" si="71"/>
        <v>10</v>
      </c>
      <c r="W144" t="str">
        <f t="shared" si="65"/>
        <v>ice</v>
      </c>
      <c r="X144" t="str">
        <f t="shared" si="137"/>
        <v>ground</v>
      </c>
      <c r="Y144" t="s">
        <v>33</v>
      </c>
      <c r="Z144" t="s">
        <v>22</v>
      </c>
      <c r="AA144" t="str">
        <f>B145</f>
        <v>Piloswine</v>
      </c>
      <c r="AB144">
        <f t="shared" si="136"/>
        <v>5</v>
      </c>
      <c r="AC144" t="s">
        <v>533</v>
      </c>
      <c r="AD144" t="str">
        <f>VLOOKUP(AC144,moves!A:B,2,FALSE)</f>
        <v>rock</v>
      </c>
      <c r="AE144">
        <f>VLOOKUP(AC144,moves!A:D,4,FALSE)</f>
        <v>2</v>
      </c>
      <c r="AF144" t="str">
        <f>IF(VLOOKUP(AC144,moves!A:F,5,FALSE)=0, "", VLOOKUP(AC144,moves!A:F,5,FALSE))</f>
        <v>boost</v>
      </c>
      <c r="AG144" t="str">
        <f>VLOOKUP(AC144,moves!A:F,6,FALSE)</f>
        <v>Add 1 [critical_hit] and 1 [status_symbol] to your future attack rolls.</v>
      </c>
      <c r="AH144">
        <v>1</v>
      </c>
      <c r="AI144">
        <v>0</v>
      </c>
      <c r="AJ144" t="str" cm="1">
        <f t="array" ref="AJ144">_xlfn.IFS(AH144=1, "starter", AI144=1, "legendary",V144&lt; 13, "weak",V144&lt; 17, "moderate", TRUE, "strong")</f>
        <v>starter</v>
      </c>
      <c r="AL144">
        <v>1</v>
      </c>
      <c r="AM144">
        <v>0</v>
      </c>
    </row>
    <row r="145" spans="1:40" x14ac:dyDescent="0.25">
      <c r="A145">
        <v>221</v>
      </c>
      <c r="B145" t="s">
        <v>94</v>
      </c>
      <c r="C145" t="str">
        <f t="shared" si="135"/>
        <v>Piloswine</v>
      </c>
      <c r="E145" t="s">
        <v>14</v>
      </c>
      <c r="F145" t="s">
        <v>13</v>
      </c>
      <c r="G145">
        <v>100</v>
      </c>
      <c r="H145">
        <v>100</v>
      </c>
      <c r="I145">
        <v>80</v>
      </c>
      <c r="J145">
        <v>60</v>
      </c>
      <c r="K145">
        <v>60</v>
      </c>
      <c r="L145">
        <v>50</v>
      </c>
      <c r="M145" t="s">
        <v>414</v>
      </c>
      <c r="N145" t="s">
        <v>301</v>
      </c>
      <c r="O145" t="s">
        <v>299</v>
      </c>
      <c r="P145">
        <f t="shared" si="67"/>
        <v>7.6</v>
      </c>
      <c r="Q145">
        <f t="shared" si="68"/>
        <v>8.1999999999999993</v>
      </c>
      <c r="R145">
        <v>-1</v>
      </c>
      <c r="S145">
        <v>0</v>
      </c>
      <c r="T145">
        <f t="shared" si="69"/>
        <v>7</v>
      </c>
      <c r="U145">
        <f t="shared" si="70"/>
        <v>8</v>
      </c>
      <c r="V145">
        <f t="shared" si="71"/>
        <v>15</v>
      </c>
      <c r="W145" t="str">
        <f t="shared" si="65"/>
        <v>ice</v>
      </c>
      <c r="X145" t="str">
        <f t="shared" si="137"/>
        <v>ground</v>
      </c>
      <c r="Y145" t="s">
        <v>33</v>
      </c>
      <c r="Z145" t="s">
        <v>22</v>
      </c>
      <c r="AA145" t="str">
        <f>B146</f>
        <v>Mamoswine</v>
      </c>
      <c r="AB145">
        <f t="shared" si="136"/>
        <v>7</v>
      </c>
      <c r="AC145" t="s">
        <v>631</v>
      </c>
      <c r="AD145" t="str">
        <f>VLOOKUP(AC145,moves!A:B,2,FALSE)</f>
        <v>ice</v>
      </c>
      <c r="AE145">
        <f>VLOOKUP(AC145,moves!A:D,4,FALSE)</f>
        <v>3</v>
      </c>
      <c r="AF145" t="str">
        <f>IF(VLOOKUP(AC145,moves!A:F,5,FALSE)=0, "", VLOOKUP(AC145,moves!A:F,5,FALSE))</f>
        <v/>
      </c>
      <c r="AG145" t="str">
        <f>VLOOKUP(AC145,moves!A:F,6,FALSE)</f>
        <v>[status_symbol]s deal +1 damage.</v>
      </c>
      <c r="AH145">
        <v>0</v>
      </c>
      <c r="AI145">
        <v>0</v>
      </c>
      <c r="AJ145" t="str" cm="1">
        <f t="array" ref="AJ145">_xlfn.IFS(AH145=1, "starter", AI145=1, "legendary",V145&lt; 13, "weak",V145&lt; 17, "moderate", TRUE, "strong")</f>
        <v>moderate</v>
      </c>
      <c r="AL145">
        <v>2</v>
      </c>
      <c r="AM145">
        <v>0</v>
      </c>
    </row>
    <row r="146" spans="1:40" x14ac:dyDescent="0.25">
      <c r="A146">
        <v>473</v>
      </c>
      <c r="B146" t="s">
        <v>227</v>
      </c>
      <c r="C146" t="str">
        <f t="shared" si="135"/>
        <v>Mamoswine</v>
      </c>
      <c r="E146" t="s">
        <v>14</v>
      </c>
      <c r="F146" t="s">
        <v>13</v>
      </c>
      <c r="G146">
        <v>110</v>
      </c>
      <c r="H146">
        <v>130</v>
      </c>
      <c r="I146">
        <v>80</v>
      </c>
      <c r="J146">
        <v>70</v>
      </c>
      <c r="K146">
        <v>60</v>
      </c>
      <c r="L146">
        <v>80</v>
      </c>
      <c r="M146" t="s">
        <v>415</v>
      </c>
      <c r="N146" t="s">
        <v>301</v>
      </c>
      <c r="O146" t="s">
        <v>299</v>
      </c>
      <c r="P146">
        <f t="shared" si="67"/>
        <v>10.4</v>
      </c>
      <c r="Q146">
        <f t="shared" si="68"/>
        <v>8.6</v>
      </c>
      <c r="R146">
        <v>0</v>
      </c>
      <c r="S146">
        <v>0</v>
      </c>
      <c r="T146">
        <f t="shared" si="69"/>
        <v>10</v>
      </c>
      <c r="U146">
        <f t="shared" si="70"/>
        <v>9</v>
      </c>
      <c r="V146">
        <f t="shared" si="71"/>
        <v>19</v>
      </c>
      <c r="W146" t="str">
        <f t="shared" si="65"/>
        <v>ice</v>
      </c>
      <c r="X146" t="str">
        <f t="shared" si="137"/>
        <v>ground</v>
      </c>
      <c r="Y146" t="s">
        <v>33</v>
      </c>
      <c r="Z146" t="s">
        <v>22</v>
      </c>
      <c r="AB146" t="str">
        <f t="shared" si="136"/>
        <v/>
      </c>
      <c r="AC146" t="s">
        <v>484</v>
      </c>
      <c r="AD146" t="str">
        <f>VLOOKUP(AC146,moves!A:B,2,FALSE)</f>
        <v>ground</v>
      </c>
      <c r="AE146">
        <f>VLOOKUP(AC146,moves!A:D,4,FALSE)</f>
        <v>5</v>
      </c>
      <c r="AF146" t="str">
        <f>IF(VLOOKUP(AC146,moves!A:F,5,FALSE)=0, "", VLOOKUP(AC146,moves!A:F,5,FALSE))</f>
        <v/>
      </c>
      <c r="AG146" t="str">
        <f>VLOOKUP(AC146,moves!A:F,6,FALSE)</f>
        <v>If 2 or more [status_symbol]s are rolled: Deal 2 damage to a Pokémon in the target party that is not the target.</v>
      </c>
      <c r="AH146">
        <v>0</v>
      </c>
      <c r="AI146">
        <v>0</v>
      </c>
      <c r="AJ146" t="str" cm="1">
        <f t="array" ref="AJ146">_xlfn.IFS(AH146=1, "starter", AI146=1, "legendary",V146&lt; 13, "weak",V146&lt; 17, "moderate", TRUE, "strong")</f>
        <v>strong</v>
      </c>
      <c r="AL146">
        <v>3</v>
      </c>
      <c r="AM146">
        <v>0</v>
      </c>
      <c r="AN146">
        <v>1</v>
      </c>
    </row>
    <row r="147" spans="1:40" x14ac:dyDescent="0.25">
      <c r="A147" t="s">
        <v>984</v>
      </c>
      <c r="B147" t="s">
        <v>227</v>
      </c>
      <c r="C147" t="str">
        <f t="shared" si="135"/>
        <v>Mamoswine</v>
      </c>
      <c r="D147" t="s">
        <v>1004</v>
      </c>
      <c r="E147" t="s">
        <v>14</v>
      </c>
      <c r="F147" t="s">
        <v>13</v>
      </c>
      <c r="G147">
        <v>110</v>
      </c>
      <c r="H147">
        <v>130</v>
      </c>
      <c r="I147">
        <v>80</v>
      </c>
      <c r="J147">
        <v>70</v>
      </c>
      <c r="K147">
        <v>60</v>
      </c>
      <c r="L147">
        <v>80</v>
      </c>
      <c r="M147" t="s">
        <v>415</v>
      </c>
      <c r="O147" t="s">
        <v>777</v>
      </c>
      <c r="P147">
        <f t="shared" ref="P147" si="138">(0.4*L147 + 0.5*MAX(H147,J147) + 0.1*MIN(H147,J147)) / 10</f>
        <v>10.4</v>
      </c>
      <c r="Q147">
        <f t="shared" ref="Q147" si="139">(0.4*G147 + 0.3*I147 + 0.3*K147) / 10</f>
        <v>8.6</v>
      </c>
      <c r="R147">
        <v>2</v>
      </c>
      <c r="S147">
        <v>2</v>
      </c>
      <c r="T147">
        <f t="shared" ref="T147" si="140">ROUND(P147,0)+R147</f>
        <v>12</v>
      </c>
      <c r="U147">
        <f t="shared" ref="U147" si="141">ROUND(Q147,0)+S147</f>
        <v>11</v>
      </c>
      <c r="V147">
        <f t="shared" ref="V147" si="142">SUM(ROUND(T147,0),ROUND(U147,0))</f>
        <v>23</v>
      </c>
      <c r="W147" t="str">
        <f t="shared" ref="W147" si="143">E147</f>
        <v>ice</v>
      </c>
      <c r="X147" t="str">
        <f t="shared" ref="X147" si="144">IF(F147 = 0, "", F147)</f>
        <v>ground</v>
      </c>
      <c r="Y147" t="s">
        <v>33</v>
      </c>
      <c r="Z147" t="s">
        <v>22</v>
      </c>
      <c r="AB147" t="str">
        <f t="shared" si="136"/>
        <v/>
      </c>
      <c r="AC147" t="s">
        <v>484</v>
      </c>
      <c r="AD147" t="str">
        <f>VLOOKUP(AC147,moves!A:B,2,FALSE)</f>
        <v>ground</v>
      </c>
      <c r="AE147">
        <f>VLOOKUP(AC147,moves!A:D,4,FALSE)</f>
        <v>5</v>
      </c>
      <c r="AF147" t="str">
        <f>IF(VLOOKUP(AC147,moves!A:F,5,FALSE)=0, "", VLOOKUP(AC147,moves!A:F,5,FALSE))</f>
        <v/>
      </c>
      <c r="AG147" t="str">
        <f>VLOOKUP(AC147,moves!A:F,6,FALSE)</f>
        <v>If 2 or more [status_symbol]s are rolled: Deal 2 damage to a Pokémon in the target party that is not the target.</v>
      </c>
      <c r="AH147">
        <v>0</v>
      </c>
      <c r="AI147">
        <v>1</v>
      </c>
      <c r="AJ147" t="str" cm="1">
        <f t="array" ref="AJ147">_xlfn.IFS(AH147=1, "starter", AI147=1, "legendary",V147&lt; 13, "weak",V147&lt; 17, "moderate", TRUE, "strong")</f>
        <v>legendary</v>
      </c>
      <c r="AL147">
        <v>3</v>
      </c>
      <c r="AM147">
        <v>0</v>
      </c>
      <c r="AN147">
        <v>2</v>
      </c>
    </row>
    <row r="148" spans="1:40" x14ac:dyDescent="0.25">
      <c r="A148">
        <v>280</v>
      </c>
      <c r="B148" t="s">
        <v>116</v>
      </c>
      <c r="C148" t="str">
        <f t="shared" si="135"/>
        <v>Ralts</v>
      </c>
      <c r="E148" t="s">
        <v>26</v>
      </c>
      <c r="F148" t="s">
        <v>16</v>
      </c>
      <c r="G148">
        <v>28</v>
      </c>
      <c r="H148">
        <v>25</v>
      </c>
      <c r="I148">
        <v>25</v>
      </c>
      <c r="J148">
        <v>45</v>
      </c>
      <c r="K148">
        <v>35</v>
      </c>
      <c r="L148">
        <v>40</v>
      </c>
      <c r="M148" t="s">
        <v>416</v>
      </c>
      <c r="N148" t="s">
        <v>298</v>
      </c>
      <c r="O148" t="s">
        <v>299</v>
      </c>
      <c r="P148">
        <f t="shared" si="67"/>
        <v>4.0999999999999996</v>
      </c>
      <c r="Q148">
        <f t="shared" si="68"/>
        <v>2.9200000000000004</v>
      </c>
      <c r="R148">
        <v>0</v>
      </c>
      <c r="S148">
        <v>0</v>
      </c>
      <c r="T148">
        <f t="shared" si="69"/>
        <v>4</v>
      </c>
      <c r="U148">
        <f t="shared" si="70"/>
        <v>3</v>
      </c>
      <c r="V148">
        <f t="shared" si="71"/>
        <v>7</v>
      </c>
      <c r="W148" t="str">
        <f t="shared" si="65"/>
        <v>psychic</v>
      </c>
      <c r="X148" t="str">
        <f t="shared" si="137"/>
        <v>fairy</v>
      </c>
      <c r="Y148" t="s">
        <v>42</v>
      </c>
      <c r="Z148" t="s">
        <v>8</v>
      </c>
      <c r="AA148" t="str">
        <f>B149</f>
        <v>Kirlia</v>
      </c>
      <c r="AB148">
        <f t="shared" si="136"/>
        <v>2</v>
      </c>
      <c r="AC148" t="s">
        <v>539</v>
      </c>
      <c r="AD148" t="str">
        <f>VLOOKUP(AC148,moves!A:B,2,FALSE)</f>
        <v>psychic</v>
      </c>
      <c r="AE148">
        <f>VLOOKUP(AC148,moves!A:D,4,FALSE)</f>
        <v>1</v>
      </c>
      <c r="AF148" t="str">
        <f>IF(VLOOKUP(AC148,moves!A:F,5,FALSE)=0, "", VLOOKUP(AC148,moves!A:F,5,FALSE))</f>
        <v>switch</v>
      </c>
      <c r="AG148" t="str">
        <f>VLOOKUP(AC148,moves!A:F,6,FALSE)</f>
        <v>When the target next attacks, remove 2 [regular_hit]s from the roll.</v>
      </c>
      <c r="AH148">
        <v>0</v>
      </c>
      <c r="AI148">
        <v>0</v>
      </c>
      <c r="AJ148" t="str" cm="1">
        <f t="array" ref="AJ148">_xlfn.IFS(AH148=1, "starter", AI148=1, "legendary",V148&lt; 13, "weak",V148&lt; 17, "moderate", TRUE, "strong")</f>
        <v>weak</v>
      </c>
      <c r="AL148">
        <v>1</v>
      </c>
      <c r="AM148">
        <v>0</v>
      </c>
    </row>
    <row r="149" spans="1:40" x14ac:dyDescent="0.25">
      <c r="A149">
        <v>281</v>
      </c>
      <c r="B149" t="s">
        <v>117</v>
      </c>
      <c r="C149" t="str">
        <f t="shared" si="135"/>
        <v>Kirlia</v>
      </c>
      <c r="E149" t="s">
        <v>26</v>
      </c>
      <c r="F149" t="s">
        <v>16</v>
      </c>
      <c r="G149">
        <v>38</v>
      </c>
      <c r="H149">
        <v>35</v>
      </c>
      <c r="I149">
        <v>35</v>
      </c>
      <c r="J149">
        <v>65</v>
      </c>
      <c r="K149">
        <v>55</v>
      </c>
      <c r="L149">
        <v>50</v>
      </c>
      <c r="M149" t="s">
        <v>417</v>
      </c>
      <c r="N149" t="s">
        <v>298</v>
      </c>
      <c r="O149" t="s">
        <v>299</v>
      </c>
      <c r="P149">
        <f t="shared" si="67"/>
        <v>5.6</v>
      </c>
      <c r="Q149">
        <f t="shared" si="68"/>
        <v>4.2200000000000006</v>
      </c>
      <c r="R149">
        <v>0</v>
      </c>
      <c r="S149">
        <v>0</v>
      </c>
      <c r="T149">
        <f t="shared" si="69"/>
        <v>6</v>
      </c>
      <c r="U149">
        <f t="shared" si="70"/>
        <v>4</v>
      </c>
      <c r="V149">
        <f t="shared" si="71"/>
        <v>10</v>
      </c>
      <c r="W149" t="str">
        <f t="shared" si="65"/>
        <v>psychic</v>
      </c>
      <c r="X149" t="str">
        <f t="shared" si="137"/>
        <v>fairy</v>
      </c>
      <c r="Y149" t="s">
        <v>42</v>
      </c>
      <c r="Z149" t="s">
        <v>8</v>
      </c>
      <c r="AA149" t="s">
        <v>462</v>
      </c>
      <c r="AB149">
        <f t="shared" si="136"/>
        <v>9</v>
      </c>
      <c r="AC149" t="s">
        <v>496</v>
      </c>
      <c r="AD149" t="str">
        <f>VLOOKUP(AC149,moves!A:B,2,FALSE)</f>
        <v>psychic</v>
      </c>
      <c r="AE149">
        <f>VLOOKUP(AC149,moves!A:D,4,FALSE)</f>
        <v>2</v>
      </c>
      <c r="AF149" t="str">
        <f>IF(VLOOKUP(AC149,moves!A:F,5,FALSE)=0, "", VLOOKUP(AC149,moves!A:F,5,FALSE))</f>
        <v/>
      </c>
      <c r="AG149" t="str">
        <f>VLOOKUP(AC149,moves!A:F,6,FALSE)</f>
        <v>Inflict the [confused] status on the target.</v>
      </c>
      <c r="AH149">
        <v>0</v>
      </c>
      <c r="AI149">
        <v>0</v>
      </c>
      <c r="AJ149" t="str" cm="1">
        <f t="array" ref="AJ149">_xlfn.IFS(AH149=1, "starter", AI149=1, "legendary",V149&lt; 13, "weak",V149&lt; 17, "moderate", TRUE, "strong")</f>
        <v>weak</v>
      </c>
      <c r="AL149">
        <v>2</v>
      </c>
      <c r="AM149">
        <v>0</v>
      </c>
    </row>
    <row r="150" spans="1:40" x14ac:dyDescent="0.25">
      <c r="A150">
        <v>282</v>
      </c>
      <c r="B150" t="s">
        <v>118</v>
      </c>
      <c r="C150" t="str">
        <f t="shared" si="135"/>
        <v>Gardevoir</v>
      </c>
      <c r="E150" t="s">
        <v>26</v>
      </c>
      <c r="F150" t="s">
        <v>16</v>
      </c>
      <c r="G150">
        <v>68</v>
      </c>
      <c r="H150">
        <v>65</v>
      </c>
      <c r="I150">
        <v>65</v>
      </c>
      <c r="J150">
        <v>125</v>
      </c>
      <c r="K150">
        <v>115</v>
      </c>
      <c r="L150">
        <v>80</v>
      </c>
      <c r="M150" t="s">
        <v>418</v>
      </c>
      <c r="N150" t="s">
        <v>298</v>
      </c>
      <c r="O150" t="s">
        <v>299</v>
      </c>
      <c r="P150">
        <f t="shared" si="67"/>
        <v>10.1</v>
      </c>
      <c r="Q150">
        <f t="shared" si="68"/>
        <v>8.120000000000001</v>
      </c>
      <c r="R150">
        <v>0</v>
      </c>
      <c r="S150">
        <v>0</v>
      </c>
      <c r="T150">
        <f t="shared" si="69"/>
        <v>10</v>
      </c>
      <c r="U150">
        <f t="shared" si="70"/>
        <v>8</v>
      </c>
      <c r="V150">
        <f t="shared" si="71"/>
        <v>18</v>
      </c>
      <c r="W150" t="str">
        <f t="shared" ref="W150:W227" si="145">E150</f>
        <v>psychic</v>
      </c>
      <c r="X150" t="str">
        <f t="shared" si="137"/>
        <v>fairy</v>
      </c>
      <c r="Y150" t="s">
        <v>42</v>
      </c>
      <c r="Z150" t="s">
        <v>14</v>
      </c>
      <c r="AB150" t="str">
        <f t="shared" si="136"/>
        <v/>
      </c>
      <c r="AC150" t="s">
        <v>534</v>
      </c>
      <c r="AD150" t="str">
        <f>VLOOKUP(AC150,moves!A:B,2,FALSE)</f>
        <v>fairy</v>
      </c>
      <c r="AE150">
        <f>VLOOKUP(AC150,moves!A:D,4,FALSE)</f>
        <v>5</v>
      </c>
      <c r="AF150" t="str">
        <f>IF(VLOOKUP(AC150,moves!A:F,5,FALSE)=0, "", VLOOKUP(AC150,moves!A:F,5,FALSE))</f>
        <v/>
      </c>
      <c r="AG150" t="str">
        <f>VLOOKUP(AC150,moves!A:F,6,FALSE)</f>
        <v>If 2 or more [status_symbol]s are rolled: Inflict the [drowsy] status on the target.</v>
      </c>
      <c r="AH150">
        <v>0</v>
      </c>
      <c r="AI150">
        <v>0</v>
      </c>
      <c r="AJ150" t="str" cm="1">
        <f t="array" ref="AJ150">_xlfn.IFS(AH150=1, "starter", AI150=1, "legendary",V150&lt; 13, "weak",V150&lt; 17, "moderate", TRUE, "strong")</f>
        <v>strong</v>
      </c>
      <c r="AL150">
        <v>3</v>
      </c>
      <c r="AM150">
        <v>0</v>
      </c>
    </row>
    <row r="151" spans="1:40" x14ac:dyDescent="0.25">
      <c r="A151">
        <v>475</v>
      </c>
      <c r="B151" t="s">
        <v>228</v>
      </c>
      <c r="C151" t="str">
        <f t="shared" si="135"/>
        <v>Gallade</v>
      </c>
      <c r="E151" t="s">
        <v>26</v>
      </c>
      <c r="F151" t="s">
        <v>22</v>
      </c>
      <c r="G151">
        <v>68</v>
      </c>
      <c r="H151">
        <v>125</v>
      </c>
      <c r="I151">
        <v>65</v>
      </c>
      <c r="J151">
        <v>65</v>
      </c>
      <c r="K151">
        <v>115</v>
      </c>
      <c r="L151">
        <v>80</v>
      </c>
      <c r="M151" t="s">
        <v>419</v>
      </c>
      <c r="N151" t="s">
        <v>298</v>
      </c>
      <c r="O151" t="s">
        <v>299</v>
      </c>
      <c r="P151">
        <f t="shared" ref="P151:P228" si="146">(0.4*L151 + 0.5*MAX(H151,J151) + 0.1*MIN(H151,J151)) / 10</f>
        <v>10.1</v>
      </c>
      <c r="Q151">
        <f t="shared" ref="Q151:Q228" si="147">(0.4*G151 + 0.3*I151 + 0.3*K151) / 10</f>
        <v>8.120000000000001</v>
      </c>
      <c r="R151">
        <v>0</v>
      </c>
      <c r="S151">
        <v>0</v>
      </c>
      <c r="T151">
        <f t="shared" ref="T151:T228" si="148">ROUND(P151,0)+R151</f>
        <v>10</v>
      </c>
      <c r="U151">
        <f t="shared" ref="U151:U228" si="149">ROUND(Q151,0)+S151</f>
        <v>8</v>
      </c>
      <c r="V151">
        <f t="shared" ref="V151:V228" si="150">SUM(ROUND(T151,0),ROUND(U151,0))</f>
        <v>18</v>
      </c>
      <c r="W151" t="str">
        <f t="shared" si="145"/>
        <v>psychic</v>
      </c>
      <c r="X151" t="str">
        <f t="shared" si="137"/>
        <v>fighting</v>
      </c>
      <c r="Y151" t="s">
        <v>2</v>
      </c>
      <c r="Z151" t="s">
        <v>3</v>
      </c>
      <c r="AB151" t="str">
        <f t="shared" si="136"/>
        <v/>
      </c>
      <c r="AC151" t="s">
        <v>492</v>
      </c>
      <c r="AD151" t="str">
        <f>VLOOKUP(AC151,moves!A:B,2,FALSE)</f>
        <v>fighting</v>
      </c>
      <c r="AE151">
        <f>VLOOKUP(AC151,moves!A:D,4,FALSE)</f>
        <v>5</v>
      </c>
      <c r="AF151" t="str">
        <f>IF(VLOOKUP(AC151,moves!A:F,5,FALSE)=0, "", VLOOKUP(AC151,moves!A:F,5,FALSE))</f>
        <v/>
      </c>
      <c r="AG151" t="str">
        <f>VLOOKUP(AC151,moves!A:F,6,FALSE)</f>
        <v xml:space="preserve">During this attack and when the user is next attacked, [status_symbol]s deal +1 damage. </v>
      </c>
      <c r="AH151">
        <v>0</v>
      </c>
      <c r="AI151">
        <v>0</v>
      </c>
      <c r="AJ151" t="str" cm="1">
        <f t="array" ref="AJ151">_xlfn.IFS(AH151=1, "starter", AI151=1, "legendary",V151&lt; 13, "weak",V151&lt; 17, "moderate", TRUE, "strong")</f>
        <v>strong</v>
      </c>
      <c r="AL151">
        <v>3</v>
      </c>
      <c r="AM151">
        <v>0</v>
      </c>
    </row>
    <row r="152" spans="1:40" x14ac:dyDescent="0.25">
      <c r="A152">
        <v>299</v>
      </c>
      <c r="B152" t="s">
        <v>120</v>
      </c>
      <c r="C152" t="str">
        <f t="shared" si="135"/>
        <v>Nosepass</v>
      </c>
      <c r="E152" t="s">
        <v>33</v>
      </c>
      <c r="G152">
        <v>30</v>
      </c>
      <c r="H152">
        <v>45</v>
      </c>
      <c r="I152">
        <v>135</v>
      </c>
      <c r="J152">
        <v>45</v>
      </c>
      <c r="K152">
        <v>90</v>
      </c>
      <c r="L152">
        <v>30</v>
      </c>
      <c r="M152" t="s">
        <v>420</v>
      </c>
      <c r="N152" t="s">
        <v>301</v>
      </c>
      <c r="O152" t="s">
        <v>299</v>
      </c>
      <c r="P152">
        <f t="shared" si="146"/>
        <v>3.9</v>
      </c>
      <c r="Q152">
        <f t="shared" si="147"/>
        <v>7.95</v>
      </c>
      <c r="R152">
        <v>0</v>
      </c>
      <c r="S152">
        <v>0</v>
      </c>
      <c r="T152">
        <f t="shared" si="148"/>
        <v>4</v>
      </c>
      <c r="U152">
        <f t="shared" si="149"/>
        <v>8</v>
      </c>
      <c r="V152">
        <f t="shared" si="150"/>
        <v>12</v>
      </c>
      <c r="W152" t="str">
        <f t="shared" si="145"/>
        <v>rock</v>
      </c>
      <c r="X152" t="s">
        <v>39</v>
      </c>
      <c r="Y152" t="s">
        <v>11</v>
      </c>
      <c r="Z152" t="s">
        <v>22</v>
      </c>
      <c r="AA152" t="str">
        <f>B153</f>
        <v>Probopass</v>
      </c>
      <c r="AB152">
        <f t="shared" si="136"/>
        <v>6</v>
      </c>
      <c r="AC152" t="s">
        <v>500</v>
      </c>
      <c r="AD152" t="str">
        <f>VLOOKUP(AC152,moves!A:B,2,FALSE)</f>
        <v>rock</v>
      </c>
      <c r="AE152">
        <f>VLOOKUP(AC152,moves!A:D,4,FALSE)</f>
        <v>5</v>
      </c>
      <c r="AF152" t="str">
        <f>IF(VLOOKUP(AC152,moves!A:F,5,FALSE)=0, "", VLOOKUP(AC152,moves!A:F,5,FALSE))</f>
        <v/>
      </c>
      <c r="AG152" t="str">
        <f>VLOOKUP(AC152,moves!A:F,6,FALSE)</f>
        <v>[status_symbol]s deal -2 damage.</v>
      </c>
      <c r="AH152">
        <v>0</v>
      </c>
      <c r="AI152">
        <v>0</v>
      </c>
      <c r="AJ152" t="str" cm="1">
        <f t="array" ref="AJ152">_xlfn.IFS(AH152=1, "starter", AI152=1, "legendary",V152&lt; 13, "weak",V152&lt; 17, "moderate", TRUE, "strong")</f>
        <v>weak</v>
      </c>
      <c r="AL152">
        <v>1</v>
      </c>
      <c r="AM152">
        <v>0</v>
      </c>
    </row>
    <row r="153" spans="1:40" x14ac:dyDescent="0.25">
      <c r="A153">
        <v>476</v>
      </c>
      <c r="B153" t="s">
        <v>229</v>
      </c>
      <c r="C153" t="str">
        <f t="shared" si="135"/>
        <v>Probopass</v>
      </c>
      <c r="E153" t="s">
        <v>33</v>
      </c>
      <c r="F153" t="s">
        <v>39</v>
      </c>
      <c r="G153">
        <v>60</v>
      </c>
      <c r="H153">
        <v>55</v>
      </c>
      <c r="I153">
        <v>145</v>
      </c>
      <c r="J153">
        <v>75</v>
      </c>
      <c r="K153">
        <v>150</v>
      </c>
      <c r="L153">
        <v>40</v>
      </c>
      <c r="M153" t="s">
        <v>420</v>
      </c>
      <c r="N153" t="s">
        <v>301</v>
      </c>
      <c r="O153" t="s">
        <v>299</v>
      </c>
      <c r="P153">
        <f t="shared" si="146"/>
        <v>5.9</v>
      </c>
      <c r="Q153">
        <f t="shared" si="147"/>
        <v>11.25</v>
      </c>
      <c r="R153">
        <v>0</v>
      </c>
      <c r="S153">
        <v>0</v>
      </c>
      <c r="T153">
        <f t="shared" si="148"/>
        <v>6</v>
      </c>
      <c r="U153">
        <f t="shared" si="149"/>
        <v>11</v>
      </c>
      <c r="V153">
        <f t="shared" si="150"/>
        <v>17</v>
      </c>
      <c r="W153" t="str">
        <f t="shared" si="145"/>
        <v>rock</v>
      </c>
      <c r="X153" t="str">
        <f>IF(F153 = 0, "", F153)</f>
        <v>steel</v>
      </c>
      <c r="Y153" t="s">
        <v>11</v>
      </c>
      <c r="Z153" t="s">
        <v>22</v>
      </c>
      <c r="AB153" t="str">
        <f t="shared" si="136"/>
        <v/>
      </c>
      <c r="AC153" t="s">
        <v>571</v>
      </c>
      <c r="AD153" t="str">
        <f>VLOOKUP(AC153,moves!A:B,2,FALSE)</f>
        <v>electric</v>
      </c>
      <c r="AE153">
        <f>VLOOKUP(AC153,moves!A:D,4,FALSE)</f>
        <v>5</v>
      </c>
      <c r="AF153" t="str">
        <f>IF(VLOOKUP(AC153,moves!A:F,5,FALSE)=0, "", VLOOKUP(AC153,moves!A:F,5,FALSE))</f>
        <v/>
      </c>
      <c r="AG153" t="str">
        <f>VLOOKUP(AC153,moves!A:F,6,FALSE)</f>
        <v>Inflict the [paralysed] status on the target. [status_symbol]s deal -1 damage.</v>
      </c>
      <c r="AH153">
        <v>0</v>
      </c>
      <c r="AI153">
        <v>0</v>
      </c>
      <c r="AJ153" t="str" cm="1">
        <f t="array" ref="AJ153">_xlfn.IFS(AH153=1, "starter", AI153=1, "legendary",V153&lt; 13, "weak",V153&lt; 17, "moderate", TRUE, "strong")</f>
        <v>strong</v>
      </c>
      <c r="AL153">
        <v>2</v>
      </c>
      <c r="AM153">
        <v>0</v>
      </c>
    </row>
    <row r="154" spans="1:40" x14ac:dyDescent="0.25">
      <c r="A154">
        <v>355</v>
      </c>
      <c r="B154" t="s">
        <v>128</v>
      </c>
      <c r="C154" t="str">
        <f t="shared" si="135"/>
        <v>Duskull</v>
      </c>
      <c r="E154" t="s">
        <v>42</v>
      </c>
      <c r="G154">
        <v>20</v>
      </c>
      <c r="H154">
        <v>40</v>
      </c>
      <c r="I154">
        <v>90</v>
      </c>
      <c r="J154">
        <v>30</v>
      </c>
      <c r="K154">
        <v>90</v>
      </c>
      <c r="L154">
        <v>25</v>
      </c>
      <c r="M154" t="s">
        <v>421</v>
      </c>
      <c r="N154" t="s">
        <v>304</v>
      </c>
      <c r="O154" t="s">
        <v>299</v>
      </c>
      <c r="P154">
        <f t="shared" si="146"/>
        <v>3.3</v>
      </c>
      <c r="Q154">
        <f t="shared" si="147"/>
        <v>6.2</v>
      </c>
      <c r="R154">
        <v>0</v>
      </c>
      <c r="S154">
        <v>1</v>
      </c>
      <c r="T154">
        <f t="shared" si="148"/>
        <v>3</v>
      </c>
      <c r="U154">
        <f t="shared" si="149"/>
        <v>7</v>
      </c>
      <c r="V154">
        <f t="shared" si="150"/>
        <v>10</v>
      </c>
      <c r="W154" t="str">
        <f t="shared" si="145"/>
        <v>ghost</v>
      </c>
      <c r="X154" t="s">
        <v>14</v>
      </c>
      <c r="Y154" t="s">
        <v>4</v>
      </c>
      <c r="Z154" t="s">
        <v>11</v>
      </c>
      <c r="AA154" t="str">
        <f>B155</f>
        <v>Dusclops</v>
      </c>
      <c r="AB154">
        <f t="shared" si="136"/>
        <v>4</v>
      </c>
      <c r="AC154" t="s">
        <v>547</v>
      </c>
      <c r="AD154" t="str">
        <f>VLOOKUP(AC154,moves!A:B,2,FALSE)</f>
        <v>ghost</v>
      </c>
      <c r="AE154">
        <f>VLOOKUP(AC154,moves!A:D,4,FALSE)</f>
        <v>1</v>
      </c>
      <c r="AF154" t="str">
        <f>IF(VLOOKUP(AC154,moves!A:F,5,FALSE)=0, "", VLOOKUP(AC154,moves!A:F,5,FALSE))</f>
        <v>agile</v>
      </c>
      <c r="AG154" t="str">
        <f>VLOOKUP(AC154,moves!A:F,6,FALSE)</f>
        <v>Inflict the [confused] status on the target.</v>
      </c>
      <c r="AH154">
        <v>1</v>
      </c>
      <c r="AI154">
        <v>0</v>
      </c>
      <c r="AJ154" t="str" cm="1">
        <f t="array" ref="AJ154">_xlfn.IFS(AH154=1, "starter", AI154=1, "legendary",V154&lt; 13, "weak",V154&lt; 17, "moderate", TRUE, "strong")</f>
        <v>starter</v>
      </c>
      <c r="AL154">
        <v>1</v>
      </c>
      <c r="AM154">
        <v>0</v>
      </c>
    </row>
    <row r="155" spans="1:40" x14ac:dyDescent="0.25">
      <c r="A155">
        <v>356</v>
      </c>
      <c r="B155" t="s">
        <v>129</v>
      </c>
      <c r="C155" t="str">
        <f t="shared" si="135"/>
        <v>Dusclops</v>
      </c>
      <c r="E155" t="s">
        <v>42</v>
      </c>
      <c r="G155">
        <v>40</v>
      </c>
      <c r="H155">
        <v>70</v>
      </c>
      <c r="I155">
        <v>130</v>
      </c>
      <c r="J155">
        <v>60</v>
      </c>
      <c r="K155">
        <v>130</v>
      </c>
      <c r="L155">
        <v>25</v>
      </c>
      <c r="M155" t="s">
        <v>422</v>
      </c>
      <c r="N155" t="s">
        <v>304</v>
      </c>
      <c r="O155" t="s">
        <v>299</v>
      </c>
      <c r="P155">
        <f t="shared" si="146"/>
        <v>5.0999999999999996</v>
      </c>
      <c r="Q155">
        <f t="shared" si="147"/>
        <v>9.4</v>
      </c>
      <c r="R155">
        <v>0</v>
      </c>
      <c r="S155">
        <v>0</v>
      </c>
      <c r="T155">
        <f t="shared" si="148"/>
        <v>5</v>
      </c>
      <c r="U155">
        <f t="shared" si="149"/>
        <v>9</v>
      </c>
      <c r="V155">
        <f t="shared" si="150"/>
        <v>14</v>
      </c>
      <c r="W155" t="str">
        <f t="shared" si="145"/>
        <v>ghost</v>
      </c>
      <c r="X155" t="s">
        <v>14</v>
      </c>
      <c r="Y155" t="s">
        <v>4</v>
      </c>
      <c r="Z155" t="s">
        <v>11</v>
      </c>
      <c r="AA155" t="str">
        <f>B156</f>
        <v>Dusknoir</v>
      </c>
      <c r="AB155">
        <f t="shared" si="136"/>
        <v>6</v>
      </c>
      <c r="AC155" t="s">
        <v>501</v>
      </c>
      <c r="AD155" t="str">
        <f>VLOOKUP(AC155,moves!A:B,2,FALSE)</f>
        <v>ghost</v>
      </c>
      <c r="AE155">
        <f>VLOOKUP(AC155,moves!A:D,4,FALSE)</f>
        <v>3</v>
      </c>
      <c r="AF155" t="str">
        <f>IF(VLOOKUP(AC155,moves!A:F,5,FALSE)=0, "", VLOOKUP(AC155,moves!A:F,5,FALSE))</f>
        <v/>
      </c>
      <c r="AG155" t="str">
        <f>VLOOKUP(AC155,moves!A:F,6,FALSE)</f>
        <v>For each status effect on the target: Deal 1 extra damage.</v>
      </c>
      <c r="AH155">
        <v>0</v>
      </c>
      <c r="AI155">
        <v>0</v>
      </c>
      <c r="AJ155" t="str" cm="1">
        <f t="array" ref="AJ155">_xlfn.IFS(AH155=1, "starter", AI155=1, "legendary",V155&lt; 13, "weak",V155&lt; 17, "moderate", TRUE, "strong")</f>
        <v>moderate</v>
      </c>
      <c r="AL155">
        <v>2</v>
      </c>
      <c r="AM155">
        <v>0</v>
      </c>
    </row>
    <row r="156" spans="1:40" x14ac:dyDescent="0.25">
      <c r="A156">
        <v>477</v>
      </c>
      <c r="B156" t="s">
        <v>230</v>
      </c>
      <c r="C156" t="str">
        <f t="shared" si="135"/>
        <v>Dusknoir</v>
      </c>
      <c r="E156" t="s">
        <v>42</v>
      </c>
      <c r="G156">
        <v>45</v>
      </c>
      <c r="H156">
        <v>100</v>
      </c>
      <c r="I156">
        <v>135</v>
      </c>
      <c r="J156">
        <v>65</v>
      </c>
      <c r="K156">
        <v>135</v>
      </c>
      <c r="L156">
        <v>45</v>
      </c>
      <c r="M156" t="s">
        <v>423</v>
      </c>
      <c r="N156" t="s">
        <v>304</v>
      </c>
      <c r="O156" t="s">
        <v>299</v>
      </c>
      <c r="P156">
        <f t="shared" si="146"/>
        <v>7.45</v>
      </c>
      <c r="Q156">
        <f t="shared" si="147"/>
        <v>9.9</v>
      </c>
      <c r="R156">
        <v>0</v>
      </c>
      <c r="S156">
        <v>1</v>
      </c>
      <c r="T156">
        <f t="shared" si="148"/>
        <v>7</v>
      </c>
      <c r="U156">
        <f t="shared" si="149"/>
        <v>11</v>
      </c>
      <c r="V156">
        <f t="shared" si="150"/>
        <v>18</v>
      </c>
      <c r="W156" t="str">
        <f t="shared" si="145"/>
        <v>ghost</v>
      </c>
      <c r="X156" t="s">
        <v>14</v>
      </c>
      <c r="Y156" t="s">
        <v>4</v>
      </c>
      <c r="Z156" t="s">
        <v>11</v>
      </c>
      <c r="AB156" t="str">
        <f t="shared" si="136"/>
        <v/>
      </c>
      <c r="AC156" t="s">
        <v>705</v>
      </c>
      <c r="AD156" t="str">
        <f>VLOOKUP(AC156,moves!A:B,2,FALSE)</f>
        <v>typeless</v>
      </c>
      <c r="AE156">
        <f>VLOOKUP(AC156,moves!A:D,4,FALSE)</f>
        <v>4</v>
      </c>
      <c r="AF156" t="str">
        <f>IF(VLOOKUP(AC156,moves!A:F,5,FALSE)=0, "", VLOOKUP(AC156,moves!A:F,5,FALSE))</f>
        <v>dynamic</v>
      </c>
      <c r="AG156" t="str">
        <f>VLOOKUP(AC156,moves!A:F,6,FALSE)</f>
        <v>Choose any learnable type of the user as the type of this attack.</v>
      </c>
      <c r="AH156">
        <v>0</v>
      </c>
      <c r="AI156">
        <v>0</v>
      </c>
      <c r="AJ156" t="str" cm="1">
        <f t="array" ref="AJ156">_xlfn.IFS(AH156=1, "starter", AI156=1, "legendary",V156&lt; 13, "weak",V156&lt; 17, "moderate", TRUE, "strong")</f>
        <v>strong</v>
      </c>
      <c r="AL156">
        <v>3</v>
      </c>
      <c r="AM156">
        <v>0</v>
      </c>
      <c r="AN156">
        <v>1</v>
      </c>
    </row>
    <row r="157" spans="1:40" x14ac:dyDescent="0.25">
      <c r="A157" t="s">
        <v>985</v>
      </c>
      <c r="B157" t="s">
        <v>230</v>
      </c>
      <c r="C157" t="str">
        <f t="shared" si="135"/>
        <v>Dusknoir</v>
      </c>
      <c r="D157" t="s">
        <v>1004</v>
      </c>
      <c r="E157" t="s">
        <v>42</v>
      </c>
      <c r="G157">
        <v>45</v>
      </c>
      <c r="H157">
        <v>100</v>
      </c>
      <c r="I157">
        <v>135</v>
      </c>
      <c r="J157">
        <v>65</v>
      </c>
      <c r="K157">
        <v>135</v>
      </c>
      <c r="L157">
        <v>45</v>
      </c>
      <c r="M157" t="s">
        <v>423</v>
      </c>
      <c r="O157" t="s">
        <v>777</v>
      </c>
      <c r="P157">
        <f t="shared" ref="P157" si="151">(0.4*L157 + 0.5*MAX(H157,J157) + 0.1*MIN(H157,J157)) / 10</f>
        <v>7.45</v>
      </c>
      <c r="Q157">
        <f t="shared" ref="Q157" si="152">(0.4*G157 + 0.3*I157 + 0.3*K157) / 10</f>
        <v>9.9</v>
      </c>
      <c r="R157">
        <v>2</v>
      </c>
      <c r="S157">
        <v>3</v>
      </c>
      <c r="T157">
        <f t="shared" ref="T157" si="153">ROUND(P157,0)+R157</f>
        <v>9</v>
      </c>
      <c r="U157">
        <f t="shared" ref="U157" si="154">ROUND(Q157,0)+S157</f>
        <v>13</v>
      </c>
      <c r="V157">
        <f t="shared" ref="V157" si="155">SUM(ROUND(T157,0),ROUND(U157,0))</f>
        <v>22</v>
      </c>
      <c r="W157" t="str">
        <f t="shared" ref="W157" si="156">E157</f>
        <v>ghost</v>
      </c>
      <c r="X157" t="s">
        <v>14</v>
      </c>
      <c r="Y157" t="s">
        <v>4</v>
      </c>
      <c r="Z157" t="s">
        <v>11</v>
      </c>
      <c r="AB157" t="str">
        <f t="shared" si="136"/>
        <v/>
      </c>
      <c r="AC157" t="s">
        <v>705</v>
      </c>
      <c r="AD157" t="str">
        <f>VLOOKUP(AC157,moves!A:B,2,FALSE)</f>
        <v>typeless</v>
      </c>
      <c r="AE157">
        <f>VLOOKUP(AC157,moves!A:D,4,FALSE)</f>
        <v>4</v>
      </c>
      <c r="AF157" t="str">
        <f>IF(VLOOKUP(AC157,moves!A:F,5,FALSE)=0, "", VLOOKUP(AC157,moves!A:F,5,FALSE))</f>
        <v>dynamic</v>
      </c>
      <c r="AG157" t="str">
        <f>VLOOKUP(AC157,moves!A:F,6,FALSE)</f>
        <v>Choose any learnable type of the user as the type of this attack.</v>
      </c>
      <c r="AH157">
        <v>0</v>
      </c>
      <c r="AI157">
        <v>1</v>
      </c>
      <c r="AJ157" t="str" cm="1">
        <f t="array" ref="AJ157">_xlfn.IFS(AH157=1, "starter", AI157=1, "legendary",V157&lt; 13, "weak",V157&lt; 17, "moderate", TRUE, "strong")</f>
        <v>legendary</v>
      </c>
      <c r="AL157">
        <v>3</v>
      </c>
      <c r="AM157">
        <v>0</v>
      </c>
      <c r="AN157">
        <v>2</v>
      </c>
    </row>
    <row r="158" spans="1:40" x14ac:dyDescent="0.25">
      <c r="A158">
        <v>361</v>
      </c>
      <c r="B158" t="s">
        <v>132</v>
      </c>
      <c r="C158" t="str">
        <f t="shared" si="135"/>
        <v>Snorunt</v>
      </c>
      <c r="E158" t="s">
        <v>14</v>
      </c>
      <c r="G158">
        <v>50</v>
      </c>
      <c r="H158">
        <v>50</v>
      </c>
      <c r="I158">
        <v>50</v>
      </c>
      <c r="J158">
        <v>50</v>
      </c>
      <c r="K158">
        <v>50</v>
      </c>
      <c r="L158">
        <v>50</v>
      </c>
      <c r="M158" t="s">
        <v>424</v>
      </c>
      <c r="N158" t="s">
        <v>301</v>
      </c>
      <c r="O158" t="s">
        <v>299</v>
      </c>
      <c r="P158">
        <f t="shared" si="146"/>
        <v>5</v>
      </c>
      <c r="Q158">
        <f t="shared" si="147"/>
        <v>5</v>
      </c>
      <c r="R158">
        <v>0</v>
      </c>
      <c r="S158">
        <v>0</v>
      </c>
      <c r="T158">
        <f t="shared" si="148"/>
        <v>5</v>
      </c>
      <c r="U158">
        <f t="shared" si="149"/>
        <v>5</v>
      </c>
      <c r="V158">
        <f t="shared" si="150"/>
        <v>10</v>
      </c>
      <c r="W158" t="str">
        <f t="shared" si="145"/>
        <v>ice</v>
      </c>
      <c r="X158" t="s">
        <v>8</v>
      </c>
      <c r="Y158" t="s">
        <v>9</v>
      </c>
      <c r="Z158" t="s">
        <v>42</v>
      </c>
      <c r="AA158" t="s">
        <v>463</v>
      </c>
      <c r="AB158">
        <f t="shared" si="136"/>
        <v>6</v>
      </c>
      <c r="AC158" t="s">
        <v>490</v>
      </c>
      <c r="AD158" t="str">
        <f>VLOOKUP(AC158,moves!A:B,2,FALSE)</f>
        <v>ice</v>
      </c>
      <c r="AE158">
        <f>VLOOKUP(AC158,moves!A:D,4,FALSE)</f>
        <v>2</v>
      </c>
      <c r="AF158" t="str">
        <f>IF(VLOOKUP(AC158,moves!A:F,5,FALSE)=0, "", VLOOKUP(AC158,moves!A:F,5,FALSE))</f>
        <v/>
      </c>
      <c r="AG158" t="str">
        <f>VLOOKUP(AC158,moves!A:F,6,FALSE)</f>
        <v>Inflict the [frozen] status on the target.</v>
      </c>
      <c r="AH158">
        <v>0</v>
      </c>
      <c r="AI158">
        <v>0</v>
      </c>
      <c r="AJ158" t="str" cm="1">
        <f t="array" ref="AJ158">_xlfn.IFS(AH158=1, "starter", AI158=1, "legendary",V158&lt; 13, "weak",V158&lt; 17, "moderate", TRUE, "strong")</f>
        <v>weak</v>
      </c>
      <c r="AL158">
        <v>1</v>
      </c>
      <c r="AM158">
        <v>0</v>
      </c>
    </row>
    <row r="159" spans="1:40" x14ac:dyDescent="0.25">
      <c r="A159">
        <v>362</v>
      </c>
      <c r="B159" t="s">
        <v>133</v>
      </c>
      <c r="C159" t="str">
        <f t="shared" si="135"/>
        <v>Glalie</v>
      </c>
      <c r="E159" t="s">
        <v>14</v>
      </c>
      <c r="G159">
        <v>80</v>
      </c>
      <c r="H159">
        <v>80</v>
      </c>
      <c r="I159">
        <v>80</v>
      </c>
      <c r="J159">
        <v>80</v>
      </c>
      <c r="K159">
        <v>80</v>
      </c>
      <c r="L159">
        <v>80</v>
      </c>
      <c r="M159" t="s">
        <v>425</v>
      </c>
      <c r="N159" t="s">
        <v>301</v>
      </c>
      <c r="O159" t="s">
        <v>299</v>
      </c>
      <c r="P159">
        <f t="shared" si="146"/>
        <v>8</v>
      </c>
      <c r="Q159">
        <f t="shared" si="147"/>
        <v>8</v>
      </c>
      <c r="R159">
        <v>0</v>
      </c>
      <c r="S159">
        <v>0</v>
      </c>
      <c r="T159">
        <f t="shared" si="148"/>
        <v>8</v>
      </c>
      <c r="U159">
        <f t="shared" si="149"/>
        <v>8</v>
      </c>
      <c r="V159">
        <f t="shared" si="150"/>
        <v>16</v>
      </c>
      <c r="W159" t="str">
        <f t="shared" si="145"/>
        <v>ice</v>
      </c>
      <c r="X159" t="s">
        <v>8</v>
      </c>
      <c r="Y159" t="s">
        <v>9</v>
      </c>
      <c r="Z159" t="s">
        <v>13</v>
      </c>
      <c r="AB159" t="str">
        <f t="shared" si="136"/>
        <v/>
      </c>
      <c r="AC159" t="s">
        <v>504</v>
      </c>
      <c r="AD159" t="str">
        <f>VLOOKUP(AC159,moves!A:B,2,FALSE)</f>
        <v>dark</v>
      </c>
      <c r="AE159">
        <f>VLOOKUP(AC159,moves!A:D,4,FALSE)</f>
        <v>4</v>
      </c>
      <c r="AF159" t="str">
        <f>IF(VLOOKUP(AC159,moves!A:F,5,FALSE)=0, "", VLOOKUP(AC159,moves!A:F,5,FALSE))</f>
        <v/>
      </c>
      <c r="AG159" t="str">
        <f>VLOOKUP(AC159,moves!A:F,6,FALSE)</f>
        <v>When the target is next attacked, add 1 [regular_hit] to the roll.</v>
      </c>
      <c r="AH159">
        <v>0</v>
      </c>
      <c r="AI159">
        <v>0</v>
      </c>
      <c r="AJ159" t="str" cm="1">
        <f t="array" ref="AJ159">_xlfn.IFS(AH159=1, "starter", AI159=1, "legendary",V159&lt; 13, "weak",V159&lt; 17, "moderate", TRUE, "strong")</f>
        <v>moderate</v>
      </c>
      <c r="AL159">
        <v>2</v>
      </c>
      <c r="AM159">
        <v>0</v>
      </c>
    </row>
    <row r="160" spans="1:40" x14ac:dyDescent="0.25">
      <c r="A160">
        <v>478</v>
      </c>
      <c r="B160" t="s">
        <v>231</v>
      </c>
      <c r="C160" t="str">
        <f t="shared" si="135"/>
        <v>Froslass</v>
      </c>
      <c r="E160" t="s">
        <v>14</v>
      </c>
      <c r="F160" t="s">
        <v>42</v>
      </c>
      <c r="G160">
        <v>70</v>
      </c>
      <c r="H160">
        <v>80</v>
      </c>
      <c r="I160">
        <v>70</v>
      </c>
      <c r="J160">
        <v>80</v>
      </c>
      <c r="K160">
        <v>70</v>
      </c>
      <c r="L160">
        <v>110</v>
      </c>
      <c r="M160" t="s">
        <v>426</v>
      </c>
      <c r="N160" t="s">
        <v>301</v>
      </c>
      <c r="O160" t="s">
        <v>299</v>
      </c>
      <c r="P160">
        <f t="shared" si="146"/>
        <v>9.1999999999999993</v>
      </c>
      <c r="Q160">
        <f t="shared" si="147"/>
        <v>7</v>
      </c>
      <c r="R160">
        <v>0</v>
      </c>
      <c r="S160">
        <v>0</v>
      </c>
      <c r="T160">
        <f t="shared" si="148"/>
        <v>9</v>
      </c>
      <c r="U160">
        <f t="shared" si="149"/>
        <v>7</v>
      </c>
      <c r="V160">
        <f t="shared" si="150"/>
        <v>16</v>
      </c>
      <c r="W160" t="str">
        <f t="shared" si="145"/>
        <v>ice</v>
      </c>
      <c r="X160" t="s">
        <v>8</v>
      </c>
      <c r="Y160" t="s">
        <v>42</v>
      </c>
      <c r="Z160" t="s">
        <v>16</v>
      </c>
      <c r="AB160" t="str">
        <f t="shared" si="136"/>
        <v/>
      </c>
      <c r="AC160" t="s">
        <v>1249</v>
      </c>
      <c r="AD160" t="str">
        <f>VLOOKUP(AC160,moves!A:B,2,FALSE)</f>
        <v>ice</v>
      </c>
      <c r="AE160">
        <f>VLOOKUP(AC160,moves!A:D,4,FALSE)</f>
        <v>3</v>
      </c>
      <c r="AF160" t="str">
        <f>IF(VLOOKUP(AC160,moves!A:F,5,FALSE)=0, "", VLOOKUP(AC160,moves!A:F,5,FALSE))</f>
        <v>agile</v>
      </c>
      <c r="AG160" t="str">
        <f>VLOOKUP(AC160,moves!A:F,6,FALSE)</f>
        <v>At the end of the turn, inflict the [frozen] status on the target.</v>
      </c>
      <c r="AH160">
        <v>0</v>
      </c>
      <c r="AI160">
        <v>0</v>
      </c>
      <c r="AJ160" t="str" cm="1">
        <f t="array" ref="AJ160">_xlfn.IFS(AH160=1, "starter", AI160=1, "legendary",V160&lt; 13, "weak",V160&lt; 17, "moderate", TRUE, "strong")</f>
        <v>moderate</v>
      </c>
      <c r="AL160">
        <v>2</v>
      </c>
      <c r="AM160">
        <v>0</v>
      </c>
    </row>
    <row r="161" spans="1:40" x14ac:dyDescent="0.25">
      <c r="A161">
        <v>479</v>
      </c>
      <c r="B161" t="s">
        <v>232</v>
      </c>
      <c r="C161" t="str">
        <f t="shared" si="135"/>
        <v>Rotom</v>
      </c>
      <c r="E161" t="s">
        <v>11</v>
      </c>
      <c r="F161" t="s">
        <v>42</v>
      </c>
      <c r="G161">
        <v>50</v>
      </c>
      <c r="H161">
        <v>65</v>
      </c>
      <c r="I161">
        <v>107</v>
      </c>
      <c r="J161">
        <v>105</v>
      </c>
      <c r="K161">
        <v>107</v>
      </c>
      <c r="L161">
        <v>86</v>
      </c>
      <c r="M161" t="s">
        <v>460</v>
      </c>
      <c r="N161" t="s">
        <v>298</v>
      </c>
      <c r="O161" t="s">
        <v>299</v>
      </c>
      <c r="P161">
        <f t="shared" si="146"/>
        <v>9.34</v>
      </c>
      <c r="Q161">
        <f t="shared" si="147"/>
        <v>8.42</v>
      </c>
      <c r="R161">
        <v>3</v>
      </c>
      <c r="S161">
        <v>0</v>
      </c>
      <c r="T161">
        <f t="shared" si="148"/>
        <v>12</v>
      </c>
      <c r="U161">
        <f t="shared" si="149"/>
        <v>8</v>
      </c>
      <c r="V161">
        <f t="shared" si="150"/>
        <v>20</v>
      </c>
      <c r="W161" t="str">
        <f t="shared" si="145"/>
        <v>electric</v>
      </c>
      <c r="X161" t="str">
        <f t="shared" ref="X161:X171" si="157">IF(F161 = 0, "", F161)</f>
        <v>ghost</v>
      </c>
      <c r="Y161" t="s">
        <v>8</v>
      </c>
      <c r="Z161" t="s">
        <v>26</v>
      </c>
      <c r="AB161" t="str">
        <f t="shared" si="136"/>
        <v/>
      </c>
      <c r="AC161" t="s">
        <v>546</v>
      </c>
      <c r="AD161" t="str">
        <f>VLOOKUP(AC161,moves!A:B,2,FALSE)</f>
        <v>ghost</v>
      </c>
      <c r="AE161">
        <f>VLOOKUP(AC161,moves!A:D,4,FALSE)</f>
        <v>4</v>
      </c>
      <c r="AF161" t="str">
        <f>IF(VLOOKUP(AC161,moves!A:F,5,FALSE)=0, "", VLOOKUP(AC161,moves!A:F,5,FALSE))</f>
        <v>transform</v>
      </c>
      <c r="AG161" t="str">
        <f>VLOOKUP(AC161,moves!A:F,6,FALSE)</f>
        <v>When the user next attacks, add 2 [status_symbol]s to the roll.</v>
      </c>
      <c r="AH161">
        <v>0</v>
      </c>
      <c r="AI161">
        <v>1</v>
      </c>
      <c r="AJ161" t="str" cm="1">
        <f t="array" ref="AJ161">_xlfn.IFS(AH161=1, "starter", AI161=1, "legendary",V161&lt; 13, "weak",V161&lt; 17, "moderate", TRUE, "strong")</f>
        <v>legendary</v>
      </c>
      <c r="AL161">
        <v>1</v>
      </c>
      <c r="AM161">
        <v>0</v>
      </c>
      <c r="AN161">
        <v>1</v>
      </c>
    </row>
    <row r="162" spans="1:40" x14ac:dyDescent="0.25">
      <c r="A162" t="s">
        <v>953</v>
      </c>
      <c r="B162" t="s">
        <v>232</v>
      </c>
      <c r="C162" t="s">
        <v>946</v>
      </c>
      <c r="D162" t="s">
        <v>992</v>
      </c>
      <c r="E162" t="s">
        <v>11</v>
      </c>
      <c r="F162" t="s">
        <v>5</v>
      </c>
      <c r="G162">
        <v>50</v>
      </c>
      <c r="H162">
        <v>65</v>
      </c>
      <c r="I162">
        <v>107</v>
      </c>
      <c r="J162">
        <v>105</v>
      </c>
      <c r="K162">
        <v>107</v>
      </c>
      <c r="L162">
        <v>86</v>
      </c>
      <c r="M162" t="s">
        <v>460</v>
      </c>
      <c r="N162" t="s">
        <v>298</v>
      </c>
      <c r="O162" t="s">
        <v>299</v>
      </c>
      <c r="P162">
        <f t="shared" ref="P162:P164" si="158">(0.4*L162 + 0.5*MAX(H162,J162) + 0.1*MIN(H162,J162)) / 10</f>
        <v>9.34</v>
      </c>
      <c r="Q162">
        <f t="shared" ref="Q162:Q164" si="159">(0.4*G162 + 0.3*I162 + 0.3*K162) / 10</f>
        <v>8.42</v>
      </c>
      <c r="R162">
        <v>3</v>
      </c>
      <c r="S162">
        <v>0</v>
      </c>
      <c r="T162">
        <f t="shared" ref="T162:T164" si="160">ROUND(P162,0)+R162</f>
        <v>12</v>
      </c>
      <c r="U162">
        <f t="shared" ref="U162:U164" si="161">ROUND(Q162,0)+S162</f>
        <v>8</v>
      </c>
      <c r="V162">
        <f t="shared" ref="V162:V164" si="162">SUM(ROUND(T162,0),ROUND(U162,0))</f>
        <v>20</v>
      </c>
      <c r="W162" t="str">
        <f t="shared" ref="W162:W164" si="163">E162</f>
        <v>electric</v>
      </c>
      <c r="X162" t="str">
        <f t="shared" si="157"/>
        <v>flying</v>
      </c>
      <c r="Y162" t="s">
        <v>8</v>
      </c>
      <c r="Z162" t="s">
        <v>26</v>
      </c>
      <c r="AB162" t="str">
        <f t="shared" si="136"/>
        <v/>
      </c>
      <c r="AC162" t="s">
        <v>514</v>
      </c>
      <c r="AD162" t="str">
        <f>VLOOKUP(AC162,moves!A:B,2,FALSE)</f>
        <v>flying</v>
      </c>
      <c r="AE162">
        <f>VLOOKUP(AC162,moves!A:D,4,FALSE)</f>
        <v>4</v>
      </c>
      <c r="AF162" t="str">
        <f>IF(VLOOKUP(AC162,moves!A:F,5,FALSE)=0, "", VLOOKUP(AC162,moves!A:F,5,FALSE))</f>
        <v/>
      </c>
      <c r="AG162" t="str">
        <f>VLOOKUP(AC162,moves!A:F,6,FALSE)</f>
        <v>[critical_hit]s deal +1 damage.</v>
      </c>
      <c r="AH162">
        <v>0</v>
      </c>
      <c r="AI162">
        <v>1</v>
      </c>
      <c r="AJ162" t="str" cm="1">
        <f t="array" ref="AJ162">_xlfn.IFS(AH162=1, "starter", AI162=1, "legendary",V162&lt; 13, "weak",V162&lt; 17, "moderate", TRUE, "strong")</f>
        <v>legendary</v>
      </c>
      <c r="AL162">
        <v>1</v>
      </c>
      <c r="AM162">
        <v>0</v>
      </c>
      <c r="AN162">
        <v>2</v>
      </c>
    </row>
    <row r="163" spans="1:40" x14ac:dyDescent="0.25">
      <c r="A163" t="s">
        <v>954</v>
      </c>
      <c r="B163" t="s">
        <v>232</v>
      </c>
      <c r="C163" t="s">
        <v>947</v>
      </c>
      <c r="D163" t="s">
        <v>993</v>
      </c>
      <c r="E163" t="s">
        <v>11</v>
      </c>
      <c r="F163" t="s">
        <v>14</v>
      </c>
      <c r="G163">
        <v>50</v>
      </c>
      <c r="H163">
        <v>65</v>
      </c>
      <c r="I163">
        <v>107</v>
      </c>
      <c r="J163">
        <v>105</v>
      </c>
      <c r="K163">
        <v>107</v>
      </c>
      <c r="L163">
        <v>86</v>
      </c>
      <c r="M163" t="s">
        <v>460</v>
      </c>
      <c r="N163" t="s">
        <v>298</v>
      </c>
      <c r="O163" t="s">
        <v>299</v>
      </c>
      <c r="P163">
        <f t="shared" si="158"/>
        <v>9.34</v>
      </c>
      <c r="Q163">
        <f t="shared" si="159"/>
        <v>8.42</v>
      </c>
      <c r="R163">
        <v>3</v>
      </c>
      <c r="S163">
        <v>0</v>
      </c>
      <c r="T163">
        <f t="shared" si="160"/>
        <v>12</v>
      </c>
      <c r="U163">
        <f t="shared" si="161"/>
        <v>8</v>
      </c>
      <c r="V163">
        <f t="shared" si="162"/>
        <v>20</v>
      </c>
      <c r="W163" t="str">
        <f t="shared" si="163"/>
        <v>electric</v>
      </c>
      <c r="X163" t="str">
        <f t="shared" si="157"/>
        <v>ice</v>
      </c>
      <c r="Y163" t="s">
        <v>8</v>
      </c>
      <c r="Z163" t="s">
        <v>26</v>
      </c>
      <c r="AB163" t="str">
        <f t="shared" si="136"/>
        <v/>
      </c>
      <c r="AC163" t="s">
        <v>488</v>
      </c>
      <c r="AD163" t="str">
        <f>VLOOKUP(AC163,moves!A:B,2,FALSE)</f>
        <v>ice</v>
      </c>
      <c r="AE163">
        <f>VLOOKUP(AC163,moves!A:D,4,FALSE)</f>
        <v>5</v>
      </c>
      <c r="AF163" t="str">
        <f>IF(VLOOKUP(AC163,moves!A:F,5,FALSE)=0, "", VLOOKUP(AC163,moves!A:F,5,FALSE))</f>
        <v/>
      </c>
      <c r="AG163" t="str">
        <f>VLOOKUP(AC163,moves!A:F,6,FALSE)</f>
        <v>If 2 or more [status_symbol]s are rolled: Inflict the [frozen] status on the target.</v>
      </c>
      <c r="AH163">
        <v>0</v>
      </c>
      <c r="AI163">
        <v>1</v>
      </c>
      <c r="AJ163" t="str" cm="1">
        <f t="array" ref="AJ163">_xlfn.IFS(AH163=1, "starter", AI163=1, "legendary",V163&lt; 13, "weak",V163&lt; 17, "moderate", TRUE, "strong")</f>
        <v>legendary</v>
      </c>
      <c r="AL163">
        <v>1</v>
      </c>
      <c r="AM163">
        <v>0</v>
      </c>
      <c r="AN163">
        <v>3</v>
      </c>
    </row>
    <row r="164" spans="1:40" x14ac:dyDescent="0.25">
      <c r="A164" t="s">
        <v>955</v>
      </c>
      <c r="B164" t="s">
        <v>232</v>
      </c>
      <c r="C164" t="s">
        <v>948</v>
      </c>
      <c r="D164" t="s">
        <v>994</v>
      </c>
      <c r="E164" t="s">
        <v>11</v>
      </c>
      <c r="F164" t="s">
        <v>4</v>
      </c>
      <c r="G164">
        <v>50</v>
      </c>
      <c r="H164">
        <v>65</v>
      </c>
      <c r="I164">
        <v>107</v>
      </c>
      <c r="J164">
        <v>105</v>
      </c>
      <c r="K164">
        <v>107</v>
      </c>
      <c r="L164">
        <v>86</v>
      </c>
      <c r="M164" t="s">
        <v>460</v>
      </c>
      <c r="N164" t="s">
        <v>298</v>
      </c>
      <c r="O164" t="s">
        <v>299</v>
      </c>
      <c r="P164">
        <f t="shared" si="158"/>
        <v>9.34</v>
      </c>
      <c r="Q164">
        <f t="shared" si="159"/>
        <v>8.42</v>
      </c>
      <c r="R164">
        <v>3</v>
      </c>
      <c r="S164">
        <v>0</v>
      </c>
      <c r="T164">
        <f t="shared" si="160"/>
        <v>12</v>
      </c>
      <c r="U164">
        <f t="shared" si="161"/>
        <v>8</v>
      </c>
      <c r="V164">
        <f t="shared" si="162"/>
        <v>20</v>
      </c>
      <c r="W164" t="str">
        <f t="shared" si="163"/>
        <v>electric</v>
      </c>
      <c r="X164" t="str">
        <f t="shared" si="157"/>
        <v>fire</v>
      </c>
      <c r="Y164" t="s">
        <v>8</v>
      </c>
      <c r="Z164" t="s">
        <v>26</v>
      </c>
      <c r="AB164" t="str">
        <f t="shared" si="136"/>
        <v/>
      </c>
      <c r="AC164" t="s">
        <v>945</v>
      </c>
      <c r="AD164" t="str">
        <f>VLOOKUP(AC164,moves!A:B,2,FALSE)</f>
        <v>fire</v>
      </c>
      <c r="AE164">
        <f>VLOOKUP(AC164,moves!A:D,4,FALSE)</f>
        <v>5</v>
      </c>
      <c r="AF164" t="str">
        <f>IF(VLOOKUP(AC164,moves!A:F,5,FALSE)=0, "", VLOOKUP(AC164,moves!A:F,5,FALSE))</f>
        <v/>
      </c>
      <c r="AG164" t="str">
        <f>VLOOKUP(AC164,moves!A:F,6,FALSE)</f>
        <v xml:space="preserve">During this attack and when the user is next attacked, [status_symbol]s deal +1 damage. </v>
      </c>
      <c r="AH164">
        <v>0</v>
      </c>
      <c r="AI164">
        <v>1</v>
      </c>
      <c r="AJ164" t="str" cm="1">
        <f t="array" ref="AJ164">_xlfn.IFS(AH164=1, "starter", AI164=1, "legendary",V164&lt; 13, "weak",V164&lt; 17, "moderate", TRUE, "strong")</f>
        <v>legendary</v>
      </c>
      <c r="AL164">
        <v>1</v>
      </c>
      <c r="AM164">
        <v>0</v>
      </c>
      <c r="AN164">
        <v>4</v>
      </c>
    </row>
    <row r="165" spans="1:40" x14ac:dyDescent="0.25">
      <c r="A165" t="s">
        <v>956</v>
      </c>
      <c r="B165" t="s">
        <v>232</v>
      </c>
      <c r="C165" t="s">
        <v>949</v>
      </c>
      <c r="D165" t="s">
        <v>995</v>
      </c>
      <c r="E165" t="s">
        <v>11</v>
      </c>
      <c r="F165" t="s">
        <v>2</v>
      </c>
      <c r="G165">
        <v>50</v>
      </c>
      <c r="H165">
        <v>65</v>
      </c>
      <c r="I165">
        <v>107</v>
      </c>
      <c r="J165">
        <v>105</v>
      </c>
      <c r="K165">
        <v>107</v>
      </c>
      <c r="L165">
        <v>86</v>
      </c>
      <c r="M165" t="s">
        <v>460</v>
      </c>
      <c r="N165" t="s">
        <v>298</v>
      </c>
      <c r="O165" t="s">
        <v>299</v>
      </c>
      <c r="P165">
        <f t="shared" ref="P165:P166" si="164">(0.4*L165 + 0.5*MAX(H165,J165) + 0.1*MIN(H165,J165)) / 10</f>
        <v>9.34</v>
      </c>
      <c r="Q165">
        <f t="shared" ref="Q165:Q166" si="165">(0.4*G165 + 0.3*I165 + 0.3*K165) / 10</f>
        <v>8.42</v>
      </c>
      <c r="R165">
        <v>3</v>
      </c>
      <c r="S165">
        <v>0</v>
      </c>
      <c r="T165">
        <f t="shared" ref="T165:T166" si="166">ROUND(P165,0)+R165</f>
        <v>12</v>
      </c>
      <c r="U165">
        <f t="shared" ref="U165:U166" si="167">ROUND(Q165,0)+S165</f>
        <v>8</v>
      </c>
      <c r="V165">
        <f t="shared" ref="V165:V166" si="168">SUM(ROUND(T165,0),ROUND(U165,0))</f>
        <v>20</v>
      </c>
      <c r="W165" t="str">
        <f t="shared" ref="W165:W166" si="169">E165</f>
        <v>electric</v>
      </c>
      <c r="X165" t="str">
        <f t="shared" si="157"/>
        <v>grass</v>
      </c>
      <c r="Y165" t="s">
        <v>8</v>
      </c>
      <c r="Z165" t="s">
        <v>26</v>
      </c>
      <c r="AB165" t="str">
        <f t="shared" si="136"/>
        <v/>
      </c>
      <c r="AC165" t="s">
        <v>594</v>
      </c>
      <c r="AD165" t="str">
        <f>VLOOKUP(AC165,moves!A:B,2,FALSE)</f>
        <v>grass</v>
      </c>
      <c r="AE165">
        <f>VLOOKUP(AC165,moves!A:D,4,FALSE)</f>
        <v>5</v>
      </c>
      <c r="AF165" t="str">
        <f>IF(VLOOKUP(AC165,moves!A:F,5,FALSE)=0, "", VLOOKUP(AC165,moves!A:F,5,FALSE))</f>
        <v/>
      </c>
      <c r="AG165" t="str">
        <f>VLOOKUP(AC165,moves!A:F,6,FALSE)</f>
        <v xml:space="preserve">During this attack and when the user is next attacked, [status_symbol]s deal +1 damage. </v>
      </c>
      <c r="AH165">
        <v>0</v>
      </c>
      <c r="AI165">
        <v>1</v>
      </c>
      <c r="AJ165" t="str" cm="1">
        <f t="array" ref="AJ165">_xlfn.IFS(AH165=1, "starter", AI165=1, "legendary",V165&lt; 13, "weak",V165&lt; 17, "moderate", TRUE, "strong")</f>
        <v>legendary</v>
      </c>
      <c r="AL165">
        <v>1</v>
      </c>
      <c r="AM165">
        <v>0</v>
      </c>
      <c r="AN165">
        <v>5</v>
      </c>
    </row>
    <row r="166" spans="1:40" x14ac:dyDescent="0.25">
      <c r="A166" t="s">
        <v>957</v>
      </c>
      <c r="B166" t="s">
        <v>232</v>
      </c>
      <c r="C166" t="s">
        <v>950</v>
      </c>
      <c r="D166" t="s">
        <v>996</v>
      </c>
      <c r="E166" t="s">
        <v>11</v>
      </c>
      <c r="F166" t="s">
        <v>6</v>
      </c>
      <c r="G166">
        <v>50</v>
      </c>
      <c r="H166">
        <v>65</v>
      </c>
      <c r="I166">
        <v>107</v>
      </c>
      <c r="J166">
        <v>105</v>
      </c>
      <c r="K166">
        <v>107</v>
      </c>
      <c r="L166">
        <v>86</v>
      </c>
      <c r="M166" t="s">
        <v>460</v>
      </c>
      <c r="N166" t="s">
        <v>298</v>
      </c>
      <c r="O166" t="s">
        <v>299</v>
      </c>
      <c r="P166">
        <f t="shared" si="164"/>
        <v>9.34</v>
      </c>
      <c r="Q166">
        <f t="shared" si="165"/>
        <v>8.42</v>
      </c>
      <c r="R166">
        <v>3</v>
      </c>
      <c r="S166">
        <v>0</v>
      </c>
      <c r="T166">
        <f t="shared" si="166"/>
        <v>12</v>
      </c>
      <c r="U166">
        <f t="shared" si="167"/>
        <v>8</v>
      </c>
      <c r="V166">
        <f t="shared" si="168"/>
        <v>20</v>
      </c>
      <c r="W166" t="str">
        <f t="shared" si="169"/>
        <v>electric</v>
      </c>
      <c r="X166" t="str">
        <f t="shared" si="157"/>
        <v>water</v>
      </c>
      <c r="Y166" t="s">
        <v>8</v>
      </c>
      <c r="Z166" t="s">
        <v>26</v>
      </c>
      <c r="AB166" t="str">
        <f t="shared" si="136"/>
        <v/>
      </c>
      <c r="AC166" t="s">
        <v>479</v>
      </c>
      <c r="AD166" t="str">
        <f>VLOOKUP(AC166,moves!A:B,2,FALSE)</f>
        <v>water</v>
      </c>
      <c r="AE166">
        <f>VLOOKUP(AC166,moves!A:D,4,FALSE)</f>
        <v>5</v>
      </c>
      <c r="AF166" t="str">
        <f>IF(VLOOKUP(AC166,moves!A:F,5,FALSE)=0, "", VLOOKUP(AC166,moves!A:F,5,FALSE))</f>
        <v/>
      </c>
      <c r="AG166" t="str">
        <f>VLOOKUP(AC166,moves!A:F,6,FALSE)</f>
        <v>If 2 or more [status_symbol]s are rolled: Inflict the [confused] status on the target.</v>
      </c>
      <c r="AH166">
        <v>0</v>
      </c>
      <c r="AI166">
        <v>1</v>
      </c>
      <c r="AJ166" t="str" cm="1">
        <f t="array" ref="AJ166">_xlfn.IFS(AH166=1, "starter", AI166=1, "legendary",V166&lt; 13, "weak",V166&lt; 17, "moderate", TRUE, "strong")</f>
        <v>legendary</v>
      </c>
      <c r="AL166">
        <v>1</v>
      </c>
      <c r="AM166">
        <v>0</v>
      </c>
      <c r="AN166">
        <v>6</v>
      </c>
    </row>
    <row r="167" spans="1:40" x14ac:dyDescent="0.25">
      <c r="A167">
        <v>483</v>
      </c>
      <c r="B167" t="s">
        <v>236</v>
      </c>
      <c r="C167" t="str">
        <f>B167</f>
        <v>Dialga</v>
      </c>
      <c r="D167" t="s">
        <v>1380</v>
      </c>
      <c r="E167" t="s">
        <v>39</v>
      </c>
      <c r="F167" t="s">
        <v>67</v>
      </c>
      <c r="G167">
        <v>100</v>
      </c>
      <c r="H167">
        <v>120</v>
      </c>
      <c r="I167">
        <v>120</v>
      </c>
      <c r="J167">
        <v>150</v>
      </c>
      <c r="K167">
        <v>100</v>
      </c>
      <c r="L167">
        <v>90</v>
      </c>
      <c r="M167" t="s">
        <v>456</v>
      </c>
      <c r="O167" t="s">
        <v>549</v>
      </c>
      <c r="P167">
        <f t="shared" si="146"/>
        <v>12.3</v>
      </c>
      <c r="Q167">
        <f t="shared" si="147"/>
        <v>10.6</v>
      </c>
      <c r="R167">
        <v>0</v>
      </c>
      <c r="S167">
        <v>1</v>
      </c>
      <c r="T167">
        <f t="shared" si="148"/>
        <v>12</v>
      </c>
      <c r="U167">
        <f t="shared" si="149"/>
        <v>12</v>
      </c>
      <c r="V167">
        <f t="shared" si="150"/>
        <v>24</v>
      </c>
      <c r="W167" t="str">
        <f t="shared" si="145"/>
        <v>steel</v>
      </c>
      <c r="X167" t="str">
        <f t="shared" si="157"/>
        <v>dragon</v>
      </c>
      <c r="Y167" t="s">
        <v>13</v>
      </c>
      <c r="Z167" t="s">
        <v>4</v>
      </c>
      <c r="AB167" t="str">
        <f t="shared" si="136"/>
        <v/>
      </c>
      <c r="AC167" t="s">
        <v>503</v>
      </c>
      <c r="AD167" t="str">
        <f>VLOOKUP(AC167,moves!A:B,2,FALSE)</f>
        <v>dragon</v>
      </c>
      <c r="AE167">
        <f>VLOOKUP(AC167,moves!A:D,4,FALSE)</f>
        <v>7</v>
      </c>
      <c r="AF167" t="str">
        <f>IF(VLOOKUP(AC167,moves!A:F,5,FALSE)=0, "", VLOOKUP(AC167,moves!A:F,5,FALSE))</f>
        <v>surge</v>
      </c>
      <c r="AG167" t="str">
        <f>VLOOKUP(AC167,moves!A:F,6,FALSE)</f>
        <v>Increase the Battle Fatigue of the user by 2.</v>
      </c>
      <c r="AH167">
        <v>0</v>
      </c>
      <c r="AI167">
        <v>1</v>
      </c>
      <c r="AJ167" t="str" cm="1">
        <f t="array" ref="AJ167">_xlfn.IFS(AH167=1, "starter", AI167=1, "legendary",V167&lt; 13, "weak",V167&lt; 17, "moderate", TRUE, "strong")</f>
        <v>legendary</v>
      </c>
      <c r="AL167">
        <v>1</v>
      </c>
      <c r="AM167">
        <v>0</v>
      </c>
      <c r="AN167">
        <v>1</v>
      </c>
    </row>
    <row r="168" spans="1:40" x14ac:dyDescent="0.25">
      <c r="A168" t="s">
        <v>938</v>
      </c>
      <c r="B168" t="s">
        <v>236</v>
      </c>
      <c r="C168" t="s">
        <v>1186</v>
      </c>
      <c r="D168" t="s">
        <v>1188</v>
      </c>
      <c r="E168" t="s">
        <v>39</v>
      </c>
      <c r="F168" t="s">
        <v>67</v>
      </c>
      <c r="G168">
        <v>100</v>
      </c>
      <c r="H168">
        <v>100</v>
      </c>
      <c r="I168">
        <v>120</v>
      </c>
      <c r="J168">
        <v>150</v>
      </c>
      <c r="K168">
        <v>120</v>
      </c>
      <c r="L168">
        <v>90</v>
      </c>
      <c r="M168" t="s">
        <v>456</v>
      </c>
      <c r="O168" t="s">
        <v>549</v>
      </c>
      <c r="P168">
        <f t="shared" ref="P168" si="170">(0.4*L168 + 0.5*MAX(H168,J168) + 0.1*MIN(H168,J168)) / 10</f>
        <v>12.1</v>
      </c>
      <c r="Q168">
        <f t="shared" ref="Q168" si="171">(0.4*G168 + 0.3*I168 + 0.3*K168) / 10</f>
        <v>11.2</v>
      </c>
      <c r="R168">
        <v>-1</v>
      </c>
      <c r="S168">
        <v>3</v>
      </c>
      <c r="T168">
        <f t="shared" ref="T168" si="172">ROUND(P168,0)+R168</f>
        <v>11</v>
      </c>
      <c r="U168">
        <f t="shared" ref="U168" si="173">ROUND(Q168,0)+S168</f>
        <v>14</v>
      </c>
      <c r="V168">
        <f t="shared" ref="V168" si="174">SUM(ROUND(T168,0),ROUND(U168,0))</f>
        <v>25</v>
      </c>
      <c r="W168" t="str">
        <f t="shared" ref="W168" si="175">E168</f>
        <v>steel</v>
      </c>
      <c r="X168" t="str">
        <f t="shared" si="157"/>
        <v>dragon</v>
      </c>
      <c r="Y168" t="s">
        <v>13</v>
      </c>
      <c r="Z168" t="s">
        <v>4</v>
      </c>
      <c r="AB168" t="str">
        <f t="shared" si="136"/>
        <v/>
      </c>
      <c r="AC168" t="s">
        <v>1113</v>
      </c>
      <c r="AD168" t="str">
        <f>VLOOKUP(AC168,moves!A:B,2,FALSE)</f>
        <v>steel</v>
      </c>
      <c r="AE168">
        <f>VLOOKUP(AC168,moves!A:D,4,FALSE)</f>
        <v>4</v>
      </c>
      <c r="AF168" t="str">
        <f>IF(VLOOKUP(AC168,moves!A:F,5,FALSE)=0, "", VLOOKUP(AC168,moves!A:F,5,FALSE))</f>
        <v/>
      </c>
      <c r="AG168" t="str">
        <f>VLOOKUP(AC168,moves!A:F,6,FALSE)</f>
        <v>When the target next attacks, [status_symbol]s deal -2 damage.</v>
      </c>
      <c r="AH168">
        <v>0</v>
      </c>
      <c r="AI168">
        <v>1</v>
      </c>
      <c r="AJ168" t="str" cm="1">
        <f t="array" ref="AJ168">_xlfn.IFS(AH168=1, "starter", AI168=1, "legendary",V168&lt; 13, "weak",V168&lt; 17, "moderate", TRUE, "strong")</f>
        <v>legendary</v>
      </c>
      <c r="AL168">
        <v>1</v>
      </c>
      <c r="AM168">
        <v>0</v>
      </c>
      <c r="AN168">
        <v>2</v>
      </c>
    </row>
    <row r="169" spans="1:40" x14ac:dyDescent="0.25">
      <c r="A169">
        <v>484</v>
      </c>
      <c r="B169" t="s">
        <v>237</v>
      </c>
      <c r="C169" t="str">
        <f>B169</f>
        <v>Palkia</v>
      </c>
      <c r="D169" t="s">
        <v>1381</v>
      </c>
      <c r="E169" t="s">
        <v>6</v>
      </c>
      <c r="F169" t="s">
        <v>67</v>
      </c>
      <c r="G169">
        <v>90</v>
      </c>
      <c r="H169">
        <v>120</v>
      </c>
      <c r="I169">
        <v>100</v>
      </c>
      <c r="J169">
        <v>150</v>
      </c>
      <c r="K169">
        <v>120</v>
      </c>
      <c r="L169">
        <v>100</v>
      </c>
      <c r="M169" t="s">
        <v>455</v>
      </c>
      <c r="O169" t="s">
        <v>549</v>
      </c>
      <c r="P169">
        <f t="shared" si="146"/>
        <v>12.7</v>
      </c>
      <c r="Q169">
        <f t="shared" si="147"/>
        <v>10.199999999999999</v>
      </c>
      <c r="R169">
        <v>-1</v>
      </c>
      <c r="S169">
        <v>2</v>
      </c>
      <c r="T169">
        <f t="shared" si="148"/>
        <v>12</v>
      </c>
      <c r="U169">
        <f t="shared" si="149"/>
        <v>12</v>
      </c>
      <c r="V169">
        <f t="shared" si="150"/>
        <v>24</v>
      </c>
      <c r="W169" t="str">
        <f t="shared" si="145"/>
        <v>water</v>
      </c>
      <c r="X169" t="str">
        <f t="shared" si="157"/>
        <v>dragon</v>
      </c>
      <c r="Y169" t="s">
        <v>11</v>
      </c>
      <c r="Z169" t="s">
        <v>14</v>
      </c>
      <c r="AB169" t="str">
        <f t="shared" si="136"/>
        <v/>
      </c>
      <c r="AC169" t="s">
        <v>477</v>
      </c>
      <c r="AD169" t="str">
        <f>VLOOKUP(AC169,moves!A:B,2,FALSE)</f>
        <v>dragon</v>
      </c>
      <c r="AE169">
        <f>VLOOKUP(AC169,moves!A:D,4,FALSE)</f>
        <v>4</v>
      </c>
      <c r="AF169" t="str">
        <f>IF(VLOOKUP(AC169,moves!A:F,5,FALSE)=0, "", VLOOKUP(AC169,moves!A:F,5,FALSE))</f>
        <v/>
      </c>
      <c r="AG169" t="str">
        <f>VLOOKUP(AC169,moves!A:F,6,FALSE)</f>
        <v>[critical_hit]s deal +2 damage.</v>
      </c>
      <c r="AH169">
        <v>0</v>
      </c>
      <c r="AI169">
        <v>1</v>
      </c>
      <c r="AJ169" t="str" cm="1">
        <f t="array" ref="AJ169">_xlfn.IFS(AH169=1, "starter", AI169=1, "legendary",V169&lt; 13, "weak",V169&lt; 17, "moderate", TRUE, "strong")</f>
        <v>legendary</v>
      </c>
      <c r="AL169">
        <v>1</v>
      </c>
      <c r="AM169">
        <v>0</v>
      </c>
      <c r="AN169">
        <v>1</v>
      </c>
    </row>
    <row r="170" spans="1:40" x14ac:dyDescent="0.25">
      <c r="A170" t="s">
        <v>939</v>
      </c>
      <c r="B170" t="s">
        <v>237</v>
      </c>
      <c r="C170" t="s">
        <v>1187</v>
      </c>
      <c r="D170" t="s">
        <v>1188</v>
      </c>
      <c r="E170" t="s">
        <v>6</v>
      </c>
      <c r="F170" t="s">
        <v>67</v>
      </c>
      <c r="G170">
        <v>90</v>
      </c>
      <c r="H170">
        <v>100</v>
      </c>
      <c r="I170">
        <v>100</v>
      </c>
      <c r="J170">
        <v>150</v>
      </c>
      <c r="K170">
        <v>120</v>
      </c>
      <c r="L170">
        <v>120</v>
      </c>
      <c r="M170" t="s">
        <v>455</v>
      </c>
      <c r="O170" t="s">
        <v>549</v>
      </c>
      <c r="P170">
        <f t="shared" ref="P170" si="176">(0.4*L170 + 0.5*MAX(H170,J170) + 0.1*MIN(H170,J170)) / 10</f>
        <v>13.3</v>
      </c>
      <c r="Q170">
        <f t="shared" ref="Q170" si="177">(0.4*G170 + 0.3*I170 + 0.3*K170) / 10</f>
        <v>10.199999999999999</v>
      </c>
      <c r="R170">
        <v>1</v>
      </c>
      <c r="S170">
        <v>1</v>
      </c>
      <c r="T170">
        <f t="shared" ref="T170" si="178">ROUND(P170,0)+R170</f>
        <v>14</v>
      </c>
      <c r="U170">
        <f t="shared" ref="U170" si="179">ROUND(Q170,0)+S170</f>
        <v>11</v>
      </c>
      <c r="V170">
        <f t="shared" ref="V170" si="180">SUM(ROUND(T170,0),ROUND(U170,0))</f>
        <v>25</v>
      </c>
      <c r="W170" t="str">
        <f t="shared" ref="W170" si="181">E170</f>
        <v>water</v>
      </c>
      <c r="X170" t="str">
        <f t="shared" si="157"/>
        <v>dragon</v>
      </c>
      <c r="Y170" t="s">
        <v>11</v>
      </c>
      <c r="Z170" t="s">
        <v>14</v>
      </c>
      <c r="AB170" t="str">
        <f t="shared" si="136"/>
        <v/>
      </c>
      <c r="AC170" t="s">
        <v>1070</v>
      </c>
      <c r="AD170" t="str">
        <f>VLOOKUP(AC170,moves!A:B,2,FALSE)</f>
        <v>water</v>
      </c>
      <c r="AE170">
        <f>VLOOKUP(AC170,moves!A:D,4,FALSE)</f>
        <v>7</v>
      </c>
      <c r="AF170" t="str">
        <f>IF(VLOOKUP(AC170,moves!A:F,5,FALSE)=0, "", VLOOKUP(AC170,moves!A:F,5,FALSE))</f>
        <v>surge</v>
      </c>
      <c r="AG170" t="str">
        <f>VLOOKUP(AC170,moves!A:F,6,FALSE)</f>
        <v>Increase the Battle Fatigue of the user by 2.</v>
      </c>
      <c r="AH170">
        <v>0</v>
      </c>
      <c r="AI170">
        <v>1</v>
      </c>
      <c r="AJ170" t="str" cm="1">
        <f t="array" ref="AJ170">_xlfn.IFS(AH170=1, "starter", AI170=1, "legendary",V170&lt; 13, "weak",V170&lt; 17, "moderate", TRUE, "strong")</f>
        <v>legendary</v>
      </c>
      <c r="AL170">
        <v>1</v>
      </c>
      <c r="AM170">
        <v>0</v>
      </c>
      <c r="AN170">
        <v>2</v>
      </c>
    </row>
    <row r="171" spans="1:40" x14ac:dyDescent="0.25">
      <c r="A171">
        <v>485</v>
      </c>
      <c r="B171" t="s">
        <v>238</v>
      </c>
      <c r="C171" t="str">
        <f>B171</f>
        <v>Heatran</v>
      </c>
      <c r="E171" t="s">
        <v>4</v>
      </c>
      <c r="F171" t="s">
        <v>39</v>
      </c>
      <c r="G171">
        <v>91</v>
      </c>
      <c r="H171">
        <v>90</v>
      </c>
      <c r="I171">
        <v>106</v>
      </c>
      <c r="J171">
        <v>130</v>
      </c>
      <c r="K171">
        <v>106</v>
      </c>
      <c r="L171">
        <v>77</v>
      </c>
      <c r="M171" t="s">
        <v>454</v>
      </c>
      <c r="N171" t="s">
        <v>304</v>
      </c>
      <c r="O171" t="s">
        <v>302</v>
      </c>
      <c r="P171">
        <f t="shared" si="146"/>
        <v>10.48</v>
      </c>
      <c r="Q171">
        <f t="shared" si="147"/>
        <v>9.9999999999999982</v>
      </c>
      <c r="R171">
        <v>0</v>
      </c>
      <c r="S171">
        <v>0</v>
      </c>
      <c r="T171">
        <f t="shared" si="148"/>
        <v>10</v>
      </c>
      <c r="U171">
        <f t="shared" si="149"/>
        <v>10</v>
      </c>
      <c r="V171">
        <f t="shared" si="150"/>
        <v>20</v>
      </c>
      <c r="W171" t="str">
        <f t="shared" si="145"/>
        <v>fire</v>
      </c>
      <c r="X171" t="str">
        <f t="shared" si="157"/>
        <v>steel</v>
      </c>
      <c r="Y171" t="s">
        <v>13</v>
      </c>
      <c r="Z171" t="s">
        <v>33</v>
      </c>
      <c r="AB171" t="str">
        <f t="shared" si="136"/>
        <v/>
      </c>
      <c r="AC171" t="s">
        <v>535</v>
      </c>
      <c r="AD171" t="str">
        <f>VLOOKUP(AC171,moves!A:B,2,FALSE)</f>
        <v>fire</v>
      </c>
      <c r="AE171">
        <f>VLOOKUP(AC171,moves!A:D,4,FALSE)</f>
        <v>5</v>
      </c>
      <c r="AF171" t="str">
        <f>IF(VLOOKUP(AC171,moves!A:F,5,FALSE)=0, "", VLOOKUP(AC171,moves!A:F,5,FALSE))</f>
        <v>surge</v>
      </c>
      <c r="AG171" t="str">
        <f>VLOOKUP(AC171,moves!A:F,6,FALSE)</f>
        <v>Inflict both the [burned] and [paralysed] statuses on the target.</v>
      </c>
      <c r="AH171">
        <v>0</v>
      </c>
      <c r="AI171">
        <v>1</v>
      </c>
      <c r="AJ171" t="str" cm="1">
        <f t="array" ref="AJ171">_xlfn.IFS(AH171=1, "starter", AI171=1, "legendary",V171&lt; 13, "weak",V171&lt; 17, "moderate", TRUE, "strong")</f>
        <v>legendary</v>
      </c>
      <c r="AL171">
        <v>1</v>
      </c>
      <c r="AM171">
        <v>0</v>
      </c>
    </row>
    <row r="172" spans="1:40" x14ac:dyDescent="0.25">
      <c r="A172">
        <v>486</v>
      </c>
      <c r="B172" t="s">
        <v>239</v>
      </c>
      <c r="C172" t="str">
        <f>B172</f>
        <v>Regigigas</v>
      </c>
      <c r="D172" t="s">
        <v>1389</v>
      </c>
      <c r="E172" t="s">
        <v>8</v>
      </c>
      <c r="G172">
        <v>110</v>
      </c>
      <c r="H172">
        <v>160</v>
      </c>
      <c r="I172">
        <v>110</v>
      </c>
      <c r="J172">
        <v>80</v>
      </c>
      <c r="K172">
        <v>110</v>
      </c>
      <c r="L172">
        <f>100/2</f>
        <v>50</v>
      </c>
      <c r="M172" t="s">
        <v>453</v>
      </c>
      <c r="O172" t="s">
        <v>777</v>
      </c>
      <c r="P172">
        <f t="shared" si="146"/>
        <v>10.8</v>
      </c>
      <c r="Q172">
        <f t="shared" si="147"/>
        <v>11</v>
      </c>
      <c r="S172">
        <v>1</v>
      </c>
      <c r="T172">
        <f t="shared" si="148"/>
        <v>11</v>
      </c>
      <c r="U172">
        <f t="shared" si="149"/>
        <v>12</v>
      </c>
      <c r="V172">
        <f t="shared" si="150"/>
        <v>23</v>
      </c>
      <c r="W172" t="str">
        <f t="shared" si="145"/>
        <v>normal</v>
      </c>
      <c r="X172" t="s">
        <v>13</v>
      </c>
      <c r="Y172" t="s">
        <v>22</v>
      </c>
      <c r="Z172" t="s">
        <v>26</v>
      </c>
      <c r="AB172" t="str">
        <f t="shared" si="136"/>
        <v/>
      </c>
      <c r="AC172" t="s">
        <v>1179</v>
      </c>
      <c r="AD172" t="str">
        <f>VLOOKUP(AC172,moves!A:B,2,FALSE)</f>
        <v>normal</v>
      </c>
      <c r="AE172">
        <f>VLOOKUP(AC172,moves!A:D,4,FALSE)</f>
        <v>2</v>
      </c>
      <c r="AF172" t="str">
        <f>IF(VLOOKUP(AC172,moves!A:F,5,FALSE)=0, "", VLOOKUP(AC172,moves!A:F,5,FALSE))</f>
        <v>boost</v>
      </c>
      <c r="AG172" t="str">
        <f>VLOOKUP(AC172,moves!A:F,6,FALSE)</f>
        <v>Apply the effects of all Protocol Moves in your party to the user, Attack Strength is increased to 6.</v>
      </c>
      <c r="AH172">
        <v>0</v>
      </c>
      <c r="AI172">
        <v>1</v>
      </c>
      <c r="AJ172" t="str" cm="1">
        <f t="array" ref="AJ172">_xlfn.IFS(AH172=1, "starter", AI172=1, "legendary",V172&lt; 13, "weak",V172&lt; 17, "moderate", TRUE, "strong")</f>
        <v>legendary</v>
      </c>
      <c r="AL172">
        <v>1</v>
      </c>
      <c r="AM172">
        <v>0</v>
      </c>
    </row>
    <row r="173" spans="1:40" x14ac:dyDescent="0.25">
      <c r="A173">
        <v>487</v>
      </c>
      <c r="B173" t="s">
        <v>240</v>
      </c>
      <c r="C173" t="str">
        <f>B173</f>
        <v>Giratina</v>
      </c>
      <c r="D173" t="s">
        <v>1382</v>
      </c>
      <c r="E173" t="s">
        <v>42</v>
      </c>
      <c r="F173" t="s">
        <v>67</v>
      </c>
      <c r="G173">
        <v>150</v>
      </c>
      <c r="H173">
        <v>100</v>
      </c>
      <c r="I173">
        <v>120</v>
      </c>
      <c r="J173">
        <v>100</v>
      </c>
      <c r="K173">
        <v>120</v>
      </c>
      <c r="L173">
        <v>90</v>
      </c>
      <c r="M173" t="s">
        <v>452</v>
      </c>
      <c r="O173" t="s">
        <v>549</v>
      </c>
      <c r="P173">
        <f t="shared" si="146"/>
        <v>9.6</v>
      </c>
      <c r="Q173">
        <f t="shared" si="147"/>
        <v>13.2</v>
      </c>
      <c r="R173">
        <v>2</v>
      </c>
      <c r="S173">
        <v>-1</v>
      </c>
      <c r="T173">
        <f t="shared" si="148"/>
        <v>12</v>
      </c>
      <c r="U173">
        <f t="shared" si="149"/>
        <v>12</v>
      </c>
      <c r="V173">
        <f t="shared" si="150"/>
        <v>24</v>
      </c>
      <c r="W173" t="str">
        <f t="shared" si="145"/>
        <v>ghost</v>
      </c>
      <c r="X173" t="str">
        <f>IF(F173 = 0, "", F173)</f>
        <v>dragon</v>
      </c>
      <c r="Y173" t="s">
        <v>22</v>
      </c>
      <c r="Z173" t="s">
        <v>11</v>
      </c>
      <c r="AB173" t="str">
        <f t="shared" si="136"/>
        <v/>
      </c>
      <c r="AC173" t="s">
        <v>521</v>
      </c>
      <c r="AD173" t="str">
        <f>VLOOKUP(AC173,moves!A:B,2,FALSE)</f>
        <v>ghost</v>
      </c>
      <c r="AE173">
        <f>VLOOKUP(AC173,moves!A:D,4,FALSE)</f>
        <v>5</v>
      </c>
      <c r="AF173" t="str">
        <f>IF(VLOOKUP(AC173,moves!A:F,5,FALSE)=0, "", VLOOKUP(AC173,moves!A:F,5,FALSE))</f>
        <v/>
      </c>
      <c r="AG173" t="str">
        <f>VLOOKUP(AC173,moves!A:F,6,FALSE)</f>
        <v>If the target has 2 or less Health remaining after this attack, the target faints.</v>
      </c>
      <c r="AH173">
        <v>0</v>
      </c>
      <c r="AI173">
        <v>1</v>
      </c>
      <c r="AJ173" t="str" cm="1">
        <f t="array" ref="AJ173">_xlfn.IFS(AH173=1, "starter", AI173=1, "legendary",V173&lt; 13, "weak",V173&lt; 17, "moderate", TRUE, "strong")</f>
        <v>legendary</v>
      </c>
      <c r="AL173">
        <v>1</v>
      </c>
      <c r="AM173">
        <v>0</v>
      </c>
      <c r="AN173">
        <v>1</v>
      </c>
    </row>
    <row r="174" spans="1:40" x14ac:dyDescent="0.25">
      <c r="A174" t="s">
        <v>940</v>
      </c>
      <c r="B174" t="s">
        <v>240</v>
      </c>
      <c r="C174" t="s">
        <v>944</v>
      </c>
      <c r="D174" t="s">
        <v>1188</v>
      </c>
      <c r="E174" t="s">
        <v>42</v>
      </c>
      <c r="F174" t="s">
        <v>67</v>
      </c>
      <c r="G174">
        <v>150</v>
      </c>
      <c r="H174">
        <v>100</v>
      </c>
      <c r="I174">
        <v>120</v>
      </c>
      <c r="J174">
        <v>100</v>
      </c>
      <c r="K174">
        <v>120</v>
      </c>
      <c r="L174">
        <v>90</v>
      </c>
      <c r="M174" t="s">
        <v>452</v>
      </c>
      <c r="O174" t="s">
        <v>549</v>
      </c>
      <c r="P174">
        <f t="shared" ref="P174" si="182">(0.4*L174 + 0.5*MAX(H174,J174) + 0.1*MIN(H174,J174)) / 10</f>
        <v>9.6</v>
      </c>
      <c r="Q174">
        <f t="shared" ref="Q174" si="183">(0.4*G174 + 0.3*I174 + 0.3*K174) / 10</f>
        <v>13.2</v>
      </c>
      <c r="R174">
        <v>1</v>
      </c>
      <c r="S174">
        <v>-2</v>
      </c>
      <c r="T174">
        <f t="shared" ref="T174" si="184">ROUND(P174,0)+R174</f>
        <v>11</v>
      </c>
      <c r="U174">
        <f t="shared" ref="U174" si="185">ROUND(Q174,0)+S174</f>
        <v>11</v>
      </c>
      <c r="V174">
        <f t="shared" ref="V174" si="186">SUM(ROUND(T174,0),ROUND(U174,0))</f>
        <v>22</v>
      </c>
      <c r="W174" t="str">
        <f t="shared" ref="W174" si="187">E174</f>
        <v>ghost</v>
      </c>
      <c r="X174" t="str">
        <f>IF(F174 = 0, "", F174)</f>
        <v>dragon</v>
      </c>
      <c r="Y174" t="s">
        <v>22</v>
      </c>
      <c r="Z174" t="s">
        <v>11</v>
      </c>
      <c r="AB174" t="str">
        <f t="shared" si="136"/>
        <v/>
      </c>
      <c r="AC174" t="s">
        <v>1071</v>
      </c>
      <c r="AD174" t="str">
        <f>VLOOKUP(AC174,moves!A:B,2,FALSE)</f>
        <v>dragon</v>
      </c>
      <c r="AE174">
        <f>VLOOKUP(AC174,moves!A:D,4,FALSE)</f>
        <v>6</v>
      </c>
      <c r="AF174" t="str">
        <f>IF(VLOOKUP(AC174,moves!A:F,5,FALSE)=0, "", VLOOKUP(AC174,moves!A:F,5,FALSE))</f>
        <v/>
      </c>
      <c r="AG174" t="str">
        <f>VLOOKUP(AC174,moves!A:F,6,FALSE)</f>
        <v>If the target faints, any remaining damage from this attack is applied to the next Pokémon switched in.</v>
      </c>
      <c r="AH174">
        <v>0</v>
      </c>
      <c r="AI174">
        <v>1</v>
      </c>
      <c r="AJ174" t="str" cm="1">
        <f t="array" ref="AJ174">_xlfn.IFS(AH174=1, "starter", AI174=1, "legendary",V174&lt; 13, "weak",V174&lt; 17, "moderate", TRUE, "strong")</f>
        <v>legendary</v>
      </c>
      <c r="AL174">
        <v>1</v>
      </c>
      <c r="AM174">
        <v>0</v>
      </c>
      <c r="AN174">
        <v>2</v>
      </c>
    </row>
    <row r="175" spans="1:40" x14ac:dyDescent="0.25">
      <c r="A175">
        <v>488</v>
      </c>
      <c r="B175" t="s">
        <v>241</v>
      </c>
      <c r="C175" t="str">
        <f>B175</f>
        <v>Cresselia</v>
      </c>
      <c r="E175" t="s">
        <v>26</v>
      </c>
      <c r="G175">
        <v>120</v>
      </c>
      <c r="H175">
        <v>70</v>
      </c>
      <c r="I175">
        <v>120</v>
      </c>
      <c r="J175">
        <v>75</v>
      </c>
      <c r="K175">
        <v>130</v>
      </c>
      <c r="L175">
        <v>85</v>
      </c>
      <c r="M175" t="s">
        <v>451</v>
      </c>
      <c r="N175" t="s">
        <v>298</v>
      </c>
      <c r="O175" t="s">
        <v>299</v>
      </c>
      <c r="P175">
        <f t="shared" si="146"/>
        <v>7.85</v>
      </c>
      <c r="Q175">
        <f t="shared" si="147"/>
        <v>12.3</v>
      </c>
      <c r="R175">
        <v>0</v>
      </c>
      <c r="S175">
        <v>0</v>
      </c>
      <c r="T175">
        <f t="shared" si="148"/>
        <v>8</v>
      </c>
      <c r="U175">
        <f t="shared" si="149"/>
        <v>12</v>
      </c>
      <c r="V175">
        <f t="shared" si="150"/>
        <v>20</v>
      </c>
      <c r="W175" t="str">
        <f t="shared" si="145"/>
        <v>psychic</v>
      </c>
      <c r="X175" t="s">
        <v>16</v>
      </c>
      <c r="Y175" t="s">
        <v>14</v>
      </c>
      <c r="Z175" t="s">
        <v>2</v>
      </c>
      <c r="AB175" t="str">
        <f t="shared" si="136"/>
        <v/>
      </c>
      <c r="AC175" t="s">
        <v>912</v>
      </c>
      <c r="AD175" t="str">
        <f>VLOOKUP(AC175,moves!A:B,2,FALSE)</f>
        <v>psychic</v>
      </c>
      <c r="AE175">
        <f>VLOOKUP(AC175,moves!A:D,4,FALSE)</f>
        <v>2</v>
      </c>
      <c r="AF175" t="str">
        <f>IF(VLOOKUP(AC175,moves!A:F,5,FALSE)=0, "", VLOOKUP(AC175,moves!A:F,5,FALSE))</f>
        <v>agile</v>
      </c>
      <c r="AG175" t="str">
        <f>VLOOKUP(AC175,moves!A:F,6,FALSE)</f>
        <v>When the user next attacks, heal damage equal to the damage dealt.</v>
      </c>
      <c r="AH175">
        <v>0</v>
      </c>
      <c r="AI175">
        <v>1</v>
      </c>
      <c r="AJ175" t="str" cm="1">
        <f t="array" ref="AJ175">_xlfn.IFS(AH175=1, "starter", AI175=1, "legendary",V175&lt; 13, "weak",V175&lt; 17, "moderate", TRUE, "strong")</f>
        <v>legendary</v>
      </c>
      <c r="AL175">
        <v>1</v>
      </c>
      <c r="AM175">
        <v>0</v>
      </c>
    </row>
    <row r="176" spans="1:40" x14ac:dyDescent="0.25">
      <c r="A176">
        <v>489</v>
      </c>
      <c r="B176" t="s">
        <v>242</v>
      </c>
      <c r="C176" t="str">
        <f>B176</f>
        <v>Phione</v>
      </c>
      <c r="E176" t="s">
        <v>6</v>
      </c>
      <c r="G176">
        <v>80</v>
      </c>
      <c r="H176">
        <v>80</v>
      </c>
      <c r="I176">
        <v>80</v>
      </c>
      <c r="J176">
        <v>80</v>
      </c>
      <c r="K176">
        <v>80</v>
      </c>
      <c r="L176">
        <v>80</v>
      </c>
      <c r="M176" t="s">
        <v>450</v>
      </c>
      <c r="N176" t="s">
        <v>303</v>
      </c>
      <c r="O176" t="s">
        <v>302</v>
      </c>
      <c r="P176">
        <f t="shared" si="146"/>
        <v>8</v>
      </c>
      <c r="Q176">
        <f t="shared" si="147"/>
        <v>8</v>
      </c>
      <c r="R176">
        <v>0</v>
      </c>
      <c r="S176">
        <v>0</v>
      </c>
      <c r="T176">
        <f t="shared" si="148"/>
        <v>8</v>
      </c>
      <c r="U176">
        <f t="shared" si="149"/>
        <v>8</v>
      </c>
      <c r="V176">
        <f t="shared" si="150"/>
        <v>16</v>
      </c>
      <c r="W176" t="str">
        <f t="shared" si="145"/>
        <v>water</v>
      </c>
      <c r="X176" t="s">
        <v>8</v>
      </c>
      <c r="Y176" t="s">
        <v>16</v>
      </c>
      <c r="Z176" t="s">
        <v>14</v>
      </c>
      <c r="AB176" t="str">
        <f t="shared" si="136"/>
        <v/>
      </c>
      <c r="AC176" t="s">
        <v>576</v>
      </c>
      <c r="AD176" t="str">
        <f>VLOOKUP(AC176,moves!A:B,2,FALSE)</f>
        <v>water</v>
      </c>
      <c r="AE176">
        <f>VLOOKUP(AC176,moves!A:D,4,FALSE)</f>
        <v>4</v>
      </c>
      <c r="AF176" t="str">
        <f>IF(VLOOKUP(AC176,moves!A:F,5,FALSE)=0, "", VLOOKUP(AC176,moves!A:F,5,FALSE))</f>
        <v>dynamic</v>
      </c>
      <c r="AG176" t="str">
        <f>VLOOKUP(AC176,moves!A:F,6,FALSE)</f>
        <v>For each other Surf Move in your party: Attack Strength is increased by 1.</v>
      </c>
      <c r="AH176">
        <v>0</v>
      </c>
      <c r="AI176">
        <v>0</v>
      </c>
      <c r="AJ176" t="str" cm="1">
        <f t="array" ref="AJ176">_xlfn.IFS(AH176=1, "starter", AI176=1, "legendary",V176&lt; 13, "weak",V176&lt; 17, "moderate", TRUE, "strong")</f>
        <v>moderate</v>
      </c>
      <c r="AL176">
        <v>1</v>
      </c>
      <c r="AM176">
        <v>0</v>
      </c>
    </row>
    <row r="177" spans="1:40" x14ac:dyDescent="0.25">
      <c r="A177">
        <v>490</v>
      </c>
      <c r="B177" t="s">
        <v>243</v>
      </c>
      <c r="C177" t="str">
        <f>B177</f>
        <v>Manaphy</v>
      </c>
      <c r="E177" t="s">
        <v>6</v>
      </c>
      <c r="G177">
        <v>100</v>
      </c>
      <c r="H177">
        <v>100</v>
      </c>
      <c r="I177">
        <v>100</v>
      </c>
      <c r="J177">
        <v>100</v>
      </c>
      <c r="K177">
        <v>100</v>
      </c>
      <c r="L177">
        <v>100</v>
      </c>
      <c r="M177" t="s">
        <v>449</v>
      </c>
      <c r="N177" t="s">
        <v>303</v>
      </c>
      <c r="O177" t="s">
        <v>300</v>
      </c>
      <c r="P177">
        <f t="shared" si="146"/>
        <v>10</v>
      </c>
      <c r="Q177">
        <f t="shared" si="147"/>
        <v>10</v>
      </c>
      <c r="R177">
        <v>0</v>
      </c>
      <c r="S177">
        <v>0</v>
      </c>
      <c r="T177">
        <f t="shared" si="148"/>
        <v>10</v>
      </c>
      <c r="U177">
        <f t="shared" si="149"/>
        <v>10</v>
      </c>
      <c r="V177">
        <f t="shared" si="150"/>
        <v>20</v>
      </c>
      <c r="W177" t="str">
        <f t="shared" si="145"/>
        <v>water</v>
      </c>
      <c r="X177" t="s">
        <v>26</v>
      </c>
      <c r="Y177" t="s">
        <v>16</v>
      </c>
      <c r="Z177" t="s">
        <v>14</v>
      </c>
      <c r="AB177" t="str">
        <f t="shared" si="136"/>
        <v/>
      </c>
      <c r="AC177" t="s">
        <v>1488</v>
      </c>
      <c r="AD177" t="str">
        <f>VLOOKUP(AC177,moves!A:B,2,FALSE)</f>
        <v>psychic</v>
      </c>
      <c r="AE177">
        <f>VLOOKUP(AC177,moves!A:D,4,FALSE)</f>
        <v>4</v>
      </c>
      <c r="AF177" t="str">
        <f>IF(VLOOKUP(AC177,moves!A:F,5,FALSE)=0, "", VLOOKUP(AC177,moves!A:F,5,FALSE))</f>
        <v>switch</v>
      </c>
      <c r="AG177" t="str">
        <f>VLOOKUP(AC177,moves!A:F,6,FALSE)</f>
        <v>Heal all status effects from the user and from the Pokémon you switch with.</v>
      </c>
      <c r="AH177">
        <v>0</v>
      </c>
      <c r="AI177">
        <v>1</v>
      </c>
      <c r="AJ177" t="str" cm="1">
        <f t="array" ref="AJ177">_xlfn.IFS(AH177=1, "starter", AI177=1, "legendary",V177&lt; 13, "weak",V177&lt; 17, "moderate", TRUE, "strong")</f>
        <v>legendary</v>
      </c>
      <c r="AL177">
        <v>1</v>
      </c>
      <c r="AM177">
        <v>0</v>
      </c>
    </row>
    <row r="178" spans="1:40" x14ac:dyDescent="0.25">
      <c r="A178">
        <v>491</v>
      </c>
      <c r="B178" t="s">
        <v>244</v>
      </c>
      <c r="C178" t="str">
        <f>B178</f>
        <v>Darkrai</v>
      </c>
      <c r="E178" t="s">
        <v>9</v>
      </c>
      <c r="G178">
        <v>70</v>
      </c>
      <c r="H178">
        <v>90</v>
      </c>
      <c r="I178">
        <v>90</v>
      </c>
      <c r="J178">
        <v>135</v>
      </c>
      <c r="K178">
        <v>90</v>
      </c>
      <c r="L178">
        <v>125</v>
      </c>
      <c r="M178" t="s">
        <v>448</v>
      </c>
      <c r="N178" t="s">
        <v>298</v>
      </c>
      <c r="O178" t="s">
        <v>299</v>
      </c>
      <c r="P178">
        <f t="shared" si="146"/>
        <v>12.65</v>
      </c>
      <c r="Q178">
        <f t="shared" si="147"/>
        <v>8.1999999999999993</v>
      </c>
      <c r="R178">
        <v>-1</v>
      </c>
      <c r="S178">
        <v>0</v>
      </c>
      <c r="T178">
        <f t="shared" si="148"/>
        <v>12</v>
      </c>
      <c r="U178">
        <f t="shared" si="149"/>
        <v>8</v>
      </c>
      <c r="V178">
        <f t="shared" si="150"/>
        <v>20</v>
      </c>
      <c r="W178" t="str">
        <f t="shared" si="145"/>
        <v>dark</v>
      </c>
      <c r="X178" t="s">
        <v>26</v>
      </c>
      <c r="Y178" t="s">
        <v>42</v>
      </c>
      <c r="Z178" t="s">
        <v>14</v>
      </c>
      <c r="AB178" t="str">
        <f t="shared" si="136"/>
        <v/>
      </c>
      <c r="AC178" t="s">
        <v>505</v>
      </c>
      <c r="AD178" t="str">
        <f>VLOOKUP(AC178,moves!A:B,2,FALSE)</f>
        <v>dark</v>
      </c>
      <c r="AE178">
        <f>VLOOKUP(AC178,moves!A:D,4,FALSE)</f>
        <v>2</v>
      </c>
      <c r="AF178" t="str">
        <f>IF(VLOOKUP(AC178,moves!A:F,5,FALSE)=0, "", VLOOKUP(AC178,moves!A:F,5,FALSE))</f>
        <v>agile</v>
      </c>
      <c r="AG178" t="str">
        <f>VLOOKUP(AC178,moves!A:F,6,FALSE)</f>
        <v>Inflict the [drowsy] status on the target and all Pokémon in the target party.</v>
      </c>
      <c r="AH178">
        <v>0</v>
      </c>
      <c r="AI178">
        <v>1</v>
      </c>
      <c r="AJ178" t="str" cm="1">
        <f t="array" ref="AJ178">_xlfn.IFS(AH178=1, "starter", AI178=1, "legendary",V178&lt; 13, "weak",V178&lt; 17, "moderate", TRUE, "strong")</f>
        <v>legendary</v>
      </c>
      <c r="AL178">
        <v>1</v>
      </c>
      <c r="AM178">
        <v>0</v>
      </c>
    </row>
    <row r="179" spans="1:40" x14ac:dyDescent="0.25">
      <c r="A179">
        <v>492</v>
      </c>
      <c r="B179" t="s">
        <v>245</v>
      </c>
      <c r="C179" t="str">
        <f>B179</f>
        <v>Shaymin</v>
      </c>
      <c r="E179" t="s">
        <v>2</v>
      </c>
      <c r="G179">
        <v>100</v>
      </c>
      <c r="H179">
        <v>100</v>
      </c>
      <c r="I179">
        <v>100</v>
      </c>
      <c r="J179">
        <v>100</v>
      </c>
      <c r="K179">
        <v>100</v>
      </c>
      <c r="L179">
        <v>100</v>
      </c>
      <c r="M179" t="s">
        <v>447</v>
      </c>
      <c r="N179" t="s">
        <v>301</v>
      </c>
      <c r="O179" t="s">
        <v>302</v>
      </c>
      <c r="P179">
        <f t="shared" si="146"/>
        <v>10</v>
      </c>
      <c r="Q179">
        <f t="shared" si="147"/>
        <v>10</v>
      </c>
      <c r="R179">
        <v>1</v>
      </c>
      <c r="S179">
        <v>-1</v>
      </c>
      <c r="T179">
        <f t="shared" si="148"/>
        <v>11</v>
      </c>
      <c r="U179">
        <f t="shared" si="149"/>
        <v>9</v>
      </c>
      <c r="V179">
        <f t="shared" si="150"/>
        <v>20</v>
      </c>
      <c r="W179" t="str">
        <f t="shared" si="145"/>
        <v>grass</v>
      </c>
      <c r="X179" t="s">
        <v>8</v>
      </c>
      <c r="Y179" t="s">
        <v>16</v>
      </c>
      <c r="Z179" t="s">
        <v>26</v>
      </c>
      <c r="AB179" t="str">
        <f t="shared" si="136"/>
        <v/>
      </c>
      <c r="AC179" t="s">
        <v>536</v>
      </c>
      <c r="AD179" t="str">
        <f>VLOOKUP(AC179,moves!A:B,2,FALSE)</f>
        <v>grass</v>
      </c>
      <c r="AE179">
        <f>VLOOKUP(AC179,moves!A:D,4,FALSE)</f>
        <v>4</v>
      </c>
      <c r="AF179" t="str">
        <f>IF(VLOOKUP(AC179,moves!A:F,5,FALSE)=0, "", VLOOKUP(AC179,moves!A:F,5,FALSE))</f>
        <v>transform</v>
      </c>
      <c r="AG179" t="str">
        <f>VLOOKUP(AC179,moves!A:F,6,FALSE)</f>
        <v>When the target is next attacked, add 1 [critical_hit] to the roll.</v>
      </c>
      <c r="AH179">
        <v>0</v>
      </c>
      <c r="AI179">
        <v>1</v>
      </c>
      <c r="AJ179" t="str" cm="1">
        <f t="array" ref="AJ179">_xlfn.IFS(AH179=1, "starter", AI179=1, "legendary",V179&lt; 13, "weak",V179&lt; 17, "moderate", TRUE, "strong")</f>
        <v>legendary</v>
      </c>
      <c r="AL179">
        <v>1</v>
      </c>
      <c r="AM179">
        <v>0</v>
      </c>
      <c r="AN179">
        <v>1</v>
      </c>
    </row>
    <row r="180" spans="1:40" x14ac:dyDescent="0.25">
      <c r="A180" t="s">
        <v>952</v>
      </c>
      <c r="B180" t="s">
        <v>245</v>
      </c>
      <c r="C180" t="s">
        <v>951</v>
      </c>
      <c r="D180" t="s">
        <v>999</v>
      </c>
      <c r="E180" t="s">
        <v>2</v>
      </c>
      <c r="F180" t="s">
        <v>5</v>
      </c>
      <c r="G180">
        <v>100</v>
      </c>
      <c r="H180">
        <v>103</v>
      </c>
      <c r="I180">
        <v>75</v>
      </c>
      <c r="J180">
        <v>120</v>
      </c>
      <c r="K180">
        <v>75</v>
      </c>
      <c r="L180">
        <v>127</v>
      </c>
      <c r="M180" t="s">
        <v>447</v>
      </c>
      <c r="N180" t="s">
        <v>301</v>
      </c>
      <c r="O180" t="s">
        <v>302</v>
      </c>
      <c r="P180">
        <f t="shared" ref="P180" si="188">(0.4*L180 + 0.5*MAX(H180,J180) + 0.1*MIN(H180,J180)) / 10</f>
        <v>12.110000000000001</v>
      </c>
      <c r="Q180">
        <f t="shared" ref="Q180" si="189">(0.4*G180 + 0.3*I180 + 0.3*K180) / 10</f>
        <v>8.5</v>
      </c>
      <c r="R180">
        <v>-1</v>
      </c>
      <c r="S180">
        <v>0</v>
      </c>
      <c r="T180">
        <f t="shared" ref="T180" si="190">ROUND(P180,0)+R180</f>
        <v>11</v>
      </c>
      <c r="U180">
        <f t="shared" ref="U180" si="191">ROUND(Q180,0)+S180</f>
        <v>9</v>
      </c>
      <c r="V180">
        <f t="shared" ref="V180" si="192">SUM(ROUND(T180,0),ROUND(U180,0))</f>
        <v>20</v>
      </c>
      <c r="W180" t="str">
        <f t="shared" ref="W180" si="193">E180</f>
        <v>grass</v>
      </c>
      <c r="X180" t="str">
        <f>IF(F180 = 0, "", F180)</f>
        <v>flying</v>
      </c>
      <c r="Y180" t="s">
        <v>16</v>
      </c>
      <c r="Z180" t="s">
        <v>26</v>
      </c>
      <c r="AB180" t="str">
        <f t="shared" si="136"/>
        <v/>
      </c>
      <c r="AC180" t="s">
        <v>1230</v>
      </c>
      <c r="AD180" t="str">
        <f>VLOOKUP(AC180,moves!A:B,2,FALSE)</f>
        <v>flying</v>
      </c>
      <c r="AE180">
        <f>VLOOKUP(AC180,moves!A:D,4,FALSE)</f>
        <v>5</v>
      </c>
      <c r="AF180" t="str">
        <f>IF(VLOOKUP(AC180,moves!A:F,5,FALSE)=0, "", VLOOKUP(AC180,moves!A:F,5,FALSE))</f>
        <v/>
      </c>
      <c r="AG180" t="str">
        <f>VLOOKUP(AC180,moves!A:F,6,FALSE)</f>
        <v>[critical_hit]s deal +1 damage.</v>
      </c>
      <c r="AH180">
        <v>0</v>
      </c>
      <c r="AI180">
        <v>1</v>
      </c>
      <c r="AJ180" t="str" cm="1">
        <f t="array" ref="AJ180">_xlfn.IFS(AH180=1, "starter", AI180=1, "legendary",V180&lt; 13, "weak",V180&lt; 17, "moderate", TRUE, "strong")</f>
        <v>legendary</v>
      </c>
      <c r="AL180">
        <v>1</v>
      </c>
      <c r="AM180">
        <v>0</v>
      </c>
      <c r="AN180">
        <v>2</v>
      </c>
    </row>
    <row r="181" spans="1:40" x14ac:dyDescent="0.25">
      <c r="A181">
        <v>228</v>
      </c>
      <c r="B181" t="s">
        <v>99</v>
      </c>
      <c r="C181" t="str">
        <f t="shared" ref="C181:C212" si="194">B181</f>
        <v>Houndour</v>
      </c>
      <c r="E181" t="s">
        <v>9</v>
      </c>
      <c r="F181" t="s">
        <v>4</v>
      </c>
      <c r="G181">
        <v>45</v>
      </c>
      <c r="H181">
        <v>60</v>
      </c>
      <c r="I181">
        <v>30</v>
      </c>
      <c r="J181">
        <v>80</v>
      </c>
      <c r="K181">
        <v>50</v>
      </c>
      <c r="L181">
        <v>65</v>
      </c>
      <c r="M181" t="s">
        <v>427</v>
      </c>
      <c r="N181" t="s">
        <v>301</v>
      </c>
      <c r="O181" t="s">
        <v>302</v>
      </c>
      <c r="P181">
        <f t="shared" si="146"/>
        <v>7.2</v>
      </c>
      <c r="Q181">
        <f t="shared" si="147"/>
        <v>4.2</v>
      </c>
      <c r="R181">
        <v>0</v>
      </c>
      <c r="S181">
        <v>0</v>
      </c>
      <c r="T181">
        <f t="shared" si="148"/>
        <v>7</v>
      </c>
      <c r="U181">
        <f t="shared" si="149"/>
        <v>4</v>
      </c>
      <c r="V181">
        <f t="shared" si="150"/>
        <v>11</v>
      </c>
      <c r="W181" t="str">
        <f t="shared" si="145"/>
        <v>dark</v>
      </c>
      <c r="X181" t="str">
        <f>IF(F181 = 0, "", F181)</f>
        <v>fire</v>
      </c>
      <c r="Y181" t="s">
        <v>8</v>
      </c>
      <c r="Z181" t="s">
        <v>3</v>
      </c>
      <c r="AA181" t="str">
        <f>B182</f>
        <v>Houndoom</v>
      </c>
      <c r="AB181">
        <f t="shared" si="136"/>
        <v>7</v>
      </c>
      <c r="AC181" t="s">
        <v>526</v>
      </c>
      <c r="AD181" t="str">
        <f>VLOOKUP(AC181,moves!A:B,2,FALSE)</f>
        <v>dark</v>
      </c>
      <c r="AE181">
        <f>VLOOKUP(AC181,moves!A:D,4,FALSE)</f>
        <v>3</v>
      </c>
      <c r="AF181" t="str">
        <f>IF(VLOOKUP(AC181,moves!A:F,5,FALSE)=0, "", VLOOKUP(AC181,moves!A:F,5,FALSE))</f>
        <v/>
      </c>
      <c r="AG181" t="str">
        <f>VLOOKUP(AC181,moves!A:F,6,FALSE)</f>
        <v>When the target is next attacked, add 1 [regular_hit] to the roll.</v>
      </c>
      <c r="AH181">
        <v>0</v>
      </c>
      <c r="AI181">
        <v>0</v>
      </c>
      <c r="AJ181" t="str" cm="1">
        <f t="array" ref="AJ181">_xlfn.IFS(AH181=1, "starter", AI181=1, "legendary",V181&lt; 13, "weak",V181&lt; 17, "moderate", TRUE, "strong")</f>
        <v>weak</v>
      </c>
      <c r="AL181">
        <v>1</v>
      </c>
      <c r="AM181">
        <v>0</v>
      </c>
    </row>
    <row r="182" spans="1:40" x14ac:dyDescent="0.25">
      <c r="A182">
        <v>229</v>
      </c>
      <c r="B182" t="s">
        <v>100</v>
      </c>
      <c r="C182" t="str">
        <f t="shared" si="194"/>
        <v>Houndoom</v>
      </c>
      <c r="E182" t="s">
        <v>9</v>
      </c>
      <c r="F182" t="s">
        <v>4</v>
      </c>
      <c r="G182">
        <v>75</v>
      </c>
      <c r="H182">
        <v>90</v>
      </c>
      <c r="I182">
        <v>50</v>
      </c>
      <c r="J182">
        <v>110</v>
      </c>
      <c r="K182">
        <v>80</v>
      </c>
      <c r="L182">
        <v>95</v>
      </c>
      <c r="M182" t="s">
        <v>427</v>
      </c>
      <c r="N182" t="s">
        <v>301</v>
      </c>
      <c r="O182" t="s">
        <v>302</v>
      </c>
      <c r="P182">
        <f t="shared" si="146"/>
        <v>10.199999999999999</v>
      </c>
      <c r="Q182">
        <f t="shared" si="147"/>
        <v>6.9</v>
      </c>
      <c r="R182">
        <v>0</v>
      </c>
      <c r="S182">
        <v>0</v>
      </c>
      <c r="T182">
        <f t="shared" si="148"/>
        <v>10</v>
      </c>
      <c r="U182">
        <f t="shared" si="149"/>
        <v>7</v>
      </c>
      <c r="V182">
        <f t="shared" si="150"/>
        <v>17</v>
      </c>
      <c r="W182" t="str">
        <f t="shared" si="145"/>
        <v>dark</v>
      </c>
      <c r="X182" t="str">
        <f>IF(F182 = 0, "", F182)</f>
        <v>fire</v>
      </c>
      <c r="Y182" t="s">
        <v>8</v>
      </c>
      <c r="Z182" t="s">
        <v>3</v>
      </c>
      <c r="AB182" t="str">
        <f t="shared" si="136"/>
        <v/>
      </c>
      <c r="AC182" t="s">
        <v>480</v>
      </c>
      <c r="AD182" t="str">
        <f>VLOOKUP(AC182,moves!A:B,2,FALSE)</f>
        <v>fire</v>
      </c>
      <c r="AE182">
        <f>VLOOKUP(AC182,moves!A:D,4,FALSE)</f>
        <v>4</v>
      </c>
      <c r="AF182" t="str">
        <f>IF(VLOOKUP(AC182,moves!A:F,5,FALSE)=0, "", VLOOKUP(AC182,moves!A:F,5,FALSE))</f>
        <v/>
      </c>
      <c r="AG182" t="str">
        <f>VLOOKUP(AC182,moves!A:F,6,FALSE)</f>
        <v>If any [status_symbol]s are rolled: Inflict the [burned] status on the target.</v>
      </c>
      <c r="AH182">
        <v>0</v>
      </c>
      <c r="AI182">
        <v>0</v>
      </c>
      <c r="AJ182" t="str" cm="1">
        <f t="array" ref="AJ182">_xlfn.IFS(AH182=1, "starter", AI182=1, "legendary",V182&lt; 13, "weak",V182&lt; 17, "moderate", TRUE, "strong")</f>
        <v>strong</v>
      </c>
      <c r="AL182">
        <v>2</v>
      </c>
      <c r="AM182">
        <v>0</v>
      </c>
    </row>
    <row r="183" spans="1:40" x14ac:dyDescent="0.25">
      <c r="A183">
        <v>359</v>
      </c>
      <c r="B183" t="s">
        <v>131</v>
      </c>
      <c r="C183" t="str">
        <f t="shared" si="194"/>
        <v>Absol</v>
      </c>
      <c r="E183" t="s">
        <v>9</v>
      </c>
      <c r="G183">
        <v>65</v>
      </c>
      <c r="H183">
        <v>130</v>
      </c>
      <c r="I183">
        <v>60</v>
      </c>
      <c r="J183">
        <v>75</v>
      </c>
      <c r="K183">
        <v>60</v>
      </c>
      <c r="L183">
        <v>75</v>
      </c>
      <c r="M183" t="s">
        <v>428</v>
      </c>
      <c r="N183" t="s">
        <v>304</v>
      </c>
      <c r="O183" t="s">
        <v>299</v>
      </c>
      <c r="P183">
        <f t="shared" si="146"/>
        <v>10.25</v>
      </c>
      <c r="Q183">
        <f t="shared" si="147"/>
        <v>6.2</v>
      </c>
      <c r="R183">
        <v>0</v>
      </c>
      <c r="S183">
        <v>0</v>
      </c>
      <c r="T183">
        <f t="shared" si="148"/>
        <v>10</v>
      </c>
      <c r="U183">
        <f t="shared" si="149"/>
        <v>6</v>
      </c>
      <c r="V183">
        <f t="shared" si="150"/>
        <v>16</v>
      </c>
      <c r="W183" t="str">
        <f t="shared" si="145"/>
        <v>dark</v>
      </c>
      <c r="X183" t="s">
        <v>22</v>
      </c>
      <c r="Y183" t="s">
        <v>26</v>
      </c>
      <c r="Z183" t="s">
        <v>8</v>
      </c>
      <c r="AB183" t="str">
        <f t="shared" si="136"/>
        <v/>
      </c>
      <c r="AC183" t="s">
        <v>520</v>
      </c>
      <c r="AD183" t="str">
        <f>VLOOKUP(AC183,moves!A:B,2,FALSE)</f>
        <v>dark</v>
      </c>
      <c r="AE183">
        <f>VLOOKUP(AC183,moves!A:D,4,FALSE)</f>
        <v>4</v>
      </c>
      <c r="AF183" t="str">
        <f>IF(VLOOKUP(AC183,moves!A:F,5,FALSE)=0, "", VLOOKUP(AC183,moves!A:F,5,FALSE))</f>
        <v/>
      </c>
      <c r="AG183" t="str">
        <f>VLOOKUP(AC183,moves!A:F,6,FALSE)</f>
        <v>[critical_hit]s deal +1 damage.</v>
      </c>
      <c r="AH183">
        <v>0</v>
      </c>
      <c r="AI183">
        <v>0</v>
      </c>
      <c r="AJ183" t="str" cm="1">
        <f t="array" ref="AJ183">_xlfn.IFS(AH183=1, "starter", AI183=1, "legendary",V183&lt; 13, "weak",V183&lt; 17, "moderate", TRUE, "strong")</f>
        <v>moderate</v>
      </c>
      <c r="AL183">
        <v>1</v>
      </c>
      <c r="AM183">
        <v>0</v>
      </c>
    </row>
    <row r="184" spans="1:40" x14ac:dyDescent="0.25">
      <c r="A184">
        <v>377</v>
      </c>
      <c r="B184" t="s">
        <v>140</v>
      </c>
      <c r="C184" t="str">
        <f t="shared" si="194"/>
        <v>Regirock</v>
      </c>
      <c r="E184" t="s">
        <v>33</v>
      </c>
      <c r="G184">
        <v>80</v>
      </c>
      <c r="H184">
        <v>100</v>
      </c>
      <c r="I184">
        <v>200</v>
      </c>
      <c r="J184">
        <v>50</v>
      </c>
      <c r="K184">
        <v>100</v>
      </c>
      <c r="L184">
        <v>50</v>
      </c>
      <c r="M184" t="s">
        <v>446</v>
      </c>
      <c r="N184" t="s">
        <v>304</v>
      </c>
      <c r="O184" t="s">
        <v>300</v>
      </c>
      <c r="P184">
        <f t="shared" si="146"/>
        <v>7.5</v>
      </c>
      <c r="Q184">
        <f t="shared" si="147"/>
        <v>12.2</v>
      </c>
      <c r="R184">
        <v>-1</v>
      </c>
      <c r="S184">
        <v>1</v>
      </c>
      <c r="T184">
        <f t="shared" si="148"/>
        <v>7</v>
      </c>
      <c r="U184">
        <f t="shared" si="149"/>
        <v>13</v>
      </c>
      <c r="V184">
        <f t="shared" si="150"/>
        <v>20</v>
      </c>
      <c r="W184" t="str">
        <f t="shared" si="145"/>
        <v>rock</v>
      </c>
      <c r="X184" t="s">
        <v>13</v>
      </c>
      <c r="Y184" t="s">
        <v>22</v>
      </c>
      <c r="Z184" t="s">
        <v>11</v>
      </c>
      <c r="AB184" t="str">
        <f t="shared" si="136"/>
        <v/>
      </c>
      <c r="AC184" t="s">
        <v>1176</v>
      </c>
      <c r="AD184" t="str">
        <f>VLOOKUP(AC184,moves!A:B,2,FALSE)</f>
        <v>rock</v>
      </c>
      <c r="AE184">
        <f>VLOOKUP(AC184,moves!A:D,4,FALSE)</f>
        <v>3</v>
      </c>
      <c r="AF184" t="str">
        <f>IF(VLOOKUP(AC184,moves!A:F,5,FALSE)=0, "", VLOOKUP(AC184,moves!A:F,5,FALSE))</f>
        <v>boost</v>
      </c>
      <c r="AG184" t="str">
        <f>VLOOKUP(AC184,moves!A:F,6,FALSE)</f>
        <v>Heal 2 damage at the end of your turns.</v>
      </c>
      <c r="AH184">
        <v>0</v>
      </c>
      <c r="AI184">
        <v>1</v>
      </c>
      <c r="AJ184" t="str" cm="1">
        <f t="array" ref="AJ184">_xlfn.IFS(AH184=1, "starter", AI184=1, "legendary",V184&lt; 13, "weak",V184&lt; 17, "moderate", TRUE, "strong")</f>
        <v>legendary</v>
      </c>
      <c r="AL184">
        <v>1</v>
      </c>
      <c r="AM184">
        <v>0</v>
      </c>
    </row>
    <row r="185" spans="1:40" x14ac:dyDescent="0.25">
      <c r="A185">
        <v>378</v>
      </c>
      <c r="B185" t="s">
        <v>141</v>
      </c>
      <c r="C185" t="str">
        <f t="shared" si="194"/>
        <v>Regice</v>
      </c>
      <c r="E185" t="s">
        <v>14</v>
      </c>
      <c r="G185">
        <v>80</v>
      </c>
      <c r="H185">
        <v>50</v>
      </c>
      <c r="I185">
        <v>100</v>
      </c>
      <c r="J185">
        <v>100</v>
      </c>
      <c r="K185">
        <v>200</v>
      </c>
      <c r="L185">
        <v>50</v>
      </c>
      <c r="M185" t="s">
        <v>445</v>
      </c>
      <c r="N185" t="s">
        <v>303</v>
      </c>
      <c r="O185" t="s">
        <v>299</v>
      </c>
      <c r="P185">
        <f t="shared" si="146"/>
        <v>7.5</v>
      </c>
      <c r="Q185">
        <f t="shared" si="147"/>
        <v>12.2</v>
      </c>
      <c r="R185">
        <v>-1</v>
      </c>
      <c r="S185">
        <v>1</v>
      </c>
      <c r="T185">
        <f t="shared" si="148"/>
        <v>7</v>
      </c>
      <c r="U185">
        <f t="shared" si="149"/>
        <v>13</v>
      </c>
      <c r="V185">
        <f t="shared" si="150"/>
        <v>20</v>
      </c>
      <c r="W185" t="str">
        <f t="shared" si="145"/>
        <v>ice</v>
      </c>
      <c r="X185" t="s">
        <v>13</v>
      </c>
      <c r="Y185" t="s">
        <v>22</v>
      </c>
      <c r="Z185" t="s">
        <v>11</v>
      </c>
      <c r="AB185" t="str">
        <f t="shared" si="136"/>
        <v/>
      </c>
      <c r="AC185" t="s">
        <v>1177</v>
      </c>
      <c r="AD185" t="str">
        <f>VLOOKUP(AC185,moves!A:B,2,FALSE)</f>
        <v>ice</v>
      </c>
      <c r="AE185">
        <f>VLOOKUP(AC185,moves!A:D,4,FALSE)</f>
        <v>3</v>
      </c>
      <c r="AF185" t="str">
        <f>IF(VLOOKUP(AC185,moves!A:F,5,FALSE)=0, "", VLOOKUP(AC185,moves!A:F,5,FALSE))</f>
        <v>boost</v>
      </c>
      <c r="AG185" t="str">
        <f>VLOOKUP(AC185,moves!A:F,6,FALSE)</f>
        <v>When the user is attacked, inflict the [frozen] status on the attacker.</v>
      </c>
      <c r="AH185">
        <v>0</v>
      </c>
      <c r="AI185">
        <v>1</v>
      </c>
      <c r="AJ185" t="str" cm="1">
        <f t="array" ref="AJ185">_xlfn.IFS(AH185=1, "starter", AI185=1, "legendary",V185&lt; 13, "weak",V185&lt; 17, "moderate", TRUE, "strong")</f>
        <v>legendary</v>
      </c>
      <c r="AL185">
        <v>1</v>
      </c>
      <c r="AM185">
        <v>0</v>
      </c>
    </row>
    <row r="186" spans="1:40" x14ac:dyDescent="0.25">
      <c r="A186">
        <v>379</v>
      </c>
      <c r="B186" t="s">
        <v>142</v>
      </c>
      <c r="C186" t="str">
        <f t="shared" si="194"/>
        <v>Registeel</v>
      </c>
      <c r="E186" t="s">
        <v>39</v>
      </c>
      <c r="G186">
        <v>80</v>
      </c>
      <c r="H186">
        <v>75</v>
      </c>
      <c r="I186">
        <v>150</v>
      </c>
      <c r="J186">
        <v>75</v>
      </c>
      <c r="K186">
        <v>150</v>
      </c>
      <c r="L186">
        <v>50</v>
      </c>
      <c r="M186" t="s">
        <v>444</v>
      </c>
      <c r="N186" t="s">
        <v>304</v>
      </c>
      <c r="O186" t="s">
        <v>299</v>
      </c>
      <c r="P186">
        <f t="shared" si="146"/>
        <v>6.5</v>
      </c>
      <c r="Q186">
        <f t="shared" si="147"/>
        <v>12.2</v>
      </c>
      <c r="R186">
        <v>0</v>
      </c>
      <c r="S186">
        <v>1</v>
      </c>
      <c r="T186">
        <f t="shared" si="148"/>
        <v>7</v>
      </c>
      <c r="U186">
        <f t="shared" si="149"/>
        <v>13</v>
      </c>
      <c r="V186">
        <f t="shared" si="150"/>
        <v>20</v>
      </c>
      <c r="W186" t="str">
        <f t="shared" si="145"/>
        <v>steel</v>
      </c>
      <c r="X186" t="s">
        <v>13</v>
      </c>
      <c r="Y186" t="s">
        <v>22</v>
      </c>
      <c r="Z186" t="s">
        <v>11</v>
      </c>
      <c r="AB186" t="str">
        <f t="shared" si="136"/>
        <v/>
      </c>
      <c r="AC186" t="s">
        <v>1178</v>
      </c>
      <c r="AD186" t="str">
        <f>VLOOKUP(AC186,moves!A:B,2,FALSE)</f>
        <v>steel</v>
      </c>
      <c r="AE186">
        <f>VLOOKUP(AC186,moves!A:D,4,FALSE)</f>
        <v>3</v>
      </c>
      <c r="AF186" t="str">
        <f>IF(VLOOKUP(AC186,moves!A:F,5,FALSE)=0, "", VLOOKUP(AC186,moves!A:F,5,FALSE))</f>
        <v>boost</v>
      </c>
      <c r="AG186" t="str">
        <f>VLOOKUP(AC186,moves!A:F,6,FALSE)</f>
        <v>The user is now immune to all status effects. Heal all existing status effects.</v>
      </c>
      <c r="AH186">
        <v>0</v>
      </c>
      <c r="AI186">
        <v>1</v>
      </c>
      <c r="AJ186" t="str" cm="1">
        <f t="array" ref="AJ186">_xlfn.IFS(AH186=1, "starter", AI186=1, "legendary",V186&lt; 13, "weak",V186&lt; 17, "moderate", TRUE, "strong")</f>
        <v>legendary</v>
      </c>
      <c r="AL186">
        <v>1</v>
      </c>
      <c r="AM186">
        <v>0</v>
      </c>
    </row>
    <row r="187" spans="1:40" x14ac:dyDescent="0.25">
      <c r="A187">
        <v>894</v>
      </c>
      <c r="B187" t="s">
        <v>1180</v>
      </c>
      <c r="C187" t="str">
        <f t="shared" si="194"/>
        <v>Regieleki</v>
      </c>
      <c r="E187" t="s">
        <v>11</v>
      </c>
      <c r="G187">
        <v>80</v>
      </c>
      <c r="H187">
        <v>100</v>
      </c>
      <c r="I187">
        <v>50</v>
      </c>
      <c r="J187">
        <v>100</v>
      </c>
      <c r="K187">
        <v>50</v>
      </c>
      <c r="L187">
        <v>200</v>
      </c>
      <c r="M187" t="s">
        <v>1181</v>
      </c>
      <c r="N187" t="s">
        <v>301</v>
      </c>
      <c r="O187" t="s">
        <v>300</v>
      </c>
      <c r="P187">
        <f t="shared" si="146"/>
        <v>14</v>
      </c>
      <c r="Q187">
        <f t="shared" si="147"/>
        <v>6.2</v>
      </c>
      <c r="R187">
        <v>0</v>
      </c>
      <c r="S187">
        <v>0</v>
      </c>
      <c r="T187">
        <f t="shared" si="148"/>
        <v>14</v>
      </c>
      <c r="U187">
        <f t="shared" si="149"/>
        <v>6</v>
      </c>
      <c r="V187">
        <f t="shared" si="150"/>
        <v>20</v>
      </c>
      <c r="W187" t="str">
        <f t="shared" si="145"/>
        <v>electric</v>
      </c>
      <c r="X187" t="s">
        <v>8</v>
      </c>
      <c r="Y187" t="s">
        <v>5</v>
      </c>
      <c r="Z187" t="s">
        <v>26</v>
      </c>
      <c r="AB187" t="str">
        <f t="shared" si="136"/>
        <v/>
      </c>
      <c r="AC187" t="s">
        <v>1184</v>
      </c>
      <c r="AD187" t="str">
        <f>VLOOKUP(AC187,moves!A:B,2,FALSE)</f>
        <v>electric</v>
      </c>
      <c r="AE187">
        <f>VLOOKUP(AC187,moves!A:D,4,FALSE)</f>
        <v>3</v>
      </c>
      <c r="AF187" t="str">
        <f>IF(VLOOKUP(AC187,moves!A:F,5,FALSE)=0, "", VLOOKUP(AC187,moves!A:F,5,FALSE))</f>
        <v>boost</v>
      </c>
      <c r="AG187" t="str">
        <f>VLOOKUP(AC187,moves!A:F,6,FALSE)</f>
        <v>When the user is attacked, all [critical_hit]s damage the attacker instead of the user.</v>
      </c>
      <c r="AH187">
        <v>0</v>
      </c>
      <c r="AI187">
        <v>1</v>
      </c>
      <c r="AJ187" t="str" cm="1">
        <f t="array" ref="AJ187">_xlfn.IFS(AH187=1, "starter", AI187=1, "legendary",V187&lt; 13, "weak",V187&lt; 17, "moderate", TRUE, "strong")</f>
        <v>legendary</v>
      </c>
      <c r="AL187">
        <v>1</v>
      </c>
      <c r="AM187">
        <v>0</v>
      </c>
    </row>
    <row r="188" spans="1:40" x14ac:dyDescent="0.25">
      <c r="A188">
        <v>895</v>
      </c>
      <c r="B188" t="s">
        <v>1182</v>
      </c>
      <c r="C188" t="str">
        <f t="shared" si="194"/>
        <v>Regidrago</v>
      </c>
      <c r="E188" t="s">
        <v>67</v>
      </c>
      <c r="G188">
        <v>200</v>
      </c>
      <c r="H188">
        <v>100</v>
      </c>
      <c r="I188">
        <v>50</v>
      </c>
      <c r="J188">
        <v>100</v>
      </c>
      <c r="K188">
        <v>50</v>
      </c>
      <c r="L188">
        <v>80</v>
      </c>
      <c r="M188" t="s">
        <v>1183</v>
      </c>
      <c r="N188" t="s">
        <v>298</v>
      </c>
      <c r="O188" t="s">
        <v>302</v>
      </c>
      <c r="P188">
        <f t="shared" si="146"/>
        <v>9.1999999999999993</v>
      </c>
      <c r="Q188">
        <f t="shared" si="147"/>
        <v>11</v>
      </c>
      <c r="R188">
        <v>0</v>
      </c>
      <c r="S188">
        <v>0</v>
      </c>
      <c r="T188">
        <f t="shared" si="148"/>
        <v>9</v>
      </c>
      <c r="U188">
        <f t="shared" si="149"/>
        <v>11</v>
      </c>
      <c r="V188">
        <f t="shared" si="150"/>
        <v>20</v>
      </c>
      <c r="W188" t="str">
        <f t="shared" si="145"/>
        <v>dragon</v>
      </c>
      <c r="X188" t="s">
        <v>8</v>
      </c>
      <c r="Y188" t="s">
        <v>22</v>
      </c>
      <c r="Z188" t="s">
        <v>9</v>
      </c>
      <c r="AB188" t="str">
        <f t="shared" si="136"/>
        <v/>
      </c>
      <c r="AC188" t="s">
        <v>1185</v>
      </c>
      <c r="AD188" t="str">
        <f>VLOOKUP(AC188,moves!A:B,2,FALSE)</f>
        <v>dragon</v>
      </c>
      <c r="AE188">
        <f>VLOOKUP(AC188,moves!A:D,4,FALSE)</f>
        <v>3</v>
      </c>
      <c r="AF188" t="str">
        <f>IF(VLOOKUP(AC188,moves!A:F,5,FALSE)=0, "", VLOOKUP(AC188,moves!A:F,5,FALSE))</f>
        <v>boost</v>
      </c>
      <c r="AG188" t="str">
        <f>VLOOKUP(AC188,moves!A:F,6,FALSE)</f>
        <v>Increase the Initiative of the user by 3 and the Attack Strength of their Moves by 1.</v>
      </c>
      <c r="AH188">
        <v>0</v>
      </c>
      <c r="AI188">
        <v>1</v>
      </c>
      <c r="AJ188" t="str" cm="1">
        <f t="array" ref="AJ188">_xlfn.IFS(AH188=1, "starter", AI188=1, "legendary",V188&lt; 13, "weak",V188&lt; 17, "moderate", TRUE, "strong")</f>
        <v>legendary</v>
      </c>
      <c r="AL188">
        <v>1</v>
      </c>
      <c r="AM188">
        <v>0</v>
      </c>
    </row>
    <row r="189" spans="1:40" x14ac:dyDescent="0.25">
      <c r="A189">
        <v>129</v>
      </c>
      <c r="B189" t="s">
        <v>56</v>
      </c>
      <c r="C189" t="str">
        <f t="shared" si="194"/>
        <v>Magikarp</v>
      </c>
      <c r="E189" t="s">
        <v>6</v>
      </c>
      <c r="G189">
        <v>20</v>
      </c>
      <c r="H189">
        <v>10</v>
      </c>
      <c r="I189">
        <v>15</v>
      </c>
      <c r="J189">
        <v>55</v>
      </c>
      <c r="K189">
        <v>20</v>
      </c>
      <c r="L189">
        <v>80</v>
      </c>
      <c r="M189" t="s">
        <v>429</v>
      </c>
      <c r="N189" t="s">
        <v>303</v>
      </c>
      <c r="O189" t="s">
        <v>300</v>
      </c>
      <c r="P189">
        <f t="shared" si="146"/>
        <v>6.05</v>
      </c>
      <c r="Q189">
        <f t="shared" si="147"/>
        <v>1.85</v>
      </c>
      <c r="R189">
        <v>0</v>
      </c>
      <c r="S189">
        <v>0</v>
      </c>
      <c r="T189">
        <f t="shared" si="148"/>
        <v>6</v>
      </c>
      <c r="U189">
        <f t="shared" si="149"/>
        <v>2</v>
      </c>
      <c r="V189">
        <f t="shared" si="150"/>
        <v>8</v>
      </c>
      <c r="W189" t="str">
        <f t="shared" si="145"/>
        <v>water</v>
      </c>
      <c r="X189" t="s">
        <v>5</v>
      </c>
      <c r="Y189" t="s">
        <v>8</v>
      </c>
      <c r="Z189" t="s">
        <v>67</v>
      </c>
      <c r="AA189" t="str">
        <f>B190</f>
        <v>Gyarados</v>
      </c>
      <c r="AB189">
        <f t="shared" si="136"/>
        <v>11</v>
      </c>
      <c r="AC189" t="s">
        <v>550</v>
      </c>
      <c r="AD189" t="str">
        <f>VLOOKUP(AC189,moves!A:B,2,FALSE)</f>
        <v>normal</v>
      </c>
      <c r="AE189">
        <f>VLOOKUP(AC189,moves!A:D,4,FALSE)</f>
        <v>1</v>
      </c>
      <c r="AF189" t="str">
        <f>IF(VLOOKUP(AC189,moves!A:F,5,FALSE)=0, "", VLOOKUP(AC189,moves!A:F,5,FALSE))</f>
        <v>agile</v>
      </c>
      <c r="AG189" t="str">
        <f>VLOOKUP(AC189,moves!A:F,6,FALSE)</f>
        <v>Inflict any status effect on the target.</v>
      </c>
      <c r="AH189">
        <v>0</v>
      </c>
      <c r="AI189">
        <v>0</v>
      </c>
      <c r="AJ189" t="str" cm="1">
        <f t="array" ref="AJ189">_xlfn.IFS(AH189=1, "starter", AI189=1, "legendary",V189&lt; 13, "weak",V189&lt; 17, "moderate", TRUE, "strong")</f>
        <v>weak</v>
      </c>
      <c r="AL189">
        <v>1</v>
      </c>
      <c r="AM189">
        <v>0</v>
      </c>
    </row>
    <row r="190" spans="1:40" x14ac:dyDescent="0.25">
      <c r="A190">
        <v>130</v>
      </c>
      <c r="B190" t="s">
        <v>57</v>
      </c>
      <c r="C190" t="str">
        <f t="shared" si="194"/>
        <v>Gyarados</v>
      </c>
      <c r="E190" t="s">
        <v>6</v>
      </c>
      <c r="F190" t="s">
        <v>5</v>
      </c>
      <c r="G190">
        <v>95</v>
      </c>
      <c r="H190">
        <v>125</v>
      </c>
      <c r="I190">
        <v>79</v>
      </c>
      <c r="J190">
        <v>60</v>
      </c>
      <c r="K190">
        <v>100</v>
      </c>
      <c r="L190">
        <v>81</v>
      </c>
      <c r="M190" t="s">
        <v>430</v>
      </c>
      <c r="N190" t="s">
        <v>303</v>
      </c>
      <c r="O190" t="s">
        <v>300</v>
      </c>
      <c r="P190">
        <f t="shared" si="146"/>
        <v>10.09</v>
      </c>
      <c r="Q190">
        <f t="shared" si="147"/>
        <v>9.17</v>
      </c>
      <c r="R190">
        <v>0</v>
      </c>
      <c r="S190">
        <v>0</v>
      </c>
      <c r="T190">
        <f t="shared" si="148"/>
        <v>10</v>
      </c>
      <c r="U190">
        <f t="shared" si="149"/>
        <v>9</v>
      </c>
      <c r="V190">
        <f t="shared" si="150"/>
        <v>19</v>
      </c>
      <c r="W190" t="str">
        <f t="shared" si="145"/>
        <v>water</v>
      </c>
      <c r="X190" t="str">
        <f>IF(F190 = 0, "", F190)</f>
        <v>flying</v>
      </c>
      <c r="Y190" t="s">
        <v>8</v>
      </c>
      <c r="Z190" t="s">
        <v>67</v>
      </c>
      <c r="AB190" t="str">
        <f t="shared" si="136"/>
        <v/>
      </c>
      <c r="AC190" t="s">
        <v>502</v>
      </c>
      <c r="AD190" t="str">
        <f>VLOOKUP(AC190,moves!A:B,2,FALSE)</f>
        <v>dragon</v>
      </c>
      <c r="AE190">
        <f>VLOOKUP(AC190,moves!A:D,4,FALSE)</f>
        <v>5</v>
      </c>
      <c r="AF190" t="str">
        <f>IF(VLOOKUP(AC190,moves!A:F,5,FALSE)=0, "", VLOOKUP(AC190,moves!A:F,5,FALSE))</f>
        <v/>
      </c>
      <c r="AG190" t="str">
        <f>VLOOKUP(AC190,moves!A:F,6,FALSE)</f>
        <v>Inflict the [confused] status on the user. Deal any damage taken by the user during this attack to the target as well.</v>
      </c>
      <c r="AH190">
        <v>0</v>
      </c>
      <c r="AI190">
        <v>0</v>
      </c>
      <c r="AJ190" t="str" cm="1">
        <f t="array" ref="AJ190">_xlfn.IFS(AH190=1, "starter", AI190=1, "legendary",V190&lt; 13, "weak",V190&lt; 17, "moderate", TRUE, "strong")</f>
        <v>strong</v>
      </c>
      <c r="AL190">
        <v>2</v>
      </c>
      <c r="AM190">
        <v>0</v>
      </c>
    </row>
    <row r="191" spans="1:40" x14ac:dyDescent="0.25">
      <c r="A191">
        <v>172</v>
      </c>
      <c r="B191" t="s">
        <v>71</v>
      </c>
      <c r="C191" t="str">
        <f t="shared" si="194"/>
        <v>Pichu</v>
      </c>
      <c r="E191" t="s">
        <v>11</v>
      </c>
      <c r="G191">
        <v>20</v>
      </c>
      <c r="H191">
        <v>80</v>
      </c>
      <c r="I191">
        <v>15</v>
      </c>
      <c r="J191">
        <v>70</v>
      </c>
      <c r="K191">
        <v>35</v>
      </c>
      <c r="L191">
        <v>60</v>
      </c>
      <c r="M191" t="s">
        <v>272</v>
      </c>
      <c r="N191" t="s">
        <v>298</v>
      </c>
      <c r="O191" t="s">
        <v>300</v>
      </c>
      <c r="P191">
        <f t="shared" si="146"/>
        <v>7.1</v>
      </c>
      <c r="Q191">
        <f t="shared" si="147"/>
        <v>2.2999999999999998</v>
      </c>
      <c r="R191">
        <v>-1</v>
      </c>
      <c r="S191">
        <v>2</v>
      </c>
      <c r="T191">
        <f t="shared" si="148"/>
        <v>6</v>
      </c>
      <c r="U191">
        <f t="shared" si="149"/>
        <v>4</v>
      </c>
      <c r="V191">
        <f t="shared" si="150"/>
        <v>10</v>
      </c>
      <c r="W191" t="str">
        <f t="shared" si="145"/>
        <v>electric</v>
      </c>
      <c r="X191" t="s">
        <v>8</v>
      </c>
      <c r="Y191" t="s">
        <v>39</v>
      </c>
      <c r="Z191" t="s">
        <v>16</v>
      </c>
      <c r="AA191" t="str">
        <f>B192</f>
        <v>Pikachu</v>
      </c>
      <c r="AB191">
        <f t="shared" si="136"/>
        <v>4</v>
      </c>
      <c r="AC191" t="s">
        <v>1388</v>
      </c>
      <c r="AD191" t="str">
        <f>VLOOKUP(AC191,moves!A:B,2,FALSE)</f>
        <v>electric</v>
      </c>
      <c r="AE191">
        <f>VLOOKUP(AC191,moves!A:D,4,FALSE)</f>
        <v>4</v>
      </c>
      <c r="AF191" t="str">
        <f>IF(VLOOKUP(AC191,moves!A:F,5,FALSE)=0, "", VLOOKUP(AC191,moves!A:F,5,FALSE))</f>
        <v>surge</v>
      </c>
      <c r="AG191" t="str">
        <f>VLOOKUP(AC191,moves!A:F,6,FALSE)</f>
        <v>When the user is next attacked, remove 2 [regular_hit]s from the roll.</v>
      </c>
      <c r="AH191">
        <v>1</v>
      </c>
      <c r="AI191">
        <v>0</v>
      </c>
      <c r="AJ191" t="str" cm="1">
        <f t="array" ref="AJ191">_xlfn.IFS(AH191=1, "starter", AI191=1, "legendary",V191&lt; 13, "weak",V191&lt; 17, "moderate", TRUE, "strong")</f>
        <v>starter</v>
      </c>
      <c r="AL191">
        <v>1</v>
      </c>
      <c r="AM191">
        <v>0</v>
      </c>
    </row>
    <row r="192" spans="1:40" x14ac:dyDescent="0.25">
      <c r="A192">
        <v>25</v>
      </c>
      <c r="B192" t="s">
        <v>10</v>
      </c>
      <c r="C192" t="str">
        <f t="shared" si="194"/>
        <v>Pikachu</v>
      </c>
      <c r="E192" t="s">
        <v>11</v>
      </c>
      <c r="G192">
        <v>35</v>
      </c>
      <c r="H192">
        <v>110</v>
      </c>
      <c r="I192">
        <v>40</v>
      </c>
      <c r="J192">
        <v>100</v>
      </c>
      <c r="K192">
        <v>50</v>
      </c>
      <c r="L192">
        <v>90</v>
      </c>
      <c r="M192" t="s">
        <v>251</v>
      </c>
      <c r="N192" t="s">
        <v>298</v>
      </c>
      <c r="O192" t="s">
        <v>300</v>
      </c>
      <c r="P192">
        <f t="shared" si="146"/>
        <v>10.1</v>
      </c>
      <c r="Q192">
        <f t="shared" si="147"/>
        <v>4.0999999999999996</v>
      </c>
      <c r="R192">
        <v>-1</v>
      </c>
      <c r="S192">
        <v>1</v>
      </c>
      <c r="T192">
        <f t="shared" si="148"/>
        <v>9</v>
      </c>
      <c r="U192">
        <f t="shared" si="149"/>
        <v>5</v>
      </c>
      <c r="V192">
        <f t="shared" si="150"/>
        <v>14</v>
      </c>
      <c r="W192" t="str">
        <f t="shared" si="145"/>
        <v>electric</v>
      </c>
      <c r="X192" t="s">
        <v>8</v>
      </c>
      <c r="Y192" t="s">
        <v>39</v>
      </c>
      <c r="Z192" t="s">
        <v>16</v>
      </c>
      <c r="AA192" t="str">
        <f>B193</f>
        <v>Raichu</v>
      </c>
      <c r="AB192">
        <f t="shared" si="136"/>
        <v>6</v>
      </c>
      <c r="AC192" t="s">
        <v>506</v>
      </c>
      <c r="AD192" t="str">
        <f>VLOOKUP(AC192,moves!A:B,2,FALSE)</f>
        <v>steel</v>
      </c>
      <c r="AE192">
        <f>VLOOKUP(AC192,moves!A:D,4,FALSE)</f>
        <v>4</v>
      </c>
      <c r="AF192" t="str">
        <f>IF(VLOOKUP(AC192,moves!A:F,5,FALSE)=0, "", VLOOKUP(AC192,moves!A:F,5,FALSE))</f>
        <v/>
      </c>
      <c r="AG192" t="str">
        <f>VLOOKUP(AC192,moves!A:F,6,FALSE)</f>
        <v>When the target is next attacked, add 1 [regular_hit] to the roll.</v>
      </c>
      <c r="AH192">
        <v>0</v>
      </c>
      <c r="AI192">
        <v>0</v>
      </c>
      <c r="AJ192" t="str" cm="1">
        <f t="array" ref="AJ192">_xlfn.IFS(AH192=1, "starter", AI192=1, "legendary",V192&lt; 13, "weak",V192&lt; 17, "moderate", TRUE, "strong")</f>
        <v>moderate</v>
      </c>
      <c r="AL192">
        <v>2</v>
      </c>
      <c r="AM192">
        <v>0</v>
      </c>
    </row>
    <row r="193" spans="1:40" x14ac:dyDescent="0.25">
      <c r="A193">
        <v>26</v>
      </c>
      <c r="B193" t="s">
        <v>12</v>
      </c>
      <c r="C193" t="str">
        <f t="shared" si="194"/>
        <v>Raichu</v>
      </c>
      <c r="E193" t="s">
        <v>11</v>
      </c>
      <c r="G193">
        <v>60</v>
      </c>
      <c r="H193">
        <v>90</v>
      </c>
      <c r="I193">
        <v>55</v>
      </c>
      <c r="J193">
        <v>90</v>
      </c>
      <c r="K193">
        <v>80</v>
      </c>
      <c r="L193">
        <v>110</v>
      </c>
      <c r="M193" t="s">
        <v>251</v>
      </c>
      <c r="N193" t="s">
        <v>298</v>
      </c>
      <c r="O193" t="s">
        <v>300</v>
      </c>
      <c r="P193">
        <f t="shared" si="146"/>
        <v>9.8000000000000007</v>
      </c>
      <c r="Q193">
        <f t="shared" si="147"/>
        <v>6.45</v>
      </c>
      <c r="R193">
        <v>1</v>
      </c>
      <c r="S193">
        <v>1</v>
      </c>
      <c r="T193">
        <f t="shared" si="148"/>
        <v>11</v>
      </c>
      <c r="U193">
        <f t="shared" si="149"/>
        <v>7</v>
      </c>
      <c r="V193">
        <f t="shared" si="150"/>
        <v>18</v>
      </c>
      <c r="W193" t="str">
        <f t="shared" si="145"/>
        <v>electric</v>
      </c>
      <c r="X193" t="s">
        <v>8</v>
      </c>
      <c r="Y193" t="s">
        <v>39</v>
      </c>
      <c r="Z193" t="s">
        <v>16</v>
      </c>
      <c r="AB193" t="str">
        <f t="shared" si="136"/>
        <v/>
      </c>
      <c r="AC193" t="s">
        <v>486</v>
      </c>
      <c r="AD193" t="str">
        <f>VLOOKUP(AC193,moves!A:B,2,FALSE)</f>
        <v>electric</v>
      </c>
      <c r="AE193">
        <f>VLOOKUP(AC193,moves!A:D,4,FALSE)</f>
        <v>5</v>
      </c>
      <c r="AF193" t="str">
        <f>IF(VLOOKUP(AC193,moves!A:F,5,FALSE)=0, "", VLOOKUP(AC193,moves!A:F,5,FALSE))</f>
        <v/>
      </c>
      <c r="AG193" t="str">
        <f>VLOOKUP(AC193,moves!A:F,6,FALSE)</f>
        <v>If 2 or more [status_symbol]s are rolled: Inflict the [paralysed] status on the target.</v>
      </c>
      <c r="AH193">
        <v>0</v>
      </c>
      <c r="AI193">
        <v>0</v>
      </c>
      <c r="AJ193" t="str" cm="1">
        <f t="array" ref="AJ193">_xlfn.IFS(AH193=1, "starter", AI193=1, "legendary",V193&lt; 13, "weak",V193&lt; 17, "moderate", TRUE, "strong")</f>
        <v>strong</v>
      </c>
      <c r="AL193">
        <v>3</v>
      </c>
      <c r="AM193">
        <v>0</v>
      </c>
      <c r="AN193">
        <v>1</v>
      </c>
    </row>
    <row r="194" spans="1:40" x14ac:dyDescent="0.25">
      <c r="A194" t="s">
        <v>1006</v>
      </c>
      <c r="B194" t="s">
        <v>12</v>
      </c>
      <c r="C194" t="str">
        <f t="shared" si="194"/>
        <v>Raichu</v>
      </c>
      <c r="D194" t="s">
        <v>1004</v>
      </c>
      <c r="E194" t="s">
        <v>11</v>
      </c>
      <c r="G194">
        <v>60</v>
      </c>
      <c r="H194">
        <v>90</v>
      </c>
      <c r="I194">
        <v>55</v>
      </c>
      <c r="J194">
        <v>90</v>
      </c>
      <c r="K194">
        <v>80</v>
      </c>
      <c r="L194">
        <v>110</v>
      </c>
      <c r="M194" t="s">
        <v>251</v>
      </c>
      <c r="O194" t="s">
        <v>777</v>
      </c>
      <c r="P194">
        <f t="shared" ref="P194" si="195">(0.4*L194 + 0.5*MAX(H194,J194) + 0.1*MIN(H194,J194)) / 10</f>
        <v>9.8000000000000007</v>
      </c>
      <c r="Q194">
        <f t="shared" ref="Q194" si="196">(0.4*G194 + 0.3*I194 + 0.3*K194) / 10</f>
        <v>6.45</v>
      </c>
      <c r="R194">
        <v>3</v>
      </c>
      <c r="S194">
        <v>3</v>
      </c>
      <c r="T194">
        <f t="shared" ref="T194" si="197">ROUND(P194,0)+R194</f>
        <v>13</v>
      </c>
      <c r="U194">
        <f t="shared" ref="U194" si="198">ROUND(Q194,0)+S194</f>
        <v>9</v>
      </c>
      <c r="V194">
        <f t="shared" ref="V194" si="199">SUM(ROUND(T194,0),ROUND(U194,0))</f>
        <v>22</v>
      </c>
      <c r="W194" t="str">
        <f t="shared" ref="W194" si="200">E194</f>
        <v>electric</v>
      </c>
      <c r="X194" t="s">
        <v>8</v>
      </c>
      <c r="Y194" t="s">
        <v>39</v>
      </c>
      <c r="Z194" t="s">
        <v>16</v>
      </c>
      <c r="AB194" t="str">
        <f t="shared" si="136"/>
        <v/>
      </c>
      <c r="AC194" t="s">
        <v>486</v>
      </c>
      <c r="AD194" t="str">
        <f>VLOOKUP(AC194,moves!A:B,2,FALSE)</f>
        <v>electric</v>
      </c>
      <c r="AE194">
        <f>VLOOKUP(AC194,moves!A:D,4,FALSE)</f>
        <v>5</v>
      </c>
      <c r="AF194" t="str">
        <f>IF(VLOOKUP(AC194,moves!A:F,5,FALSE)=0, "", VLOOKUP(AC194,moves!A:F,5,FALSE))</f>
        <v/>
      </c>
      <c r="AG194" t="str">
        <f>VLOOKUP(AC194,moves!A:F,6,FALSE)</f>
        <v>If 2 or more [status_symbol]s are rolled: Inflict the [paralysed] status on the target.</v>
      </c>
      <c r="AH194">
        <v>0</v>
      </c>
      <c r="AI194">
        <v>1</v>
      </c>
      <c r="AJ194" t="str" cm="1">
        <f t="array" ref="AJ194">_xlfn.IFS(AH194=1, "starter", AI194=1, "legendary",V194&lt; 13, "weak",V194&lt; 17, "moderate", TRUE, "strong")</f>
        <v>legendary</v>
      </c>
      <c r="AL194">
        <v>3</v>
      </c>
      <c r="AM194">
        <v>0</v>
      </c>
      <c r="AN194">
        <v>2</v>
      </c>
    </row>
    <row r="195" spans="1:40" x14ac:dyDescent="0.25">
      <c r="A195">
        <v>298</v>
      </c>
      <c r="B195" t="s">
        <v>119</v>
      </c>
      <c r="C195" t="str">
        <f t="shared" si="194"/>
        <v>Azurill</v>
      </c>
      <c r="E195" t="s">
        <v>8</v>
      </c>
      <c r="F195" t="s">
        <v>16</v>
      </c>
      <c r="G195">
        <v>50</v>
      </c>
      <c r="H195">
        <f>20*2</f>
        <v>40</v>
      </c>
      <c r="I195">
        <v>40</v>
      </c>
      <c r="J195">
        <v>20</v>
      </c>
      <c r="K195">
        <v>40</v>
      </c>
      <c r="L195">
        <v>20</v>
      </c>
      <c r="M195" t="s">
        <v>291</v>
      </c>
      <c r="N195" t="s">
        <v>301</v>
      </c>
      <c r="O195" t="s">
        <v>302</v>
      </c>
      <c r="P195">
        <f t="shared" si="146"/>
        <v>3</v>
      </c>
      <c r="Q195">
        <f t="shared" si="147"/>
        <v>4.4000000000000004</v>
      </c>
      <c r="R195">
        <v>0</v>
      </c>
      <c r="S195">
        <v>0</v>
      </c>
      <c r="T195">
        <f t="shared" si="148"/>
        <v>3</v>
      </c>
      <c r="U195">
        <f t="shared" si="149"/>
        <v>4</v>
      </c>
      <c r="V195">
        <f t="shared" si="150"/>
        <v>7</v>
      </c>
      <c r="W195" t="str">
        <f t="shared" si="145"/>
        <v>normal</v>
      </c>
      <c r="X195" t="str">
        <f t="shared" ref="X195:X200" si="201">F195</f>
        <v>fairy</v>
      </c>
      <c r="Y195" t="s">
        <v>6</v>
      </c>
      <c r="Z195" t="s">
        <v>33</v>
      </c>
      <c r="AA195" t="str">
        <f>B196</f>
        <v>Marill</v>
      </c>
      <c r="AB195">
        <f t="shared" si="136"/>
        <v>2</v>
      </c>
      <c r="AC195" t="s">
        <v>550</v>
      </c>
      <c r="AD195" t="str">
        <f>VLOOKUP(AC195,moves!A:B,2,FALSE)</f>
        <v>normal</v>
      </c>
      <c r="AE195">
        <f>VLOOKUP(AC195,moves!A:D,4,FALSE)</f>
        <v>1</v>
      </c>
      <c r="AF195" t="str">
        <f>IF(VLOOKUP(AC195,moves!A:F,5,FALSE)=0, "", VLOOKUP(AC195,moves!A:F,5,FALSE))</f>
        <v>agile</v>
      </c>
      <c r="AG195" t="str">
        <f>VLOOKUP(AC195,moves!A:F,6,FALSE)</f>
        <v>Inflict any status effect on the target.</v>
      </c>
      <c r="AH195">
        <v>0</v>
      </c>
      <c r="AI195">
        <v>0</v>
      </c>
      <c r="AJ195" t="str" cm="1">
        <f t="array" ref="AJ195">_xlfn.IFS(AH195=1, "starter", AI195=1, "legendary",V195&lt; 13, "weak",V195&lt; 17, "moderate", TRUE, "strong")</f>
        <v>weak</v>
      </c>
      <c r="AL195">
        <v>1</v>
      </c>
      <c r="AM195">
        <v>0</v>
      </c>
    </row>
    <row r="196" spans="1:40" x14ac:dyDescent="0.25">
      <c r="A196">
        <v>183</v>
      </c>
      <c r="B196" t="s">
        <v>75</v>
      </c>
      <c r="C196" t="str">
        <f t="shared" si="194"/>
        <v>Marill</v>
      </c>
      <c r="E196" t="s">
        <v>6</v>
      </c>
      <c r="F196" t="s">
        <v>16</v>
      </c>
      <c r="G196">
        <v>70</v>
      </c>
      <c r="H196">
        <f>20*2</f>
        <v>40</v>
      </c>
      <c r="I196">
        <v>50</v>
      </c>
      <c r="J196">
        <v>20</v>
      </c>
      <c r="K196">
        <v>50</v>
      </c>
      <c r="L196">
        <v>40</v>
      </c>
      <c r="M196" t="s">
        <v>274</v>
      </c>
      <c r="N196" t="s">
        <v>301</v>
      </c>
      <c r="O196" t="s">
        <v>302</v>
      </c>
      <c r="P196">
        <f t="shared" si="146"/>
        <v>3.8</v>
      </c>
      <c r="Q196">
        <f t="shared" si="147"/>
        <v>5.8</v>
      </c>
      <c r="R196">
        <v>0</v>
      </c>
      <c r="S196">
        <v>0</v>
      </c>
      <c r="T196">
        <f t="shared" si="148"/>
        <v>4</v>
      </c>
      <c r="U196">
        <f t="shared" si="149"/>
        <v>6</v>
      </c>
      <c r="V196">
        <f t="shared" si="150"/>
        <v>10</v>
      </c>
      <c r="W196" t="str">
        <f t="shared" si="145"/>
        <v>water</v>
      </c>
      <c r="X196" t="str">
        <f t="shared" si="201"/>
        <v>fairy</v>
      </c>
      <c r="Y196" t="s">
        <v>8</v>
      </c>
      <c r="Z196" t="s">
        <v>33</v>
      </c>
      <c r="AA196" t="str">
        <f>B197</f>
        <v>Azumarill</v>
      </c>
      <c r="AB196">
        <f t="shared" si="136"/>
        <v>8</v>
      </c>
      <c r="AC196" t="s">
        <v>508</v>
      </c>
      <c r="AD196" t="str">
        <f>VLOOKUP(AC196,moves!A:B,2,FALSE)</f>
        <v>fairy</v>
      </c>
      <c r="AE196">
        <f>VLOOKUP(AC196,moves!A:D,4,FALSE)</f>
        <v>3</v>
      </c>
      <c r="AF196" t="str">
        <f>IF(VLOOKUP(AC196,moves!A:F,5,FALSE)=0, "", VLOOKUP(AC196,moves!A:F,5,FALSE))</f>
        <v/>
      </c>
      <c r="AG196" t="str">
        <f>VLOOKUP(AC196,moves!A:F,6,FALSE)</f>
        <v>When the target next attacks, remove 1 [regular_hit] from the roll.</v>
      </c>
      <c r="AH196">
        <v>0</v>
      </c>
      <c r="AI196">
        <v>0</v>
      </c>
      <c r="AJ196" t="str" cm="1">
        <f t="array" ref="AJ196">_xlfn.IFS(AH196=1, "starter", AI196=1, "legendary",V196&lt; 13, "weak",V196&lt; 17, "moderate", TRUE, "strong")</f>
        <v>weak</v>
      </c>
      <c r="AL196">
        <v>2</v>
      </c>
      <c r="AM196">
        <v>0</v>
      </c>
    </row>
    <row r="197" spans="1:40" x14ac:dyDescent="0.25">
      <c r="A197">
        <v>184</v>
      </c>
      <c r="B197" t="s">
        <v>76</v>
      </c>
      <c r="C197" t="str">
        <f t="shared" si="194"/>
        <v>Azumarill</v>
      </c>
      <c r="E197" t="s">
        <v>6</v>
      </c>
      <c r="F197" t="s">
        <v>16</v>
      </c>
      <c r="G197">
        <v>100</v>
      </c>
      <c r="H197">
        <f>50*2</f>
        <v>100</v>
      </c>
      <c r="I197">
        <v>80</v>
      </c>
      <c r="J197">
        <v>60</v>
      </c>
      <c r="K197">
        <v>80</v>
      </c>
      <c r="L197">
        <v>50</v>
      </c>
      <c r="M197" t="s">
        <v>275</v>
      </c>
      <c r="N197" t="s">
        <v>301</v>
      </c>
      <c r="O197" t="s">
        <v>302</v>
      </c>
      <c r="P197">
        <f t="shared" si="146"/>
        <v>7.6</v>
      </c>
      <c r="Q197">
        <f t="shared" si="147"/>
        <v>8.8000000000000007</v>
      </c>
      <c r="R197">
        <v>0</v>
      </c>
      <c r="S197">
        <v>0</v>
      </c>
      <c r="T197">
        <f t="shared" si="148"/>
        <v>8</v>
      </c>
      <c r="U197">
        <f t="shared" si="149"/>
        <v>9</v>
      </c>
      <c r="V197">
        <f t="shared" si="150"/>
        <v>17</v>
      </c>
      <c r="W197" t="str">
        <f t="shared" si="145"/>
        <v>water</v>
      </c>
      <c r="X197" t="str">
        <f t="shared" si="201"/>
        <v>fairy</v>
      </c>
      <c r="Y197" t="s">
        <v>8</v>
      </c>
      <c r="Z197" t="s">
        <v>33</v>
      </c>
      <c r="AB197" t="str">
        <f t="shared" si="136"/>
        <v/>
      </c>
      <c r="AC197" t="s">
        <v>576</v>
      </c>
      <c r="AD197" t="str">
        <f>VLOOKUP(AC197,moves!A:B,2,FALSE)</f>
        <v>water</v>
      </c>
      <c r="AE197">
        <f>VLOOKUP(AC197,moves!A:D,4,FALSE)</f>
        <v>4</v>
      </c>
      <c r="AF197" t="str">
        <f>IF(VLOOKUP(AC197,moves!A:F,5,FALSE)=0, "", VLOOKUP(AC197,moves!A:F,5,FALSE))</f>
        <v>dynamic</v>
      </c>
      <c r="AG197" t="str">
        <f>VLOOKUP(AC197,moves!A:F,6,FALSE)</f>
        <v>For each other Surf Move in your party: Attack Strength is increased by 1.</v>
      </c>
      <c r="AH197">
        <v>0</v>
      </c>
      <c r="AI197">
        <v>0</v>
      </c>
      <c r="AJ197" t="str" cm="1">
        <f t="array" ref="AJ197">_xlfn.IFS(AH197=1, "starter", AI197=1, "legendary",V197&lt; 13, "weak",V197&lt; 17, "moderate", TRUE, "strong")</f>
        <v>strong</v>
      </c>
      <c r="AL197">
        <v>3</v>
      </c>
      <c r="AM197">
        <v>0</v>
      </c>
    </row>
    <row r="198" spans="1:40" x14ac:dyDescent="0.25">
      <c r="A198">
        <v>41</v>
      </c>
      <c r="B198" t="s">
        <v>20</v>
      </c>
      <c r="C198" t="str">
        <f t="shared" si="194"/>
        <v>Zubat</v>
      </c>
      <c r="E198" t="s">
        <v>3</v>
      </c>
      <c r="F198" t="s">
        <v>5</v>
      </c>
      <c r="G198">
        <v>40</v>
      </c>
      <c r="H198">
        <v>45</v>
      </c>
      <c r="I198">
        <v>35</v>
      </c>
      <c r="J198">
        <v>30</v>
      </c>
      <c r="K198">
        <v>40</v>
      </c>
      <c r="L198">
        <v>55</v>
      </c>
      <c r="M198" t="s">
        <v>254</v>
      </c>
      <c r="N198" t="s">
        <v>304</v>
      </c>
      <c r="O198" t="s">
        <v>300</v>
      </c>
      <c r="P198">
        <f t="shared" si="146"/>
        <v>4.75</v>
      </c>
      <c r="Q198">
        <f t="shared" si="147"/>
        <v>3.85</v>
      </c>
      <c r="R198">
        <v>0</v>
      </c>
      <c r="S198">
        <v>0</v>
      </c>
      <c r="T198">
        <f t="shared" si="148"/>
        <v>5</v>
      </c>
      <c r="U198">
        <f t="shared" si="149"/>
        <v>4</v>
      </c>
      <c r="V198">
        <f t="shared" si="150"/>
        <v>9</v>
      </c>
      <c r="W198" t="str">
        <f t="shared" si="145"/>
        <v>poison</v>
      </c>
      <c r="X198" t="str">
        <f t="shared" si="201"/>
        <v>flying</v>
      </c>
      <c r="Y198" t="s">
        <v>7</v>
      </c>
      <c r="Z198" t="s">
        <v>8</v>
      </c>
      <c r="AA198" t="str">
        <f>B199</f>
        <v>Golbat</v>
      </c>
      <c r="AB198">
        <f t="shared" si="136"/>
        <v>7</v>
      </c>
      <c r="AC198" t="s">
        <v>649</v>
      </c>
      <c r="AD198" t="str">
        <f>VLOOKUP(AC198,moves!A:B,2,FALSE)</f>
        <v>poison</v>
      </c>
      <c r="AE198">
        <f>VLOOKUP(AC198,moves!A:D,4,FALSE)</f>
        <v>2</v>
      </c>
      <c r="AF198" t="str">
        <f>IF(VLOOKUP(AC198,moves!A:F,5,FALSE)=0, "", VLOOKUP(AC198,moves!A:F,5,FALSE))</f>
        <v/>
      </c>
      <c r="AG198" t="str">
        <f>VLOOKUP(AC198,moves!A:F,6,FALSE)</f>
        <v>Inflict the [poisoned] status on the target.</v>
      </c>
      <c r="AH198">
        <v>0</v>
      </c>
      <c r="AI198">
        <v>0</v>
      </c>
      <c r="AJ198" t="str" cm="1">
        <f t="array" ref="AJ198">_xlfn.IFS(AH198=1, "starter", AI198=1, "legendary",V198&lt; 13, "weak",V198&lt; 17, "moderate", TRUE, "strong")</f>
        <v>weak</v>
      </c>
      <c r="AL198">
        <v>1</v>
      </c>
      <c r="AM198">
        <v>0</v>
      </c>
    </row>
    <row r="199" spans="1:40" x14ac:dyDescent="0.25">
      <c r="A199">
        <v>42</v>
      </c>
      <c r="B199" t="s">
        <v>21</v>
      </c>
      <c r="C199" t="str">
        <f t="shared" si="194"/>
        <v>Golbat</v>
      </c>
      <c r="E199" t="s">
        <v>3</v>
      </c>
      <c r="F199" t="s">
        <v>5</v>
      </c>
      <c r="G199">
        <v>75</v>
      </c>
      <c r="H199">
        <v>80</v>
      </c>
      <c r="I199">
        <v>70</v>
      </c>
      <c r="J199">
        <v>65</v>
      </c>
      <c r="K199">
        <v>75</v>
      </c>
      <c r="L199">
        <v>90</v>
      </c>
      <c r="M199" t="s">
        <v>254</v>
      </c>
      <c r="N199" t="s">
        <v>304</v>
      </c>
      <c r="O199" t="s">
        <v>300</v>
      </c>
      <c r="P199">
        <f t="shared" si="146"/>
        <v>8.25</v>
      </c>
      <c r="Q199">
        <f t="shared" si="147"/>
        <v>7.35</v>
      </c>
      <c r="R199">
        <v>1</v>
      </c>
      <c r="S199">
        <v>0</v>
      </c>
      <c r="T199">
        <f t="shared" si="148"/>
        <v>9</v>
      </c>
      <c r="U199">
        <f t="shared" si="149"/>
        <v>7</v>
      </c>
      <c r="V199">
        <f t="shared" si="150"/>
        <v>16</v>
      </c>
      <c r="W199" t="str">
        <f t="shared" si="145"/>
        <v>poison</v>
      </c>
      <c r="X199" t="str">
        <f t="shared" si="201"/>
        <v>flying</v>
      </c>
      <c r="Y199" t="s">
        <v>7</v>
      </c>
      <c r="Z199" t="s">
        <v>8</v>
      </c>
      <c r="AA199" t="str">
        <f>B200</f>
        <v>Crobat</v>
      </c>
      <c r="AB199">
        <f t="shared" si="136"/>
        <v>5</v>
      </c>
      <c r="AC199" t="s">
        <v>1083</v>
      </c>
      <c r="AD199" t="str">
        <f>VLOOKUP(AC199,moves!A:B,2,FALSE)</f>
        <v>flying</v>
      </c>
      <c r="AE199">
        <f>VLOOKUP(AC199,moves!A:D,4,FALSE)</f>
        <v>3</v>
      </c>
      <c r="AF199" t="str">
        <f>IF(VLOOKUP(AC199,moves!A:F,5,FALSE)=0, "", VLOOKUP(AC199,moves!A:F,5,FALSE))</f>
        <v/>
      </c>
      <c r="AG199" t="str">
        <f>VLOOKUP(AC199,moves!A:F,6,FALSE)</f>
        <v>When the target is next attacked, add 1 [critical_hit] to the roll.</v>
      </c>
      <c r="AH199">
        <v>0</v>
      </c>
      <c r="AI199">
        <v>0</v>
      </c>
      <c r="AJ199" t="str" cm="1">
        <f t="array" ref="AJ199">_xlfn.IFS(AH199=1, "starter", AI199=1, "legendary",V199&lt; 13, "weak",V199&lt; 17, "moderate", TRUE, "strong")</f>
        <v>moderate</v>
      </c>
      <c r="AL199">
        <v>2</v>
      </c>
      <c r="AM199">
        <v>0</v>
      </c>
    </row>
    <row r="200" spans="1:40" x14ac:dyDescent="0.25">
      <c r="A200">
        <v>169</v>
      </c>
      <c r="B200" t="s">
        <v>70</v>
      </c>
      <c r="C200" t="str">
        <f t="shared" si="194"/>
        <v>Crobat</v>
      </c>
      <c r="E200" t="s">
        <v>3</v>
      </c>
      <c r="F200" t="s">
        <v>5</v>
      </c>
      <c r="G200">
        <v>85</v>
      </c>
      <c r="H200">
        <v>90</v>
      </c>
      <c r="I200">
        <v>80</v>
      </c>
      <c r="J200">
        <v>70</v>
      </c>
      <c r="K200">
        <v>80</v>
      </c>
      <c r="L200">
        <v>130</v>
      </c>
      <c r="M200" t="s">
        <v>254</v>
      </c>
      <c r="N200" t="s">
        <v>304</v>
      </c>
      <c r="O200" t="s">
        <v>300</v>
      </c>
      <c r="P200">
        <f t="shared" si="146"/>
        <v>10.4</v>
      </c>
      <c r="Q200">
        <f t="shared" si="147"/>
        <v>8.1999999999999993</v>
      </c>
      <c r="R200">
        <v>1</v>
      </c>
      <c r="S200">
        <v>0</v>
      </c>
      <c r="T200">
        <f t="shared" si="148"/>
        <v>11</v>
      </c>
      <c r="U200">
        <f t="shared" si="149"/>
        <v>8</v>
      </c>
      <c r="V200">
        <f t="shared" si="150"/>
        <v>19</v>
      </c>
      <c r="W200" t="str">
        <f t="shared" si="145"/>
        <v>poison</v>
      </c>
      <c r="X200" t="str">
        <f t="shared" si="201"/>
        <v>flying</v>
      </c>
      <c r="Y200" t="s">
        <v>7</v>
      </c>
      <c r="Z200" t="s">
        <v>8</v>
      </c>
      <c r="AB200" t="str">
        <f t="shared" si="136"/>
        <v/>
      </c>
      <c r="AC200" t="s">
        <v>464</v>
      </c>
      <c r="AD200" t="str">
        <f>VLOOKUP(AC200,moves!A:B,2,FALSE)</f>
        <v>poison</v>
      </c>
      <c r="AE200">
        <f>VLOOKUP(AC200,moves!A:D,4,FALSE)</f>
        <v>4</v>
      </c>
      <c r="AF200" t="str">
        <f>IF(VLOOKUP(AC200,moves!A:F,5,FALSE)=0, "", VLOOKUP(AC200,moves!A:F,5,FALSE))</f>
        <v/>
      </c>
      <c r="AG200" t="str">
        <f>VLOOKUP(AC200,moves!A:F,6,FALSE)</f>
        <v>[critical_hit]s deal +1 damage.</v>
      </c>
      <c r="AH200">
        <v>0</v>
      </c>
      <c r="AI200">
        <v>0</v>
      </c>
      <c r="AJ200" t="str" cm="1">
        <f t="array" ref="AJ200">_xlfn.IFS(AH200=1, "starter", AI200=1, "legendary",V200&lt; 13, "weak",V200&lt; 17, "moderate", TRUE, "strong")</f>
        <v>strong</v>
      </c>
      <c r="AL200">
        <v>3</v>
      </c>
      <c r="AM200">
        <v>0</v>
      </c>
    </row>
    <row r="201" spans="1:40" x14ac:dyDescent="0.25">
      <c r="A201">
        <v>66</v>
      </c>
      <c r="B201" t="s">
        <v>29</v>
      </c>
      <c r="C201" t="str">
        <f t="shared" si="194"/>
        <v>Machop</v>
      </c>
      <c r="E201" t="s">
        <v>22</v>
      </c>
      <c r="G201">
        <v>70</v>
      </c>
      <c r="H201">
        <v>80</v>
      </c>
      <c r="I201">
        <v>50</v>
      </c>
      <c r="J201">
        <v>35</v>
      </c>
      <c r="K201">
        <v>35</v>
      </c>
      <c r="L201">
        <v>35</v>
      </c>
      <c r="M201" t="s">
        <v>259</v>
      </c>
      <c r="N201" t="s">
        <v>304</v>
      </c>
      <c r="O201" t="s">
        <v>300</v>
      </c>
      <c r="P201">
        <f t="shared" si="146"/>
        <v>5.75</v>
      </c>
      <c r="Q201">
        <f t="shared" si="147"/>
        <v>5.35</v>
      </c>
      <c r="R201">
        <v>-1</v>
      </c>
      <c r="S201">
        <v>0</v>
      </c>
      <c r="T201">
        <f t="shared" si="148"/>
        <v>5</v>
      </c>
      <c r="U201">
        <f t="shared" si="149"/>
        <v>5</v>
      </c>
      <c r="V201">
        <f t="shared" si="150"/>
        <v>10</v>
      </c>
      <c r="W201" t="str">
        <f t="shared" si="145"/>
        <v>fighting</v>
      </c>
      <c r="X201" t="s">
        <v>8</v>
      </c>
      <c r="Y201" t="s">
        <v>13</v>
      </c>
      <c r="Z201" t="s">
        <v>67</v>
      </c>
      <c r="AA201" t="str">
        <f>B202</f>
        <v>Machoke</v>
      </c>
      <c r="AB201">
        <f t="shared" si="136"/>
        <v>4</v>
      </c>
      <c r="AC201" t="s">
        <v>1016</v>
      </c>
      <c r="AD201" t="str">
        <f>VLOOKUP(AC201,moves!A:B,2,FALSE)</f>
        <v>fighting</v>
      </c>
      <c r="AE201">
        <f>VLOOKUP(AC201,moves!A:D,4,FALSE)</f>
        <v>2</v>
      </c>
      <c r="AF201" t="str">
        <f>IF(VLOOKUP(AC201,moves!A:F,5,FALSE)=0, "", VLOOKUP(AC201,moves!A:F,5,FALSE))</f>
        <v>boost</v>
      </c>
      <c r="AG201" t="str">
        <f>VLOOKUP(AC201,moves!A:F,6,FALSE)</f>
        <v>Add 2 [regular_hit]s to your future attack rolls.</v>
      </c>
      <c r="AH201">
        <v>1</v>
      </c>
      <c r="AI201">
        <v>0</v>
      </c>
      <c r="AJ201" t="str" cm="1">
        <f t="array" ref="AJ201">_xlfn.IFS(AH201=1, "starter", AI201=1, "legendary",V201&lt; 13, "weak",V201&lt; 17, "moderate", TRUE, "strong")</f>
        <v>starter</v>
      </c>
      <c r="AL201">
        <v>1</v>
      </c>
      <c r="AM201">
        <v>0</v>
      </c>
    </row>
    <row r="202" spans="1:40" x14ac:dyDescent="0.25">
      <c r="A202">
        <v>67</v>
      </c>
      <c r="B202" t="s">
        <v>30</v>
      </c>
      <c r="C202" t="str">
        <f t="shared" si="194"/>
        <v>Machoke</v>
      </c>
      <c r="E202" t="s">
        <v>22</v>
      </c>
      <c r="G202">
        <v>80</v>
      </c>
      <c r="H202">
        <v>100</v>
      </c>
      <c r="I202">
        <v>70</v>
      </c>
      <c r="J202">
        <v>50</v>
      </c>
      <c r="K202">
        <v>60</v>
      </c>
      <c r="L202">
        <v>45</v>
      </c>
      <c r="M202" t="s">
        <v>259</v>
      </c>
      <c r="N202" t="s">
        <v>304</v>
      </c>
      <c r="O202" t="s">
        <v>300</v>
      </c>
      <c r="P202">
        <f t="shared" si="146"/>
        <v>7.3</v>
      </c>
      <c r="Q202">
        <f t="shared" si="147"/>
        <v>7.1</v>
      </c>
      <c r="R202">
        <v>0</v>
      </c>
      <c r="S202">
        <v>0</v>
      </c>
      <c r="T202">
        <f t="shared" si="148"/>
        <v>7</v>
      </c>
      <c r="U202">
        <f t="shared" si="149"/>
        <v>7</v>
      </c>
      <c r="V202">
        <f t="shared" si="150"/>
        <v>14</v>
      </c>
      <c r="W202" t="str">
        <f t="shared" si="145"/>
        <v>fighting</v>
      </c>
      <c r="X202" t="s">
        <v>8</v>
      </c>
      <c r="Y202" t="s">
        <v>13</v>
      </c>
      <c r="Z202" t="s">
        <v>67</v>
      </c>
      <c r="AA202" t="str">
        <f>B203</f>
        <v>Machamp</v>
      </c>
      <c r="AB202">
        <f t="shared" si="136"/>
        <v>8</v>
      </c>
      <c r="AC202" t="s">
        <v>1015</v>
      </c>
      <c r="AD202" t="str">
        <f>VLOOKUP(AC202,moves!A:B,2,FALSE)</f>
        <v>dragon</v>
      </c>
      <c r="AE202">
        <f>VLOOKUP(AC202,moves!A:D,4,FALSE)</f>
        <v>2</v>
      </c>
      <c r="AF202" t="str">
        <f>IF(VLOOKUP(AC202,moves!A:F,5,FALSE)=0, "", VLOOKUP(AC202,moves!A:F,5,FALSE))</f>
        <v/>
      </c>
      <c r="AG202" t="str">
        <f>VLOOKUP(AC202,moves!A:F,6,FALSE)</f>
        <v>[regular_hit]s deal +1 damage.</v>
      </c>
      <c r="AH202">
        <v>0</v>
      </c>
      <c r="AI202">
        <v>0</v>
      </c>
      <c r="AJ202" t="str" cm="1">
        <f t="array" ref="AJ202">_xlfn.IFS(AH202=1, "starter", AI202=1, "legendary",V202&lt; 13, "weak",V202&lt; 17, "moderate", TRUE, "strong")</f>
        <v>moderate</v>
      </c>
      <c r="AL202">
        <v>2</v>
      </c>
      <c r="AM202">
        <v>0</v>
      </c>
    </row>
    <row r="203" spans="1:40" x14ac:dyDescent="0.25">
      <c r="A203">
        <v>68</v>
      </c>
      <c r="B203" t="s">
        <v>31</v>
      </c>
      <c r="C203" t="str">
        <f t="shared" si="194"/>
        <v>Machamp</v>
      </c>
      <c r="E203" t="s">
        <v>22</v>
      </c>
      <c r="G203">
        <v>90</v>
      </c>
      <c r="H203">
        <v>130</v>
      </c>
      <c r="I203">
        <v>80</v>
      </c>
      <c r="J203">
        <v>65</v>
      </c>
      <c r="K203">
        <v>85</v>
      </c>
      <c r="L203">
        <v>55</v>
      </c>
      <c r="M203" t="s">
        <v>259</v>
      </c>
      <c r="N203" t="s">
        <v>304</v>
      </c>
      <c r="O203" t="s">
        <v>300</v>
      </c>
      <c r="P203">
        <f t="shared" si="146"/>
        <v>9.35</v>
      </c>
      <c r="Q203">
        <f t="shared" si="147"/>
        <v>8.5500000000000007</v>
      </c>
      <c r="R203">
        <v>1</v>
      </c>
      <c r="S203">
        <v>0</v>
      </c>
      <c r="T203">
        <f t="shared" si="148"/>
        <v>10</v>
      </c>
      <c r="U203">
        <f t="shared" si="149"/>
        <v>9</v>
      </c>
      <c r="V203">
        <f t="shared" si="150"/>
        <v>19</v>
      </c>
      <c r="W203" t="str">
        <f t="shared" si="145"/>
        <v>fighting</v>
      </c>
      <c r="X203" t="s">
        <v>8</v>
      </c>
      <c r="Y203" t="s">
        <v>13</v>
      </c>
      <c r="Z203" t="s">
        <v>67</v>
      </c>
      <c r="AB203" t="str">
        <f t="shared" si="136"/>
        <v/>
      </c>
      <c r="AC203" t="s">
        <v>704</v>
      </c>
      <c r="AD203" t="str">
        <f>VLOOKUP(AC203,moves!A:B,2,FALSE)</f>
        <v>fighting</v>
      </c>
      <c r="AE203" t="str">
        <f>VLOOKUP(AC203,moves!A:D,4,FALSE)</f>
        <v/>
      </c>
      <c r="AF203" t="str">
        <f>IF(VLOOKUP(AC203,moves!A:F,5,FALSE)=0, "", VLOOKUP(AC203,moves!A:F,5,FALSE))</f>
        <v>dynamic</v>
      </c>
      <c r="AG203" t="str">
        <f>VLOOKUP(AC203,moves!A:F,6,FALSE)</f>
        <v>Attack Strength is equal to half the base Health of the target, rounded down.</v>
      </c>
      <c r="AH203">
        <v>0</v>
      </c>
      <c r="AI203">
        <v>0</v>
      </c>
      <c r="AJ203" t="str" cm="1">
        <f t="array" ref="AJ203">_xlfn.IFS(AH203=1, "starter", AI203=1, "legendary",V203&lt; 13, "weak",V203&lt; 17, "moderate", TRUE, "strong")</f>
        <v>strong</v>
      </c>
      <c r="AL203">
        <v>3</v>
      </c>
      <c r="AM203">
        <v>0</v>
      </c>
      <c r="AN203">
        <v>1</v>
      </c>
    </row>
    <row r="204" spans="1:40" x14ac:dyDescent="0.25">
      <c r="A204" t="s">
        <v>1007</v>
      </c>
      <c r="B204" t="s">
        <v>31</v>
      </c>
      <c r="C204" t="str">
        <f t="shared" si="194"/>
        <v>Machamp</v>
      </c>
      <c r="D204" t="s">
        <v>1004</v>
      </c>
      <c r="E204" t="s">
        <v>22</v>
      </c>
      <c r="G204">
        <v>90</v>
      </c>
      <c r="H204">
        <v>130</v>
      </c>
      <c r="I204">
        <v>80</v>
      </c>
      <c r="J204">
        <v>65</v>
      </c>
      <c r="K204">
        <v>85</v>
      </c>
      <c r="L204">
        <v>55</v>
      </c>
      <c r="M204" t="s">
        <v>259</v>
      </c>
      <c r="O204" t="s">
        <v>777</v>
      </c>
      <c r="P204">
        <f t="shared" ref="P204" si="202">(0.4*L204 + 0.5*MAX(H204,J204) + 0.1*MIN(H204,J204)) / 10</f>
        <v>9.35</v>
      </c>
      <c r="Q204">
        <f t="shared" ref="Q204" si="203">(0.4*G204 + 0.3*I204 + 0.3*K204) / 10</f>
        <v>8.5500000000000007</v>
      </c>
      <c r="R204">
        <v>3</v>
      </c>
      <c r="S204">
        <v>2</v>
      </c>
      <c r="T204">
        <f t="shared" ref="T204" si="204">ROUND(P204,0)+R204</f>
        <v>12</v>
      </c>
      <c r="U204">
        <f t="shared" ref="U204" si="205">ROUND(Q204,0)+S204</f>
        <v>11</v>
      </c>
      <c r="V204">
        <f t="shared" ref="V204" si="206">SUM(ROUND(T204,0),ROUND(U204,0))</f>
        <v>23</v>
      </c>
      <c r="W204" t="str">
        <f t="shared" ref="W204" si="207">E204</f>
        <v>fighting</v>
      </c>
      <c r="X204" t="s">
        <v>8</v>
      </c>
      <c r="Y204" t="s">
        <v>13</v>
      </c>
      <c r="Z204" t="s">
        <v>67</v>
      </c>
      <c r="AB204" t="str">
        <f t="shared" ref="AB204:AB267" si="208">IF(ISBLANK(AA204), "", ROUND(( (V205-6)*(V205-7) - (V204-6)*(V204-7) )/15, 0) + 1)</f>
        <v/>
      </c>
      <c r="AC204" t="s">
        <v>704</v>
      </c>
      <c r="AD204" t="str">
        <f>VLOOKUP(AC204,moves!A:B,2,FALSE)</f>
        <v>fighting</v>
      </c>
      <c r="AE204" t="str">
        <f>VLOOKUP(AC204,moves!A:D,4,FALSE)</f>
        <v/>
      </c>
      <c r="AF204" t="str">
        <f>IF(VLOOKUP(AC204,moves!A:F,5,FALSE)=0, "", VLOOKUP(AC204,moves!A:F,5,FALSE))</f>
        <v>dynamic</v>
      </c>
      <c r="AG204" t="str">
        <f>VLOOKUP(AC204,moves!A:F,6,FALSE)</f>
        <v>Attack Strength is equal to half the base Health of the target, rounded down.</v>
      </c>
      <c r="AH204">
        <v>0</v>
      </c>
      <c r="AI204">
        <v>1</v>
      </c>
      <c r="AJ204" t="str" cm="1">
        <f t="array" ref="AJ204">_xlfn.IFS(AH204=1, "starter", AI204=1, "legendary",V204&lt; 13, "weak",V204&lt; 17, "moderate", TRUE, "strong")</f>
        <v>legendary</v>
      </c>
      <c r="AL204">
        <v>3</v>
      </c>
      <c r="AM204">
        <v>0</v>
      </c>
      <c r="AN204">
        <v>2</v>
      </c>
    </row>
    <row r="205" spans="1:40" x14ac:dyDescent="0.25">
      <c r="A205">
        <v>77</v>
      </c>
      <c r="B205" t="s">
        <v>36</v>
      </c>
      <c r="C205" t="str">
        <f t="shared" si="194"/>
        <v>Ponyta</v>
      </c>
      <c r="E205" t="s">
        <v>4</v>
      </c>
      <c r="G205">
        <v>50</v>
      </c>
      <c r="H205">
        <v>85</v>
      </c>
      <c r="I205">
        <v>55</v>
      </c>
      <c r="J205">
        <v>65</v>
      </c>
      <c r="K205">
        <v>65</v>
      </c>
      <c r="L205">
        <v>90</v>
      </c>
      <c r="M205" t="s">
        <v>262</v>
      </c>
      <c r="N205" t="s">
        <v>301</v>
      </c>
      <c r="O205" t="s">
        <v>302</v>
      </c>
      <c r="P205">
        <f t="shared" si="146"/>
        <v>8.5</v>
      </c>
      <c r="Q205">
        <f t="shared" si="147"/>
        <v>5.6</v>
      </c>
      <c r="R205">
        <v>0</v>
      </c>
      <c r="S205">
        <v>0</v>
      </c>
      <c r="T205">
        <f t="shared" si="148"/>
        <v>9</v>
      </c>
      <c r="U205">
        <f t="shared" si="149"/>
        <v>6</v>
      </c>
      <c r="V205">
        <f t="shared" si="150"/>
        <v>15</v>
      </c>
      <c r="W205" t="str">
        <f t="shared" si="145"/>
        <v>fire</v>
      </c>
      <c r="X205" t="s">
        <v>8</v>
      </c>
      <c r="Y205" t="s">
        <v>13</v>
      </c>
      <c r="Z205" t="s">
        <v>11</v>
      </c>
      <c r="AA205" t="str">
        <f>B206</f>
        <v>Rapidash</v>
      </c>
      <c r="AB205">
        <f t="shared" si="208"/>
        <v>4</v>
      </c>
      <c r="AC205" t="s">
        <v>511</v>
      </c>
      <c r="AD205" t="str">
        <f>VLOOKUP(AC205,moves!A:B,2,FALSE)</f>
        <v>normal</v>
      </c>
      <c r="AE205">
        <f>VLOOKUP(AC205,moves!A:D,4,FALSE)</f>
        <v>4</v>
      </c>
      <c r="AF205" t="str">
        <f>IF(VLOOKUP(AC205,moves!A:F,5,FALSE)=0, "", VLOOKUP(AC205,moves!A:F,5,FALSE))</f>
        <v/>
      </c>
      <c r="AG205" t="str">
        <f>VLOOKUP(AC205,moves!A:F,6,FALSE)</f>
        <v>[critical_hit]s deal +2 damage but for each [critical_hit] rolled: The user takes 1 damage.</v>
      </c>
      <c r="AH205">
        <v>0</v>
      </c>
      <c r="AI205">
        <v>0</v>
      </c>
      <c r="AJ205" t="str" cm="1">
        <f t="array" ref="AJ205">_xlfn.IFS(AH205=1, "starter", AI205=1, "legendary",V205&lt; 13, "weak",V205&lt; 17, "moderate", TRUE, "strong")</f>
        <v>moderate</v>
      </c>
      <c r="AL205">
        <v>1</v>
      </c>
      <c r="AM205">
        <v>0</v>
      </c>
    </row>
    <row r="206" spans="1:40" x14ac:dyDescent="0.25">
      <c r="A206">
        <v>78</v>
      </c>
      <c r="B206" t="s">
        <v>37</v>
      </c>
      <c r="C206" t="str">
        <f t="shared" si="194"/>
        <v>Rapidash</v>
      </c>
      <c r="E206" t="s">
        <v>4</v>
      </c>
      <c r="G206">
        <v>65</v>
      </c>
      <c r="H206">
        <v>100</v>
      </c>
      <c r="I206">
        <v>70</v>
      </c>
      <c r="J206">
        <v>80</v>
      </c>
      <c r="K206">
        <v>80</v>
      </c>
      <c r="L206">
        <v>105</v>
      </c>
      <c r="M206" t="s">
        <v>262</v>
      </c>
      <c r="N206" t="s">
        <v>301</v>
      </c>
      <c r="O206" t="s">
        <v>302</v>
      </c>
      <c r="P206">
        <f t="shared" si="146"/>
        <v>10</v>
      </c>
      <c r="Q206">
        <f t="shared" si="147"/>
        <v>7.1</v>
      </c>
      <c r="R206">
        <v>0</v>
      </c>
      <c r="S206">
        <v>0</v>
      </c>
      <c r="T206">
        <f t="shared" si="148"/>
        <v>10</v>
      </c>
      <c r="U206">
        <f t="shared" si="149"/>
        <v>7</v>
      </c>
      <c r="V206">
        <f t="shared" si="150"/>
        <v>17</v>
      </c>
      <c r="W206" t="str">
        <f t="shared" si="145"/>
        <v>fire</v>
      </c>
      <c r="X206" t="s">
        <v>8</v>
      </c>
      <c r="Y206" t="s">
        <v>13</v>
      </c>
      <c r="Z206" t="s">
        <v>11</v>
      </c>
      <c r="AB206" t="str">
        <f t="shared" si="208"/>
        <v/>
      </c>
      <c r="AC206" t="s">
        <v>670</v>
      </c>
      <c r="AD206" t="str">
        <f>VLOOKUP(AC206,moves!A:B,2,FALSE)</f>
        <v>fire</v>
      </c>
      <c r="AE206">
        <f>VLOOKUP(AC206,moves!A:D,4,FALSE)</f>
        <v>5</v>
      </c>
      <c r="AF206" t="str">
        <f>IF(VLOOKUP(AC206,moves!A:F,5,FALSE)=0, "", VLOOKUP(AC206,moves!A:F,5,FALSE))</f>
        <v/>
      </c>
      <c r="AG206" t="str">
        <f>VLOOKUP(AC206,moves!A:F,6,FALSE)</f>
        <v>[critical_hit]s deal +2 damage but for each [critical_hit] rolled: The user takes 2 damage.</v>
      </c>
      <c r="AH206">
        <v>0</v>
      </c>
      <c r="AI206">
        <v>0</v>
      </c>
      <c r="AJ206" t="str" cm="1">
        <f t="array" ref="AJ206">_xlfn.IFS(AH206=1, "starter", AI206=1, "legendary",V206&lt; 13, "weak",V206&lt; 17, "moderate", TRUE, "strong")</f>
        <v>strong</v>
      </c>
      <c r="AL206">
        <v>2</v>
      </c>
      <c r="AM206">
        <v>0</v>
      </c>
    </row>
    <row r="207" spans="1:40" x14ac:dyDescent="0.25">
      <c r="A207">
        <v>214</v>
      </c>
      <c r="B207" t="s">
        <v>89</v>
      </c>
      <c r="C207" t="str">
        <f t="shared" si="194"/>
        <v>Heracross</v>
      </c>
      <c r="E207" t="s">
        <v>7</v>
      </c>
      <c r="F207" t="s">
        <v>22</v>
      </c>
      <c r="G207">
        <v>80</v>
      </c>
      <c r="H207">
        <v>125</v>
      </c>
      <c r="I207">
        <v>75</v>
      </c>
      <c r="J207">
        <v>40</v>
      </c>
      <c r="K207">
        <v>95</v>
      </c>
      <c r="L207">
        <v>85</v>
      </c>
      <c r="M207" t="s">
        <v>279</v>
      </c>
      <c r="N207" t="s">
        <v>298</v>
      </c>
      <c r="O207" t="s">
        <v>300</v>
      </c>
      <c r="P207">
        <f t="shared" si="146"/>
        <v>10.050000000000001</v>
      </c>
      <c r="Q207">
        <f t="shared" si="147"/>
        <v>8.3000000000000007</v>
      </c>
      <c r="R207">
        <v>0</v>
      </c>
      <c r="S207">
        <v>0</v>
      </c>
      <c r="T207">
        <f t="shared" si="148"/>
        <v>10</v>
      </c>
      <c r="U207">
        <f t="shared" si="149"/>
        <v>8</v>
      </c>
      <c r="V207">
        <f t="shared" si="150"/>
        <v>18</v>
      </c>
      <c r="W207" t="str">
        <f t="shared" si="145"/>
        <v>bug</v>
      </c>
      <c r="X207" t="str">
        <f t="shared" ref="X207:X213" si="209">F207</f>
        <v>fighting</v>
      </c>
      <c r="Y207" t="s">
        <v>5</v>
      </c>
      <c r="Z207" t="s">
        <v>8</v>
      </c>
      <c r="AB207" t="str">
        <f t="shared" si="208"/>
        <v/>
      </c>
      <c r="AC207" t="s">
        <v>497</v>
      </c>
      <c r="AD207" t="str">
        <f>VLOOKUP(AC207,moves!A:B,2,FALSE)</f>
        <v>bug</v>
      </c>
      <c r="AE207">
        <f>VLOOKUP(AC207,moves!A:D,4,FALSE)</f>
        <v>5</v>
      </c>
      <c r="AF207" t="str">
        <f>IF(VLOOKUP(AC207,moves!A:F,5,FALSE)=0, "", VLOOKUP(AC207,moves!A:F,5,FALSE))</f>
        <v/>
      </c>
      <c r="AG207" t="str">
        <f>VLOOKUP(AC207,moves!A:F,6,FALSE)</f>
        <v>[critical_hit]s deal +1 damage but [status_symbol]s deal -1 damage.</v>
      </c>
      <c r="AH207">
        <v>0</v>
      </c>
      <c r="AI207">
        <v>0</v>
      </c>
      <c r="AJ207" t="str" cm="1">
        <f t="array" ref="AJ207">_xlfn.IFS(AH207=1, "starter", AI207=1, "legendary",V207&lt; 13, "weak",V207&lt; 17, "moderate", TRUE, "strong")</f>
        <v>strong</v>
      </c>
      <c r="AL207">
        <v>1</v>
      </c>
      <c r="AM207">
        <v>0</v>
      </c>
    </row>
    <row r="208" spans="1:40" x14ac:dyDescent="0.25">
      <c r="A208">
        <v>144</v>
      </c>
      <c r="B208" t="s">
        <v>63</v>
      </c>
      <c r="C208" t="str">
        <f t="shared" si="194"/>
        <v>Articuno</v>
      </c>
      <c r="E208" t="s">
        <v>14</v>
      </c>
      <c r="F208" t="s">
        <v>5</v>
      </c>
      <c r="G208">
        <v>90</v>
      </c>
      <c r="H208">
        <v>85</v>
      </c>
      <c r="I208">
        <v>100</v>
      </c>
      <c r="J208">
        <v>95</v>
      </c>
      <c r="K208">
        <v>125</v>
      </c>
      <c r="L208">
        <v>85</v>
      </c>
      <c r="M208" t="s">
        <v>271</v>
      </c>
      <c r="N208" t="s">
        <v>304</v>
      </c>
      <c r="O208" t="s">
        <v>299</v>
      </c>
      <c r="P208">
        <f t="shared" si="146"/>
        <v>9</v>
      </c>
      <c r="Q208">
        <f t="shared" si="147"/>
        <v>10.35</v>
      </c>
      <c r="R208">
        <v>2</v>
      </c>
      <c r="S208">
        <v>-1</v>
      </c>
      <c r="T208">
        <f t="shared" si="148"/>
        <v>11</v>
      </c>
      <c r="U208">
        <f t="shared" si="149"/>
        <v>9</v>
      </c>
      <c r="V208">
        <f t="shared" si="150"/>
        <v>20</v>
      </c>
      <c r="W208" t="str">
        <f t="shared" si="145"/>
        <v>ice</v>
      </c>
      <c r="X208" t="str">
        <f t="shared" si="209"/>
        <v>flying</v>
      </c>
      <c r="Y208" t="s">
        <v>8</v>
      </c>
      <c r="Z208" t="s">
        <v>26</v>
      </c>
      <c r="AB208" t="str">
        <f t="shared" si="208"/>
        <v/>
      </c>
      <c r="AC208" t="s">
        <v>1087</v>
      </c>
      <c r="AD208" t="str">
        <f>VLOOKUP(AC208,moves!A:B,2,FALSE)</f>
        <v>ice</v>
      </c>
      <c r="AE208">
        <f>VLOOKUP(AC208,moves!A:D,4,FALSE)</f>
        <v>5</v>
      </c>
      <c r="AF208" t="str">
        <f>IF(VLOOKUP(AC208,moves!A:F,5,FALSE)=0, "", VLOOKUP(AC208,moves!A:F,5,FALSE))</f>
        <v>dynamic</v>
      </c>
      <c r="AG208" t="str">
        <f>VLOOKUP(AC208,moves!A:F,6,FALSE)</f>
        <v>For each other Song Move in your party: Attack Strength is increased by 1.</v>
      </c>
      <c r="AH208">
        <v>0</v>
      </c>
      <c r="AI208">
        <v>1</v>
      </c>
      <c r="AJ208" t="str" cm="1">
        <f t="array" ref="AJ208">_xlfn.IFS(AH208=1, "starter", AI208=1, "legendary",V208&lt; 13, "weak",V208&lt; 17, "moderate", TRUE, "strong")</f>
        <v>legendary</v>
      </c>
      <c r="AL208">
        <v>1</v>
      </c>
      <c r="AM208">
        <v>0</v>
      </c>
    </row>
    <row r="209" spans="1:39" x14ac:dyDescent="0.25">
      <c r="A209">
        <v>145</v>
      </c>
      <c r="B209" t="s">
        <v>64</v>
      </c>
      <c r="C209" t="str">
        <f t="shared" si="194"/>
        <v>Zapdos</v>
      </c>
      <c r="E209" t="s">
        <v>11</v>
      </c>
      <c r="F209" t="s">
        <v>5</v>
      </c>
      <c r="G209">
        <v>90</v>
      </c>
      <c r="H209">
        <v>90</v>
      </c>
      <c r="I209">
        <v>85</v>
      </c>
      <c r="J209">
        <v>125</v>
      </c>
      <c r="K209">
        <v>90</v>
      </c>
      <c r="L209">
        <v>100</v>
      </c>
      <c r="M209" t="s">
        <v>269</v>
      </c>
      <c r="N209" t="s">
        <v>304</v>
      </c>
      <c r="O209" t="s">
        <v>300</v>
      </c>
      <c r="P209">
        <f t="shared" si="146"/>
        <v>11.15</v>
      </c>
      <c r="Q209">
        <f t="shared" si="147"/>
        <v>8.85</v>
      </c>
      <c r="R209">
        <v>0</v>
      </c>
      <c r="S209">
        <v>0</v>
      </c>
      <c r="T209">
        <f t="shared" si="148"/>
        <v>11</v>
      </c>
      <c r="U209">
        <f t="shared" si="149"/>
        <v>9</v>
      </c>
      <c r="V209">
        <f t="shared" si="150"/>
        <v>20</v>
      </c>
      <c r="W209" t="str">
        <f t="shared" si="145"/>
        <v>electric</v>
      </c>
      <c r="X209" t="str">
        <f t="shared" si="209"/>
        <v>flying</v>
      </c>
      <c r="Y209" t="s">
        <v>8</v>
      </c>
      <c r="Z209" t="s">
        <v>22</v>
      </c>
      <c r="AB209" t="str">
        <f t="shared" si="208"/>
        <v/>
      </c>
      <c r="AC209" t="s">
        <v>1088</v>
      </c>
      <c r="AD209" t="str">
        <f>VLOOKUP(AC209,moves!A:B,2,FALSE)</f>
        <v>electric</v>
      </c>
      <c r="AE209">
        <f>VLOOKUP(AC209,moves!A:D,4,FALSE)</f>
        <v>5</v>
      </c>
      <c r="AF209" t="str">
        <f>IF(VLOOKUP(AC209,moves!A:F,5,FALSE)=0, "", VLOOKUP(AC209,moves!A:F,5,FALSE))</f>
        <v>dynamic</v>
      </c>
      <c r="AG209" t="str">
        <f>VLOOKUP(AC209,moves!A:F,6,FALSE)</f>
        <v>For each other Song Move in your party: Attack Strength is increased by 1.</v>
      </c>
      <c r="AH209">
        <v>0</v>
      </c>
      <c r="AI209">
        <v>1</v>
      </c>
      <c r="AJ209" t="str" cm="1">
        <f t="array" ref="AJ209">_xlfn.IFS(AH209=1, "starter", AI209=1, "legendary",V209&lt; 13, "weak",V209&lt; 17, "moderate", TRUE, "strong")</f>
        <v>legendary</v>
      </c>
      <c r="AL209">
        <v>1</v>
      </c>
      <c r="AM209">
        <v>0</v>
      </c>
    </row>
    <row r="210" spans="1:39" x14ac:dyDescent="0.25">
      <c r="A210">
        <v>146</v>
      </c>
      <c r="B210" t="s">
        <v>65</v>
      </c>
      <c r="C210" t="str">
        <f t="shared" si="194"/>
        <v>Moltres</v>
      </c>
      <c r="E210" t="s">
        <v>4</v>
      </c>
      <c r="F210" t="s">
        <v>5</v>
      </c>
      <c r="G210">
        <v>90</v>
      </c>
      <c r="H210">
        <v>100</v>
      </c>
      <c r="I210">
        <v>90</v>
      </c>
      <c r="J210">
        <v>125</v>
      </c>
      <c r="K210">
        <v>85</v>
      </c>
      <c r="L210">
        <v>90</v>
      </c>
      <c r="M210" t="s">
        <v>247</v>
      </c>
      <c r="N210" t="s">
        <v>304</v>
      </c>
      <c r="O210" t="s">
        <v>302</v>
      </c>
      <c r="P210">
        <f t="shared" si="146"/>
        <v>10.85</v>
      </c>
      <c r="Q210">
        <f t="shared" si="147"/>
        <v>8.85</v>
      </c>
      <c r="R210">
        <v>0</v>
      </c>
      <c r="S210">
        <v>0</v>
      </c>
      <c r="T210">
        <f t="shared" si="148"/>
        <v>11</v>
      </c>
      <c r="U210">
        <f t="shared" si="149"/>
        <v>9</v>
      </c>
      <c r="V210">
        <f t="shared" si="150"/>
        <v>20</v>
      </c>
      <c r="W210" t="str">
        <f t="shared" si="145"/>
        <v>fire</v>
      </c>
      <c r="X210" t="str">
        <f t="shared" si="209"/>
        <v>flying</v>
      </c>
      <c r="Y210" t="s">
        <v>8</v>
      </c>
      <c r="Z210" t="s">
        <v>9</v>
      </c>
      <c r="AB210" t="str">
        <f t="shared" si="208"/>
        <v/>
      </c>
      <c r="AC210" t="s">
        <v>1089</v>
      </c>
      <c r="AD210" t="str">
        <f>VLOOKUP(AC210,moves!A:B,2,FALSE)</f>
        <v>fire</v>
      </c>
      <c r="AE210">
        <f>VLOOKUP(AC210,moves!A:D,4,FALSE)</f>
        <v>5</v>
      </c>
      <c r="AF210" t="str">
        <f>IF(VLOOKUP(AC210,moves!A:F,5,FALSE)=0, "", VLOOKUP(AC210,moves!A:F,5,FALSE))</f>
        <v>dynamic</v>
      </c>
      <c r="AG210" t="str">
        <f>VLOOKUP(AC210,moves!A:F,6,FALSE)</f>
        <v>For each other Song Move in your party: Attack Strength is increased by 1.</v>
      </c>
      <c r="AH210">
        <v>0</v>
      </c>
      <c r="AI210">
        <v>1</v>
      </c>
      <c r="AJ210" t="str" cm="1">
        <f t="array" ref="AJ210">_xlfn.IFS(AH210=1, "starter", AI210=1, "legendary",V210&lt; 13, "weak",V210&lt; 17, "moderate", TRUE, "strong")</f>
        <v>legendary</v>
      </c>
      <c r="AL210">
        <v>1</v>
      </c>
      <c r="AM210">
        <v>0</v>
      </c>
    </row>
    <row r="211" spans="1:39" x14ac:dyDescent="0.25">
      <c r="A211">
        <v>246</v>
      </c>
      <c r="B211" t="s">
        <v>107</v>
      </c>
      <c r="C211" t="str">
        <f t="shared" si="194"/>
        <v>Larvitar</v>
      </c>
      <c r="E211" t="s">
        <v>33</v>
      </c>
      <c r="F211" t="s">
        <v>13</v>
      </c>
      <c r="G211">
        <v>50</v>
      </c>
      <c r="H211">
        <v>64</v>
      </c>
      <c r="I211">
        <v>50</v>
      </c>
      <c r="J211">
        <v>45</v>
      </c>
      <c r="K211">
        <v>50</v>
      </c>
      <c r="L211">
        <v>41</v>
      </c>
      <c r="M211" t="s">
        <v>288</v>
      </c>
      <c r="N211" t="s">
        <v>304</v>
      </c>
      <c r="O211" t="s">
        <v>302</v>
      </c>
      <c r="P211">
        <f t="shared" si="146"/>
        <v>5.2900000000000009</v>
      </c>
      <c r="Q211">
        <f t="shared" si="147"/>
        <v>5</v>
      </c>
      <c r="R211">
        <v>0</v>
      </c>
      <c r="S211">
        <v>0</v>
      </c>
      <c r="T211">
        <f t="shared" si="148"/>
        <v>5</v>
      </c>
      <c r="U211">
        <f t="shared" si="149"/>
        <v>5</v>
      </c>
      <c r="V211">
        <f t="shared" si="150"/>
        <v>10</v>
      </c>
      <c r="W211" t="str">
        <f t="shared" si="145"/>
        <v>rock</v>
      </c>
      <c r="X211" t="str">
        <f t="shared" si="209"/>
        <v>ground</v>
      </c>
      <c r="Y211" t="s">
        <v>9</v>
      </c>
      <c r="Z211" t="s">
        <v>4</v>
      </c>
      <c r="AA211" t="str">
        <f>B212</f>
        <v>Pupitar</v>
      </c>
      <c r="AB211">
        <f t="shared" si="208"/>
        <v>4</v>
      </c>
      <c r="AC211" t="s">
        <v>524</v>
      </c>
      <c r="AD211" t="str">
        <f>VLOOKUP(AC211,moves!A:B,2,FALSE)</f>
        <v>ground</v>
      </c>
      <c r="AE211">
        <f>VLOOKUP(AC211,moves!A:D,4,FALSE)</f>
        <v>2</v>
      </c>
      <c r="AF211" t="str">
        <f>IF(VLOOKUP(AC211,moves!A:F,5,FALSE)=0, "", VLOOKUP(AC211,moves!A:F,5,FALSE))</f>
        <v/>
      </c>
      <c r="AG211" t="str">
        <f>VLOOKUP(AC211,moves!A:F,6,FALSE)</f>
        <v>Inflict the [paralysed] status on the target.</v>
      </c>
      <c r="AH211">
        <v>0</v>
      </c>
      <c r="AI211">
        <v>0</v>
      </c>
      <c r="AJ211" t="str" cm="1">
        <f t="array" ref="AJ211">_xlfn.IFS(AH211=1, "starter", AI211=1, "legendary",V211&lt; 13, "weak",V211&lt; 17, "moderate", TRUE, "strong")</f>
        <v>weak</v>
      </c>
      <c r="AL211">
        <v>1</v>
      </c>
      <c r="AM211">
        <v>0</v>
      </c>
    </row>
    <row r="212" spans="1:39" x14ac:dyDescent="0.25">
      <c r="A212">
        <v>247</v>
      </c>
      <c r="B212" t="s">
        <v>108</v>
      </c>
      <c r="C212" t="str">
        <f t="shared" si="194"/>
        <v>Pupitar</v>
      </c>
      <c r="E212" t="s">
        <v>33</v>
      </c>
      <c r="F212" t="s">
        <v>13</v>
      </c>
      <c r="G212">
        <v>70</v>
      </c>
      <c r="H212">
        <v>84</v>
      </c>
      <c r="I212">
        <v>70</v>
      </c>
      <c r="J212">
        <v>65</v>
      </c>
      <c r="K212">
        <v>70</v>
      </c>
      <c r="L212">
        <v>51</v>
      </c>
      <c r="M212" t="s">
        <v>289</v>
      </c>
      <c r="N212" t="s">
        <v>304</v>
      </c>
      <c r="O212" t="s">
        <v>302</v>
      </c>
      <c r="P212">
        <f t="shared" si="146"/>
        <v>6.8900000000000006</v>
      </c>
      <c r="Q212">
        <f t="shared" si="147"/>
        <v>7</v>
      </c>
      <c r="R212">
        <v>0</v>
      </c>
      <c r="S212">
        <v>0</v>
      </c>
      <c r="T212">
        <f t="shared" si="148"/>
        <v>7</v>
      </c>
      <c r="U212">
        <f t="shared" si="149"/>
        <v>7</v>
      </c>
      <c r="V212">
        <f t="shared" si="150"/>
        <v>14</v>
      </c>
      <c r="W212" t="str">
        <f t="shared" si="145"/>
        <v>rock</v>
      </c>
      <c r="X212" t="str">
        <f t="shared" si="209"/>
        <v>ground</v>
      </c>
      <c r="Y212" t="s">
        <v>9</v>
      </c>
      <c r="Z212" t="s">
        <v>4</v>
      </c>
      <c r="AA212" t="str">
        <f>B213</f>
        <v>Tyranitar</v>
      </c>
      <c r="AB212">
        <f t="shared" si="208"/>
        <v>9</v>
      </c>
      <c r="AC212" t="s">
        <v>526</v>
      </c>
      <c r="AD212" t="str">
        <f>VLOOKUP(AC212,moves!A:B,2,FALSE)</f>
        <v>dark</v>
      </c>
      <c r="AE212">
        <f>VLOOKUP(AC212,moves!A:D,4,FALSE)</f>
        <v>3</v>
      </c>
      <c r="AF212" t="str">
        <f>IF(VLOOKUP(AC212,moves!A:F,5,FALSE)=0, "", VLOOKUP(AC212,moves!A:F,5,FALSE))</f>
        <v/>
      </c>
      <c r="AG212" t="str">
        <f>VLOOKUP(AC212,moves!A:F,6,FALSE)</f>
        <v>When the target is next attacked, add 1 [regular_hit] to the roll.</v>
      </c>
      <c r="AH212">
        <v>0</v>
      </c>
      <c r="AI212">
        <v>0</v>
      </c>
      <c r="AJ212" t="str" cm="1">
        <f t="array" ref="AJ212">_xlfn.IFS(AH212=1, "starter", AI212=1, "legendary",V212&lt; 13, "weak",V212&lt; 17, "moderate", TRUE, "strong")</f>
        <v>moderate</v>
      </c>
      <c r="AL212">
        <v>2</v>
      </c>
      <c r="AM212">
        <v>0</v>
      </c>
    </row>
    <row r="213" spans="1:39" x14ac:dyDescent="0.25">
      <c r="A213">
        <v>248</v>
      </c>
      <c r="B213" t="s">
        <v>109</v>
      </c>
      <c r="C213" t="str">
        <f t="shared" ref="C213:C244" si="210">B213</f>
        <v>Tyranitar</v>
      </c>
      <c r="E213" t="s">
        <v>33</v>
      </c>
      <c r="F213" t="s">
        <v>9</v>
      </c>
      <c r="G213">
        <v>100</v>
      </c>
      <c r="H213">
        <v>134</v>
      </c>
      <c r="I213">
        <v>110</v>
      </c>
      <c r="J213">
        <v>95</v>
      </c>
      <c r="K213">
        <v>100</v>
      </c>
      <c r="L213">
        <v>61</v>
      </c>
      <c r="M213" t="s">
        <v>284</v>
      </c>
      <c r="N213" t="s">
        <v>304</v>
      </c>
      <c r="O213" t="s">
        <v>302</v>
      </c>
      <c r="P213">
        <f t="shared" si="146"/>
        <v>10.09</v>
      </c>
      <c r="Q213">
        <f t="shared" si="147"/>
        <v>10.3</v>
      </c>
      <c r="R213">
        <v>0</v>
      </c>
      <c r="S213">
        <v>0</v>
      </c>
      <c r="T213">
        <f t="shared" si="148"/>
        <v>10</v>
      </c>
      <c r="U213">
        <f t="shared" si="149"/>
        <v>10</v>
      </c>
      <c r="V213">
        <f t="shared" si="150"/>
        <v>20</v>
      </c>
      <c r="W213" t="str">
        <f t="shared" si="145"/>
        <v>rock</v>
      </c>
      <c r="X213" t="str">
        <f t="shared" si="209"/>
        <v>dark</v>
      </c>
      <c r="Y213" t="s">
        <v>13</v>
      </c>
      <c r="Z213" t="s">
        <v>4</v>
      </c>
      <c r="AB213" t="str">
        <f t="shared" si="208"/>
        <v/>
      </c>
      <c r="AC213" t="s">
        <v>498</v>
      </c>
      <c r="AD213" t="str">
        <f>VLOOKUP(AC213,moves!A:B,2,FALSE)</f>
        <v>rock</v>
      </c>
      <c r="AE213">
        <f>VLOOKUP(AC213,moves!A:D,4,FALSE)</f>
        <v>5</v>
      </c>
      <c r="AF213" t="str">
        <f>IF(VLOOKUP(AC213,moves!A:F,5,FALSE)=0, "", VLOOKUP(AC213,moves!A:F,5,FALSE))</f>
        <v/>
      </c>
      <c r="AG213" t="str">
        <f>VLOOKUP(AC213,moves!A:F,6,FALSE)</f>
        <v>[critical_hit]s deal +1 damage but [status_symbol]s deal -1 damage.</v>
      </c>
      <c r="AH213">
        <v>0</v>
      </c>
      <c r="AI213">
        <v>0</v>
      </c>
      <c r="AJ213" t="str" cm="1">
        <f t="array" ref="AJ213">_xlfn.IFS(AH213=1, "starter", AI213=1, "legendary",V213&lt; 13, "weak",V213&lt; 17, "moderate", TRUE, "strong")</f>
        <v>strong</v>
      </c>
      <c r="AL213">
        <v>3</v>
      </c>
      <c r="AM213">
        <v>0</v>
      </c>
    </row>
    <row r="214" spans="1:39" x14ac:dyDescent="0.25">
      <c r="A214">
        <v>201</v>
      </c>
      <c r="B214" t="s">
        <v>86</v>
      </c>
      <c r="C214" t="str">
        <f t="shared" si="210"/>
        <v>Unown</v>
      </c>
      <c r="E214" t="s">
        <v>26</v>
      </c>
      <c r="G214">
        <v>48</v>
      </c>
      <c r="H214">
        <v>72</v>
      </c>
      <c r="I214">
        <v>48</v>
      </c>
      <c r="J214">
        <v>72</v>
      </c>
      <c r="K214">
        <v>48</v>
      </c>
      <c r="L214">
        <v>48</v>
      </c>
      <c r="M214" t="s">
        <v>277</v>
      </c>
      <c r="O214" t="s">
        <v>549</v>
      </c>
      <c r="P214">
        <f t="shared" si="146"/>
        <v>6.24</v>
      </c>
      <c r="Q214">
        <f t="shared" si="147"/>
        <v>4.8</v>
      </c>
      <c r="R214">
        <v>0</v>
      </c>
      <c r="S214">
        <v>0</v>
      </c>
      <c r="T214">
        <f t="shared" si="148"/>
        <v>6</v>
      </c>
      <c r="U214">
        <f t="shared" si="149"/>
        <v>5</v>
      </c>
      <c r="V214">
        <f t="shared" si="150"/>
        <v>11</v>
      </c>
      <c r="W214" t="str">
        <f t="shared" si="145"/>
        <v>psychic</v>
      </c>
      <c r="X214" t="s">
        <v>11</v>
      </c>
      <c r="Y214" t="s">
        <v>4</v>
      </c>
      <c r="Z214" t="s">
        <v>14</v>
      </c>
      <c r="AB214" t="str">
        <f t="shared" si="208"/>
        <v/>
      </c>
      <c r="AC214" t="s">
        <v>537</v>
      </c>
      <c r="AD214" t="str">
        <f>VLOOKUP(AC214,moves!A:B,2,FALSE)</f>
        <v>typeless</v>
      </c>
      <c r="AE214">
        <f>VLOOKUP(AC214,moves!A:D,4,FALSE)</f>
        <v>3</v>
      </c>
      <c r="AF214" t="str">
        <f>IF(VLOOKUP(AC214,moves!A:F,5,FALSE)=0, "", VLOOKUP(AC214,moves!A:F,5,FALSE))</f>
        <v>dynamic</v>
      </c>
      <c r="AG214" t="str">
        <f>VLOOKUP(AC214,moves!A:F,6,FALSE)</f>
        <v>Choose any learnable type of the user as the type of this attack.</v>
      </c>
      <c r="AH214">
        <v>0</v>
      </c>
      <c r="AI214">
        <v>0</v>
      </c>
      <c r="AJ214" t="str" cm="1">
        <f t="array" ref="AJ214">_xlfn.IFS(AH214=1, "starter", AI214=1, "legendary",V214&lt; 13, "weak",V214&lt; 17, "moderate", TRUE, "strong")</f>
        <v>weak</v>
      </c>
      <c r="AL214">
        <v>1</v>
      </c>
      <c r="AM214">
        <v>0</v>
      </c>
    </row>
    <row r="215" spans="1:39" x14ac:dyDescent="0.25">
      <c r="A215">
        <v>92</v>
      </c>
      <c r="B215" t="s">
        <v>41</v>
      </c>
      <c r="C215" t="str">
        <f t="shared" si="210"/>
        <v>Gastly</v>
      </c>
      <c r="E215" t="s">
        <v>42</v>
      </c>
      <c r="F215" t="s">
        <v>3</v>
      </c>
      <c r="G215">
        <v>30</v>
      </c>
      <c r="H215">
        <v>35</v>
      </c>
      <c r="I215">
        <v>30</v>
      </c>
      <c r="J215">
        <v>100</v>
      </c>
      <c r="K215">
        <v>35</v>
      </c>
      <c r="L215">
        <v>80</v>
      </c>
      <c r="M215" t="s">
        <v>263</v>
      </c>
      <c r="N215" t="s">
        <v>298</v>
      </c>
      <c r="O215" t="s">
        <v>299</v>
      </c>
      <c r="P215">
        <f t="shared" si="146"/>
        <v>8.5500000000000007</v>
      </c>
      <c r="Q215">
        <f t="shared" si="147"/>
        <v>3.15</v>
      </c>
      <c r="R215">
        <v>0</v>
      </c>
      <c r="S215">
        <v>0</v>
      </c>
      <c r="T215">
        <f t="shared" si="148"/>
        <v>9</v>
      </c>
      <c r="U215">
        <f t="shared" si="149"/>
        <v>3</v>
      </c>
      <c r="V215">
        <f t="shared" si="150"/>
        <v>12</v>
      </c>
      <c r="W215" t="str">
        <f t="shared" si="145"/>
        <v>ghost</v>
      </c>
      <c r="X215" t="str">
        <f>IF(F215 = 0, "", F215)</f>
        <v>poison</v>
      </c>
      <c r="Y215" t="s">
        <v>26</v>
      </c>
      <c r="Z215" t="s">
        <v>9</v>
      </c>
      <c r="AA215" t="str">
        <f>B216</f>
        <v>Haunter</v>
      </c>
      <c r="AB215">
        <f t="shared" si="208"/>
        <v>4</v>
      </c>
      <c r="AC215" t="s">
        <v>914</v>
      </c>
      <c r="AD215" t="str">
        <f>VLOOKUP(AC215,moves!A:B,2,FALSE)</f>
        <v>ghost</v>
      </c>
      <c r="AE215">
        <f>VLOOKUP(AC215,moves!A:D,4,FALSE)</f>
        <v>1</v>
      </c>
      <c r="AF215" t="str">
        <f>IF(VLOOKUP(AC215,moves!A:F,5,FALSE)=0, "", VLOOKUP(AC215,moves!A:F,5,FALSE))</f>
        <v>agile</v>
      </c>
      <c r="AG215" t="str">
        <f>VLOOKUP(AC215,moves!A:F,6,FALSE)</f>
        <v>Inflict the [paralysed] status on the target.</v>
      </c>
      <c r="AH215">
        <v>0</v>
      </c>
      <c r="AI215">
        <v>0</v>
      </c>
      <c r="AJ215" t="str" cm="1">
        <f t="array" ref="AJ215">_xlfn.IFS(AH215=1, "starter", AI215=1, "legendary",V215&lt; 13, "weak",V215&lt; 17, "moderate", TRUE, "strong")</f>
        <v>weak</v>
      </c>
      <c r="AL215">
        <v>1</v>
      </c>
      <c r="AM215">
        <v>0</v>
      </c>
    </row>
    <row r="216" spans="1:39" x14ac:dyDescent="0.25">
      <c r="A216">
        <v>93</v>
      </c>
      <c r="B216" t="s">
        <v>43</v>
      </c>
      <c r="C216" t="str">
        <f t="shared" si="210"/>
        <v>Haunter</v>
      </c>
      <c r="E216" t="s">
        <v>42</v>
      </c>
      <c r="F216" t="s">
        <v>3</v>
      </c>
      <c r="G216">
        <v>45</v>
      </c>
      <c r="H216">
        <v>50</v>
      </c>
      <c r="I216">
        <v>45</v>
      </c>
      <c r="J216">
        <v>115</v>
      </c>
      <c r="K216">
        <v>55</v>
      </c>
      <c r="L216">
        <v>95</v>
      </c>
      <c r="M216" t="s">
        <v>263</v>
      </c>
      <c r="N216" t="s">
        <v>298</v>
      </c>
      <c r="O216" t="s">
        <v>299</v>
      </c>
      <c r="P216">
        <f t="shared" si="146"/>
        <v>10.050000000000001</v>
      </c>
      <c r="Q216">
        <f t="shared" si="147"/>
        <v>4.8</v>
      </c>
      <c r="R216">
        <v>0</v>
      </c>
      <c r="S216">
        <v>0</v>
      </c>
      <c r="T216">
        <f t="shared" si="148"/>
        <v>10</v>
      </c>
      <c r="U216">
        <f t="shared" si="149"/>
        <v>5</v>
      </c>
      <c r="V216">
        <f t="shared" si="150"/>
        <v>15</v>
      </c>
      <c r="W216" t="str">
        <f t="shared" si="145"/>
        <v>ghost</v>
      </c>
      <c r="X216" t="str">
        <f>IF(F216 = 0, "", F216)</f>
        <v>poison</v>
      </c>
      <c r="Y216" t="s">
        <v>26</v>
      </c>
      <c r="Z216" t="s">
        <v>9</v>
      </c>
      <c r="AA216" t="str">
        <f>B217</f>
        <v>Gengar</v>
      </c>
      <c r="AB216">
        <f t="shared" si="208"/>
        <v>5</v>
      </c>
      <c r="AC216" t="s">
        <v>501</v>
      </c>
      <c r="AD216" t="str">
        <f>VLOOKUP(AC216,moves!A:B,2,FALSE)</f>
        <v>ghost</v>
      </c>
      <c r="AE216">
        <f>VLOOKUP(AC216,moves!A:D,4,FALSE)</f>
        <v>3</v>
      </c>
      <c r="AF216" t="str">
        <f>IF(VLOOKUP(AC216,moves!A:F,5,FALSE)=0, "", VLOOKUP(AC216,moves!A:F,5,FALSE))</f>
        <v/>
      </c>
      <c r="AG216" t="str">
        <f>VLOOKUP(AC216,moves!A:F,6,FALSE)</f>
        <v>For each status effect on the target: Deal 1 extra damage.</v>
      </c>
      <c r="AH216">
        <v>0</v>
      </c>
      <c r="AI216">
        <v>0</v>
      </c>
      <c r="AJ216" t="str" cm="1">
        <f t="array" ref="AJ216">_xlfn.IFS(AH216=1, "starter", AI216=1, "legendary",V216&lt; 13, "weak",V216&lt; 17, "moderate", TRUE, "strong")</f>
        <v>moderate</v>
      </c>
      <c r="AL216">
        <v>2</v>
      </c>
      <c r="AM216">
        <v>0</v>
      </c>
    </row>
    <row r="217" spans="1:39" x14ac:dyDescent="0.25">
      <c r="A217">
        <v>94</v>
      </c>
      <c r="B217" t="s">
        <v>44</v>
      </c>
      <c r="C217" t="str">
        <f t="shared" si="210"/>
        <v>Gengar</v>
      </c>
      <c r="E217" t="s">
        <v>42</v>
      </c>
      <c r="F217" t="s">
        <v>3</v>
      </c>
      <c r="G217">
        <v>60</v>
      </c>
      <c r="H217">
        <v>65</v>
      </c>
      <c r="I217">
        <v>60</v>
      </c>
      <c r="J217">
        <v>130</v>
      </c>
      <c r="K217">
        <v>75</v>
      </c>
      <c r="L217">
        <v>110</v>
      </c>
      <c r="M217" t="s">
        <v>264</v>
      </c>
      <c r="N217" t="s">
        <v>298</v>
      </c>
      <c r="O217" t="s">
        <v>299</v>
      </c>
      <c r="P217">
        <f t="shared" si="146"/>
        <v>11.55</v>
      </c>
      <c r="Q217">
        <f t="shared" si="147"/>
        <v>6.45</v>
      </c>
      <c r="R217">
        <v>0</v>
      </c>
      <c r="S217">
        <v>0</v>
      </c>
      <c r="T217">
        <f t="shared" si="148"/>
        <v>12</v>
      </c>
      <c r="U217">
        <f t="shared" si="149"/>
        <v>6</v>
      </c>
      <c r="V217">
        <f t="shared" si="150"/>
        <v>18</v>
      </c>
      <c r="W217" t="str">
        <f t="shared" si="145"/>
        <v>ghost</v>
      </c>
      <c r="X217" t="str">
        <f>IF(F217 = 0, "", F217)</f>
        <v>poison</v>
      </c>
      <c r="Y217" t="s">
        <v>26</v>
      </c>
      <c r="Z217" t="s">
        <v>9</v>
      </c>
      <c r="AB217" t="str">
        <f t="shared" si="208"/>
        <v/>
      </c>
      <c r="AC217" t="s">
        <v>615</v>
      </c>
      <c r="AD217" t="str">
        <f>VLOOKUP(AC217,moves!A:B,2,FALSE)</f>
        <v>poison</v>
      </c>
      <c r="AE217">
        <f>VLOOKUP(AC217,moves!A:D,4,FALSE)</f>
        <v>5</v>
      </c>
      <c r="AF217" t="str">
        <f>IF(VLOOKUP(AC217,moves!A:F,5,FALSE)=0, "", VLOOKUP(AC217,moves!A:F,5,FALSE))</f>
        <v/>
      </c>
      <c r="AG217" t="str">
        <f>VLOOKUP(AC217,moves!A:F,6,FALSE)</f>
        <v>If 2 or more [status_symbol]s are rolled: Inflict the [poisoned] status on the target.</v>
      </c>
      <c r="AH217">
        <v>0</v>
      </c>
      <c r="AI217">
        <v>0</v>
      </c>
      <c r="AJ217" t="str" cm="1">
        <f t="array" ref="AJ217">_xlfn.IFS(AH217=1, "starter", AI217=1, "legendary",V217&lt; 13, "weak",V217&lt; 17, "moderate", TRUE, "strong")</f>
        <v>strong</v>
      </c>
      <c r="AL217">
        <v>3</v>
      </c>
      <c r="AM217">
        <v>0</v>
      </c>
    </row>
    <row r="218" spans="1:39" x14ac:dyDescent="0.25">
      <c r="A218">
        <v>95</v>
      </c>
      <c r="B218" t="s">
        <v>45</v>
      </c>
      <c r="C218" t="str">
        <f t="shared" si="210"/>
        <v>Onix</v>
      </c>
      <c r="E218" t="s">
        <v>33</v>
      </c>
      <c r="F218" t="s">
        <v>13</v>
      </c>
      <c r="G218">
        <v>35</v>
      </c>
      <c r="H218">
        <v>45</v>
      </c>
      <c r="I218">
        <v>160</v>
      </c>
      <c r="J218">
        <v>30</v>
      </c>
      <c r="K218">
        <v>45</v>
      </c>
      <c r="L218">
        <v>70</v>
      </c>
      <c r="M218" t="s">
        <v>265</v>
      </c>
      <c r="N218" t="s">
        <v>304</v>
      </c>
      <c r="O218" t="s">
        <v>302</v>
      </c>
      <c r="P218">
        <f t="shared" si="146"/>
        <v>5.35</v>
      </c>
      <c r="Q218">
        <f t="shared" si="147"/>
        <v>7.55</v>
      </c>
      <c r="R218">
        <v>0</v>
      </c>
      <c r="S218">
        <v>0</v>
      </c>
      <c r="T218">
        <f t="shared" si="148"/>
        <v>5</v>
      </c>
      <c r="U218">
        <f t="shared" si="149"/>
        <v>8</v>
      </c>
      <c r="V218">
        <f t="shared" si="150"/>
        <v>13</v>
      </c>
      <c r="W218" t="str">
        <f t="shared" si="145"/>
        <v>rock</v>
      </c>
      <c r="X218" t="str">
        <f>IF(F218 = 0, "", F218)</f>
        <v>ground</v>
      </c>
      <c r="Y218" t="s">
        <v>39</v>
      </c>
      <c r="Z218" t="s">
        <v>8</v>
      </c>
      <c r="AA218" t="str">
        <f>B219</f>
        <v>Steelix</v>
      </c>
      <c r="AB218">
        <f t="shared" si="208"/>
        <v>6</v>
      </c>
      <c r="AC218" t="s">
        <v>500</v>
      </c>
      <c r="AD218" t="str">
        <f>VLOOKUP(AC218,moves!A:B,2,FALSE)</f>
        <v>rock</v>
      </c>
      <c r="AE218">
        <f>VLOOKUP(AC218,moves!A:D,4,FALSE)</f>
        <v>5</v>
      </c>
      <c r="AF218" t="str">
        <f>IF(VLOOKUP(AC218,moves!A:F,5,FALSE)=0, "", VLOOKUP(AC218,moves!A:F,5,FALSE))</f>
        <v/>
      </c>
      <c r="AG218" t="str">
        <f>VLOOKUP(AC218,moves!A:F,6,FALSE)</f>
        <v>[status_symbol]s deal -2 damage.</v>
      </c>
      <c r="AH218">
        <v>0</v>
      </c>
      <c r="AI218">
        <v>0</v>
      </c>
      <c r="AJ218" t="str" cm="1">
        <f t="array" ref="AJ218">_xlfn.IFS(AH218=1, "starter", AI218=1, "legendary",V218&lt; 13, "weak",V218&lt; 17, "moderate", TRUE, "strong")</f>
        <v>moderate</v>
      </c>
      <c r="AL218">
        <v>1</v>
      </c>
      <c r="AM218">
        <v>0</v>
      </c>
    </row>
    <row r="219" spans="1:39" x14ac:dyDescent="0.25">
      <c r="A219">
        <v>208</v>
      </c>
      <c r="B219" t="s">
        <v>88</v>
      </c>
      <c r="C219" t="str">
        <f t="shared" si="210"/>
        <v>Steelix</v>
      </c>
      <c r="E219" t="s">
        <v>39</v>
      </c>
      <c r="F219" t="s">
        <v>13</v>
      </c>
      <c r="G219">
        <v>75</v>
      </c>
      <c r="H219">
        <v>85</v>
      </c>
      <c r="I219">
        <v>200</v>
      </c>
      <c r="J219">
        <v>55</v>
      </c>
      <c r="K219">
        <v>65</v>
      </c>
      <c r="L219">
        <v>30</v>
      </c>
      <c r="M219" t="s">
        <v>278</v>
      </c>
      <c r="N219" t="s">
        <v>304</v>
      </c>
      <c r="O219" t="s">
        <v>302</v>
      </c>
      <c r="P219">
        <f t="shared" si="146"/>
        <v>6</v>
      </c>
      <c r="Q219">
        <f t="shared" si="147"/>
        <v>10.95</v>
      </c>
      <c r="R219">
        <v>0</v>
      </c>
      <c r="S219">
        <v>0</v>
      </c>
      <c r="T219">
        <f t="shared" si="148"/>
        <v>6</v>
      </c>
      <c r="U219">
        <f t="shared" si="149"/>
        <v>11</v>
      </c>
      <c r="V219">
        <f t="shared" si="150"/>
        <v>17</v>
      </c>
      <c r="W219" t="str">
        <f t="shared" si="145"/>
        <v>steel</v>
      </c>
      <c r="X219" t="str">
        <f>IF(F219 = 0, "", F219)</f>
        <v>ground</v>
      </c>
      <c r="Y219" t="s">
        <v>33</v>
      </c>
      <c r="Z219" t="s">
        <v>8</v>
      </c>
      <c r="AB219" t="str">
        <f t="shared" si="208"/>
        <v/>
      </c>
      <c r="AC219" t="s">
        <v>506</v>
      </c>
      <c r="AD219" t="str">
        <f>VLOOKUP(AC219,moves!A:B,2,FALSE)</f>
        <v>steel</v>
      </c>
      <c r="AE219">
        <f>VLOOKUP(AC219,moves!A:D,4,FALSE)</f>
        <v>4</v>
      </c>
      <c r="AF219" t="str">
        <f>IF(VLOOKUP(AC219,moves!A:F,5,FALSE)=0, "", VLOOKUP(AC219,moves!A:F,5,FALSE))</f>
        <v/>
      </c>
      <c r="AG219" t="str">
        <f>VLOOKUP(AC219,moves!A:F,6,FALSE)</f>
        <v>When the target is next attacked, add 1 [regular_hit] to the roll.</v>
      </c>
      <c r="AH219">
        <v>0</v>
      </c>
      <c r="AI219">
        <v>0</v>
      </c>
      <c r="AJ219" t="str" cm="1">
        <f t="array" ref="AJ219">_xlfn.IFS(AH219=1, "starter", AI219=1, "legendary",V219&lt; 13, "weak",V219&lt; 17, "moderate", TRUE, "strong")</f>
        <v>strong</v>
      </c>
      <c r="AL219">
        <v>2</v>
      </c>
      <c r="AM219">
        <v>0</v>
      </c>
    </row>
    <row r="220" spans="1:39" x14ac:dyDescent="0.25">
      <c r="A220">
        <v>173</v>
      </c>
      <c r="B220" t="s">
        <v>72</v>
      </c>
      <c r="C220" t="str">
        <f t="shared" si="210"/>
        <v>Cleffa</v>
      </c>
      <c r="E220" t="s">
        <v>16</v>
      </c>
      <c r="G220">
        <v>50</v>
      </c>
      <c r="H220">
        <v>25</v>
      </c>
      <c r="I220">
        <v>28</v>
      </c>
      <c r="J220">
        <v>45</v>
      </c>
      <c r="K220">
        <v>55</v>
      </c>
      <c r="L220">
        <v>15</v>
      </c>
      <c r="M220" t="s">
        <v>273</v>
      </c>
      <c r="O220" t="s">
        <v>549</v>
      </c>
      <c r="P220">
        <f t="shared" si="146"/>
        <v>3.1</v>
      </c>
      <c r="Q220">
        <f t="shared" si="147"/>
        <v>4.49</v>
      </c>
      <c r="R220">
        <v>0</v>
      </c>
      <c r="S220">
        <v>1</v>
      </c>
      <c r="T220">
        <f t="shared" si="148"/>
        <v>3</v>
      </c>
      <c r="U220">
        <f t="shared" si="149"/>
        <v>5</v>
      </c>
      <c r="V220">
        <f t="shared" si="150"/>
        <v>8</v>
      </c>
      <c r="W220" t="str">
        <f t="shared" si="145"/>
        <v>fairy</v>
      </c>
      <c r="X220" t="s">
        <v>26</v>
      </c>
      <c r="Y220" t="s">
        <v>8</v>
      </c>
      <c r="Z220" t="s">
        <v>11</v>
      </c>
      <c r="AA220" t="str">
        <f>B221</f>
        <v>Clefairy</v>
      </c>
      <c r="AB220">
        <f t="shared" si="208"/>
        <v>2</v>
      </c>
      <c r="AC220" t="s">
        <v>674</v>
      </c>
      <c r="AD220" t="str">
        <f>VLOOKUP(AC220,moves!A:B,2,FALSE)</f>
        <v>normal</v>
      </c>
      <c r="AE220">
        <f>VLOOKUP(AC220,moves!A:D,4,FALSE)</f>
        <v>2</v>
      </c>
      <c r="AF220" t="str">
        <f>IF(VLOOKUP(AC220,moves!A:F,5,FALSE)=0, "", VLOOKUP(AC220,moves!A:F,5,FALSE))</f>
        <v/>
      </c>
      <c r="AG220" t="str">
        <f>VLOOKUP(AC220,moves!A:F,6,FALSE)</f>
        <v>If the user faints when it is next attacked, the user may use a final Move before fainting.</v>
      </c>
      <c r="AH220">
        <v>0</v>
      </c>
      <c r="AI220">
        <v>0</v>
      </c>
      <c r="AJ220" t="str" cm="1">
        <f t="array" ref="AJ220">_xlfn.IFS(AH220=1, "starter", AI220=1, "legendary",V220&lt; 13, "weak",V220&lt; 17, "moderate", TRUE, "strong")</f>
        <v>weak</v>
      </c>
      <c r="AL220">
        <v>1</v>
      </c>
      <c r="AM220">
        <v>0</v>
      </c>
    </row>
    <row r="221" spans="1:39" x14ac:dyDescent="0.25">
      <c r="A221">
        <v>35</v>
      </c>
      <c r="B221" t="s">
        <v>15</v>
      </c>
      <c r="C221" t="str">
        <f t="shared" si="210"/>
        <v>Clefairy</v>
      </c>
      <c r="E221" t="s">
        <v>16</v>
      </c>
      <c r="G221">
        <v>70</v>
      </c>
      <c r="H221">
        <v>45</v>
      </c>
      <c r="I221">
        <v>48</v>
      </c>
      <c r="J221">
        <v>60</v>
      </c>
      <c r="K221">
        <v>65</v>
      </c>
      <c r="L221">
        <v>35</v>
      </c>
      <c r="M221" t="s">
        <v>252</v>
      </c>
      <c r="O221" t="s">
        <v>549</v>
      </c>
      <c r="P221">
        <f t="shared" si="146"/>
        <v>4.8499999999999996</v>
      </c>
      <c r="Q221">
        <f t="shared" si="147"/>
        <v>6.1899999999999995</v>
      </c>
      <c r="R221">
        <v>0</v>
      </c>
      <c r="S221">
        <v>0</v>
      </c>
      <c r="T221">
        <f t="shared" si="148"/>
        <v>5</v>
      </c>
      <c r="U221">
        <f t="shared" si="149"/>
        <v>6</v>
      </c>
      <c r="V221">
        <f t="shared" si="150"/>
        <v>11</v>
      </c>
      <c r="W221" t="str">
        <f t="shared" si="145"/>
        <v>fairy</v>
      </c>
      <c r="X221" t="s">
        <v>26</v>
      </c>
      <c r="Y221" t="s">
        <v>8</v>
      </c>
      <c r="Z221" t="s">
        <v>11</v>
      </c>
      <c r="AA221" t="str">
        <f>B222</f>
        <v>Clefable</v>
      </c>
      <c r="AB221">
        <f t="shared" si="208"/>
        <v>7</v>
      </c>
      <c r="AC221" t="s">
        <v>540</v>
      </c>
      <c r="AD221" t="str">
        <f>VLOOKUP(AC221,moves!A:B,2,FALSE)</f>
        <v>typeless</v>
      </c>
      <c r="AE221" t="str">
        <f>VLOOKUP(AC221,moves!A:D,4,FALSE)</f>
        <v/>
      </c>
      <c r="AF221" t="str">
        <f>IF(VLOOKUP(AC221,moves!A:F,5,FALSE)=0, "", VLOOKUP(AC221,moves!A:F,5,FALSE))</f>
        <v>dynamic</v>
      </c>
      <c r="AG221" t="str">
        <f>VLOOKUP(AC221,moves!A:F,6,FALSE)</f>
        <v>Shuffle the Evolution Pokémon deck and then attack the target with the top Move of the deck.</v>
      </c>
      <c r="AH221">
        <v>0</v>
      </c>
      <c r="AI221">
        <v>0</v>
      </c>
      <c r="AJ221" t="str" cm="1">
        <f t="array" ref="AJ221">_xlfn.IFS(AH221=1, "starter", AI221=1, "legendary",V221&lt; 13, "weak",V221&lt; 17, "moderate", TRUE, "strong")</f>
        <v>weak</v>
      </c>
      <c r="AL221">
        <v>2</v>
      </c>
      <c r="AM221">
        <v>0</v>
      </c>
    </row>
    <row r="222" spans="1:39" x14ac:dyDescent="0.25">
      <c r="A222">
        <v>36</v>
      </c>
      <c r="B222" t="s">
        <v>17</v>
      </c>
      <c r="C222" t="str">
        <f t="shared" si="210"/>
        <v>Clefable</v>
      </c>
      <c r="E222" t="s">
        <v>16</v>
      </c>
      <c r="G222">
        <v>95</v>
      </c>
      <c r="H222">
        <v>70</v>
      </c>
      <c r="I222">
        <v>73</v>
      </c>
      <c r="J222">
        <v>95</v>
      </c>
      <c r="K222">
        <v>90</v>
      </c>
      <c r="L222">
        <v>60</v>
      </c>
      <c r="M222" t="s">
        <v>252</v>
      </c>
      <c r="O222" t="s">
        <v>549</v>
      </c>
      <c r="P222">
        <f t="shared" si="146"/>
        <v>7.85</v>
      </c>
      <c r="Q222">
        <f t="shared" si="147"/>
        <v>8.6900000000000013</v>
      </c>
      <c r="R222">
        <v>0</v>
      </c>
      <c r="S222">
        <v>0</v>
      </c>
      <c r="T222">
        <f t="shared" si="148"/>
        <v>8</v>
      </c>
      <c r="U222">
        <f t="shared" si="149"/>
        <v>9</v>
      </c>
      <c r="V222">
        <f t="shared" si="150"/>
        <v>17</v>
      </c>
      <c r="W222" t="str">
        <f t="shared" si="145"/>
        <v>fairy</v>
      </c>
      <c r="X222" t="s">
        <v>26</v>
      </c>
      <c r="Y222" t="s">
        <v>8</v>
      </c>
      <c r="Z222" t="s">
        <v>11</v>
      </c>
      <c r="AB222" t="str">
        <f t="shared" si="208"/>
        <v/>
      </c>
      <c r="AC222" t="s">
        <v>534</v>
      </c>
      <c r="AD222" t="str">
        <f>VLOOKUP(AC222,moves!A:B,2,FALSE)</f>
        <v>fairy</v>
      </c>
      <c r="AE222">
        <f>VLOOKUP(AC222,moves!A:D,4,FALSE)</f>
        <v>5</v>
      </c>
      <c r="AF222" t="str">
        <f>IF(VLOOKUP(AC222,moves!A:F,5,FALSE)=0, "", VLOOKUP(AC222,moves!A:F,5,FALSE))</f>
        <v/>
      </c>
      <c r="AG222" t="str">
        <f>VLOOKUP(AC222,moves!A:F,6,FALSE)</f>
        <v>If 2 or more [status_symbol]s are rolled: Inflict the [drowsy] status on the target.</v>
      </c>
      <c r="AH222">
        <v>0</v>
      </c>
      <c r="AI222">
        <v>0</v>
      </c>
      <c r="AJ222" t="str" cm="1">
        <f t="array" ref="AJ222">_xlfn.IFS(AH222=1, "starter", AI222=1, "legendary",V222&lt; 13, "weak",V222&lt; 17, "moderate", TRUE, "strong")</f>
        <v>strong</v>
      </c>
      <c r="AL222">
        <v>3</v>
      </c>
      <c r="AM222">
        <v>0</v>
      </c>
    </row>
    <row r="223" spans="1:39" x14ac:dyDescent="0.25">
      <c r="A223">
        <v>194</v>
      </c>
      <c r="B223" t="s">
        <v>80</v>
      </c>
      <c r="C223" t="str">
        <f t="shared" si="210"/>
        <v>Wooper</v>
      </c>
      <c r="E223" t="s">
        <v>6</v>
      </c>
      <c r="F223" t="s">
        <v>13</v>
      </c>
      <c r="G223">
        <v>55</v>
      </c>
      <c r="H223">
        <v>45</v>
      </c>
      <c r="I223">
        <v>45</v>
      </c>
      <c r="J223">
        <v>25</v>
      </c>
      <c r="K223">
        <v>25</v>
      </c>
      <c r="L223">
        <v>15</v>
      </c>
      <c r="M223" t="s">
        <v>276</v>
      </c>
      <c r="N223" t="s">
        <v>303</v>
      </c>
      <c r="O223" t="s">
        <v>299</v>
      </c>
      <c r="P223">
        <f t="shared" si="146"/>
        <v>3.1</v>
      </c>
      <c r="Q223">
        <f t="shared" si="147"/>
        <v>4.3</v>
      </c>
      <c r="R223">
        <v>0</v>
      </c>
      <c r="S223">
        <v>0</v>
      </c>
      <c r="T223">
        <f t="shared" si="148"/>
        <v>3</v>
      </c>
      <c r="U223">
        <f t="shared" si="149"/>
        <v>4</v>
      </c>
      <c r="V223">
        <f t="shared" si="150"/>
        <v>7</v>
      </c>
      <c r="W223" t="str">
        <f t="shared" si="145"/>
        <v>water</v>
      </c>
      <c r="X223" t="str">
        <f>IF(F223 = 0, "", F223)</f>
        <v>ground</v>
      </c>
      <c r="Y223" t="s">
        <v>14</v>
      </c>
      <c r="Z223" t="s">
        <v>3</v>
      </c>
      <c r="AA223" t="str">
        <f>B224</f>
        <v>Quagsire</v>
      </c>
      <c r="AB223">
        <f t="shared" si="208"/>
        <v>5</v>
      </c>
      <c r="AC223" t="s">
        <v>713</v>
      </c>
      <c r="AD223" t="str">
        <f>VLOOKUP(AC223,moves!A:B,2,FALSE)</f>
        <v>ground</v>
      </c>
      <c r="AE223">
        <f>VLOOKUP(AC223,moves!A:D,4,FALSE)</f>
        <v>3</v>
      </c>
      <c r="AF223" t="str">
        <f>IF(VLOOKUP(AC223,moves!A:F,5,FALSE)=0, "", VLOOKUP(AC223,moves!A:F,5,FALSE))</f>
        <v/>
      </c>
      <c r="AG223" t="str">
        <f>VLOOKUP(AC223,moves!A:F,6,FALSE)</f>
        <v>When the target next attacks, [status_symbol]s deal -1 damage.</v>
      </c>
      <c r="AH223">
        <v>0</v>
      </c>
      <c r="AI223">
        <v>0</v>
      </c>
      <c r="AJ223" t="str" cm="1">
        <f t="array" ref="AJ223">_xlfn.IFS(AH223=1, "starter", AI223=1, "legendary",V223&lt; 13, "weak",V223&lt; 17, "moderate", TRUE, "strong")</f>
        <v>weak</v>
      </c>
      <c r="AL223">
        <v>1</v>
      </c>
      <c r="AM223">
        <v>0</v>
      </c>
    </row>
    <row r="224" spans="1:39" x14ac:dyDescent="0.25">
      <c r="A224">
        <v>195</v>
      </c>
      <c r="B224" t="s">
        <v>81</v>
      </c>
      <c r="C224" t="str">
        <f t="shared" si="210"/>
        <v>Quagsire</v>
      </c>
      <c r="E224" t="s">
        <v>6</v>
      </c>
      <c r="F224" t="s">
        <v>13</v>
      </c>
      <c r="G224">
        <v>95</v>
      </c>
      <c r="H224">
        <v>85</v>
      </c>
      <c r="I224">
        <v>85</v>
      </c>
      <c r="J224">
        <v>65</v>
      </c>
      <c r="K224">
        <v>65</v>
      </c>
      <c r="L224">
        <v>35</v>
      </c>
      <c r="M224" t="s">
        <v>276</v>
      </c>
      <c r="N224" t="s">
        <v>303</v>
      </c>
      <c r="O224" t="s">
        <v>299</v>
      </c>
      <c r="P224">
        <f t="shared" si="146"/>
        <v>6.3</v>
      </c>
      <c r="Q224">
        <f t="shared" si="147"/>
        <v>8.3000000000000007</v>
      </c>
      <c r="R224">
        <v>0</v>
      </c>
      <c r="S224">
        <v>0</v>
      </c>
      <c r="T224">
        <f t="shared" si="148"/>
        <v>6</v>
      </c>
      <c r="U224">
        <f t="shared" si="149"/>
        <v>8</v>
      </c>
      <c r="V224">
        <f t="shared" si="150"/>
        <v>14</v>
      </c>
      <c r="W224" t="str">
        <f t="shared" si="145"/>
        <v>water</v>
      </c>
      <c r="X224" t="str">
        <f>IF(F224 = 0, "", F224)</f>
        <v>ground</v>
      </c>
      <c r="Y224" t="s">
        <v>14</v>
      </c>
      <c r="Z224" t="s">
        <v>3</v>
      </c>
      <c r="AB224" t="str">
        <f t="shared" si="208"/>
        <v/>
      </c>
      <c r="AC224" t="s">
        <v>804</v>
      </c>
      <c r="AD224" t="str">
        <f>VLOOKUP(AC224,moves!A:B,2,FALSE)</f>
        <v>water</v>
      </c>
      <c r="AE224">
        <f>VLOOKUP(AC224,moves!A:D,4,FALSE)</f>
        <v>4</v>
      </c>
      <c r="AF224" t="str">
        <f>IF(VLOOKUP(AC224,moves!A:F,5,FALSE)=0, "", VLOOKUP(AC224,moves!A:F,5,FALSE))</f>
        <v/>
      </c>
      <c r="AG224" t="str">
        <f>VLOOKUP(AC224,moves!A:F,6,FALSE)</f>
        <v>When the target next attacks, [status_symbol]s deal -1 damage.</v>
      </c>
      <c r="AH224">
        <v>0</v>
      </c>
      <c r="AI224">
        <v>0</v>
      </c>
      <c r="AJ224" t="str" cm="1">
        <f t="array" ref="AJ224">_xlfn.IFS(AH224=1, "starter", AI224=1, "legendary",V224&lt; 13, "weak",V224&lt; 17, "moderate", TRUE, "strong")</f>
        <v>moderate</v>
      </c>
      <c r="AL224">
        <v>2</v>
      </c>
      <c r="AM224">
        <v>0</v>
      </c>
    </row>
    <row r="225" spans="1:39" x14ac:dyDescent="0.25">
      <c r="A225">
        <v>63</v>
      </c>
      <c r="B225" t="s">
        <v>25</v>
      </c>
      <c r="C225" t="str">
        <f t="shared" si="210"/>
        <v>Abra</v>
      </c>
      <c r="E225" t="s">
        <v>26</v>
      </c>
      <c r="G225">
        <v>25</v>
      </c>
      <c r="H225">
        <v>20</v>
      </c>
      <c r="I225">
        <v>15</v>
      </c>
      <c r="J225">
        <v>105</v>
      </c>
      <c r="K225">
        <v>55</v>
      </c>
      <c r="L225">
        <v>90</v>
      </c>
      <c r="M225" t="s">
        <v>258</v>
      </c>
      <c r="N225" t="s">
        <v>301</v>
      </c>
      <c r="O225" t="s">
        <v>300</v>
      </c>
      <c r="P225">
        <f t="shared" si="146"/>
        <v>9.0500000000000007</v>
      </c>
      <c r="Q225">
        <f t="shared" si="147"/>
        <v>3.1</v>
      </c>
      <c r="R225">
        <v>0</v>
      </c>
      <c r="S225">
        <v>0</v>
      </c>
      <c r="T225">
        <f t="shared" si="148"/>
        <v>9</v>
      </c>
      <c r="U225">
        <f t="shared" si="149"/>
        <v>3</v>
      </c>
      <c r="V225">
        <f t="shared" si="150"/>
        <v>12</v>
      </c>
      <c r="W225" t="str">
        <f t="shared" si="145"/>
        <v>psychic</v>
      </c>
      <c r="X225" t="s">
        <v>8</v>
      </c>
      <c r="Y225" t="s">
        <v>42</v>
      </c>
      <c r="Z225" t="s">
        <v>16</v>
      </c>
      <c r="AA225" t="str">
        <f>B226</f>
        <v>Kadabra</v>
      </c>
      <c r="AB225">
        <f t="shared" si="208"/>
        <v>5</v>
      </c>
      <c r="AC225" t="s">
        <v>539</v>
      </c>
      <c r="AD225" t="str">
        <f>VLOOKUP(AC225,moves!A:B,2,FALSE)</f>
        <v>psychic</v>
      </c>
      <c r="AE225">
        <f>VLOOKUP(AC225,moves!A:D,4,FALSE)</f>
        <v>1</v>
      </c>
      <c r="AF225" t="str">
        <f>IF(VLOOKUP(AC225,moves!A:F,5,FALSE)=0, "", VLOOKUP(AC225,moves!A:F,5,FALSE))</f>
        <v>switch</v>
      </c>
      <c r="AG225" t="str">
        <f>VLOOKUP(AC225,moves!A:F,6,FALSE)</f>
        <v>When the target next attacks, remove 2 [regular_hit]s from the roll.</v>
      </c>
      <c r="AH225">
        <v>0</v>
      </c>
      <c r="AI225">
        <v>0</v>
      </c>
      <c r="AJ225" t="str" cm="1">
        <f t="array" ref="AJ225">_xlfn.IFS(AH225=1, "starter", AI225=1, "legendary",V225&lt; 13, "weak",V225&lt; 17, "moderate", TRUE, "strong")</f>
        <v>weak</v>
      </c>
      <c r="AL225">
        <v>1</v>
      </c>
      <c r="AM225">
        <v>0</v>
      </c>
    </row>
    <row r="226" spans="1:39" x14ac:dyDescent="0.25">
      <c r="A226">
        <v>64</v>
      </c>
      <c r="B226" t="s">
        <v>27</v>
      </c>
      <c r="C226" t="str">
        <f t="shared" si="210"/>
        <v>Kadabra</v>
      </c>
      <c r="E226" t="s">
        <v>26</v>
      </c>
      <c r="G226">
        <v>40</v>
      </c>
      <c r="H226">
        <v>35</v>
      </c>
      <c r="I226">
        <v>30</v>
      </c>
      <c r="J226">
        <v>120</v>
      </c>
      <c r="K226">
        <v>70</v>
      </c>
      <c r="L226">
        <v>105</v>
      </c>
      <c r="M226" t="s">
        <v>258</v>
      </c>
      <c r="N226" t="s">
        <v>301</v>
      </c>
      <c r="O226" t="s">
        <v>300</v>
      </c>
      <c r="P226">
        <f t="shared" si="146"/>
        <v>10.55</v>
      </c>
      <c r="Q226">
        <f t="shared" si="147"/>
        <v>4.5999999999999996</v>
      </c>
      <c r="R226">
        <v>0</v>
      </c>
      <c r="S226">
        <v>0</v>
      </c>
      <c r="T226">
        <f t="shared" si="148"/>
        <v>11</v>
      </c>
      <c r="U226">
        <f t="shared" si="149"/>
        <v>5</v>
      </c>
      <c r="V226">
        <f t="shared" si="150"/>
        <v>16</v>
      </c>
      <c r="W226" t="str">
        <f t="shared" si="145"/>
        <v>psychic</v>
      </c>
      <c r="X226" t="s">
        <v>8</v>
      </c>
      <c r="Y226" t="s">
        <v>42</v>
      </c>
      <c r="Z226" t="s">
        <v>16</v>
      </c>
      <c r="AA226" t="str">
        <f>B227</f>
        <v>Alakazam</v>
      </c>
      <c r="AB226">
        <f t="shared" si="208"/>
        <v>4</v>
      </c>
      <c r="AC226" t="s">
        <v>800</v>
      </c>
      <c r="AD226" t="str">
        <f>VLOOKUP(AC226,moves!A:B,2,FALSE)</f>
        <v>psychic</v>
      </c>
      <c r="AE226">
        <f>VLOOKUP(AC226,moves!A:D,4,FALSE)</f>
        <v>3</v>
      </c>
      <c r="AF226" t="str">
        <f>IF(VLOOKUP(AC226,moves!A:F,5,FALSE)=0, "", VLOOKUP(AC226,moves!A:F,5,FALSE))</f>
        <v/>
      </c>
      <c r="AG226" t="str">
        <f>VLOOKUP(AC226,moves!A:F,6,FALSE)</f>
        <v>Inflict the [confused] status on the target. Deals 4 extra damage to [steel]-Type Pokémon.</v>
      </c>
      <c r="AH226">
        <v>0</v>
      </c>
      <c r="AI226">
        <v>0</v>
      </c>
      <c r="AJ226" t="str" cm="1">
        <f t="array" ref="AJ226">_xlfn.IFS(AH226=1, "starter", AI226=1, "legendary",V226&lt; 13, "weak",V226&lt; 17, "moderate", TRUE, "strong")</f>
        <v>moderate</v>
      </c>
      <c r="AL226">
        <v>2</v>
      </c>
      <c r="AM226">
        <v>0</v>
      </c>
    </row>
    <row r="227" spans="1:39" x14ac:dyDescent="0.25">
      <c r="A227">
        <v>65</v>
      </c>
      <c r="B227" t="s">
        <v>28</v>
      </c>
      <c r="C227" t="str">
        <f t="shared" si="210"/>
        <v>Alakazam</v>
      </c>
      <c r="E227" t="s">
        <v>26</v>
      </c>
      <c r="G227">
        <v>55</v>
      </c>
      <c r="H227">
        <v>50</v>
      </c>
      <c r="I227">
        <v>45</v>
      </c>
      <c r="J227">
        <v>135</v>
      </c>
      <c r="K227">
        <v>95</v>
      </c>
      <c r="L227">
        <v>120</v>
      </c>
      <c r="M227" t="s">
        <v>258</v>
      </c>
      <c r="N227" t="s">
        <v>301</v>
      </c>
      <c r="O227" t="s">
        <v>300</v>
      </c>
      <c r="P227">
        <f t="shared" si="146"/>
        <v>12.05</v>
      </c>
      <c r="Q227">
        <f t="shared" si="147"/>
        <v>6.4</v>
      </c>
      <c r="R227">
        <v>0</v>
      </c>
      <c r="S227">
        <v>0</v>
      </c>
      <c r="T227">
        <f t="shared" si="148"/>
        <v>12</v>
      </c>
      <c r="U227">
        <f t="shared" si="149"/>
        <v>6</v>
      </c>
      <c r="V227">
        <f t="shared" si="150"/>
        <v>18</v>
      </c>
      <c r="W227" t="str">
        <f t="shared" si="145"/>
        <v>psychic</v>
      </c>
      <c r="X227" t="s">
        <v>8</v>
      </c>
      <c r="Y227" t="s">
        <v>42</v>
      </c>
      <c r="Z227" t="s">
        <v>16</v>
      </c>
      <c r="AB227" t="str">
        <f t="shared" si="208"/>
        <v/>
      </c>
      <c r="AC227" t="s">
        <v>495</v>
      </c>
      <c r="AD227" t="str">
        <f>VLOOKUP(AC227,moves!A:B,2,FALSE)</f>
        <v>psychic</v>
      </c>
      <c r="AE227">
        <f>VLOOKUP(AC227,moves!A:D,4,FALSE)</f>
        <v>5</v>
      </c>
      <c r="AF227" t="str">
        <f>IF(VLOOKUP(AC227,moves!A:F,5,FALSE)=0, "", VLOOKUP(AC227,moves!A:F,5,FALSE))</f>
        <v/>
      </c>
      <c r="AG227" t="str">
        <f>VLOOKUP(AC227,moves!A:F,6,FALSE)</f>
        <v>If 2 or more [status_symbol]s are rolled: Inflict the [confused] status on the target.</v>
      </c>
      <c r="AH227">
        <v>0</v>
      </c>
      <c r="AI227">
        <v>0</v>
      </c>
      <c r="AJ227" t="str" cm="1">
        <f t="array" ref="AJ227">_xlfn.IFS(AH227=1, "starter", AI227=1, "legendary",V227&lt; 13, "weak",V227&lt; 17, "moderate", TRUE, "strong")</f>
        <v>strong</v>
      </c>
      <c r="AL227">
        <v>3</v>
      </c>
      <c r="AM227">
        <v>0</v>
      </c>
    </row>
    <row r="228" spans="1:39" x14ac:dyDescent="0.25">
      <c r="A228">
        <v>37</v>
      </c>
      <c r="B228" t="s">
        <v>18</v>
      </c>
      <c r="C228" t="str">
        <f t="shared" si="210"/>
        <v>Vulpix</v>
      </c>
      <c r="E228" t="s">
        <v>4</v>
      </c>
      <c r="G228">
        <v>38</v>
      </c>
      <c r="H228">
        <v>41</v>
      </c>
      <c r="I228">
        <v>40</v>
      </c>
      <c r="J228">
        <v>50</v>
      </c>
      <c r="K228">
        <v>65</v>
      </c>
      <c r="L228">
        <v>65</v>
      </c>
      <c r="M228" t="s">
        <v>253</v>
      </c>
      <c r="N228" t="s">
        <v>301</v>
      </c>
      <c r="O228" t="s">
        <v>300</v>
      </c>
      <c r="P228">
        <f t="shared" si="146"/>
        <v>5.51</v>
      </c>
      <c r="Q228">
        <f t="shared" si="147"/>
        <v>4.67</v>
      </c>
      <c r="R228">
        <v>0</v>
      </c>
      <c r="S228">
        <v>0</v>
      </c>
      <c r="T228">
        <f t="shared" si="148"/>
        <v>6</v>
      </c>
      <c r="U228">
        <f t="shared" si="149"/>
        <v>5</v>
      </c>
      <c r="V228">
        <f t="shared" si="150"/>
        <v>11</v>
      </c>
      <c r="W228" t="str">
        <f t="shared" ref="W228:W237" si="211">E228</f>
        <v>fire</v>
      </c>
      <c r="X228" t="s">
        <v>8</v>
      </c>
      <c r="Y228" t="s">
        <v>42</v>
      </c>
      <c r="Z228" t="s">
        <v>9</v>
      </c>
      <c r="AA228" t="str">
        <f>B229</f>
        <v>Ninetales</v>
      </c>
      <c r="AB228">
        <f t="shared" si="208"/>
        <v>7</v>
      </c>
      <c r="AC228" t="s">
        <v>801</v>
      </c>
      <c r="AD228" t="str">
        <f>VLOOKUP(AC228,moves!A:B,2,FALSE)</f>
        <v>fire</v>
      </c>
      <c r="AE228">
        <f>VLOOKUP(AC228,moves!A:D,4,FALSE)</f>
        <v>2</v>
      </c>
      <c r="AF228" t="str">
        <f>IF(VLOOKUP(AC228,moves!A:F,5,FALSE)=0, "", VLOOKUP(AC228,moves!A:F,5,FALSE))</f>
        <v/>
      </c>
      <c r="AG228" t="str">
        <f>VLOOKUP(AC228,moves!A:F,6,FALSE)</f>
        <v>Inflict the [burned] status on the target.</v>
      </c>
      <c r="AH228">
        <v>0</v>
      </c>
      <c r="AI228">
        <v>0</v>
      </c>
      <c r="AJ228" t="str" cm="1">
        <f t="array" ref="AJ228">_xlfn.IFS(AH228=1, "starter", AI228=1, "legendary",V228&lt; 13, "weak",V228&lt; 17, "moderate", TRUE, "strong")</f>
        <v>weak</v>
      </c>
      <c r="AL228">
        <v>1</v>
      </c>
      <c r="AM228">
        <v>0</v>
      </c>
    </row>
    <row r="229" spans="1:39" x14ac:dyDescent="0.25">
      <c r="A229">
        <v>38</v>
      </c>
      <c r="B229" t="s">
        <v>19</v>
      </c>
      <c r="C229" t="str">
        <f t="shared" si="210"/>
        <v>Ninetales</v>
      </c>
      <c r="E229" t="s">
        <v>4</v>
      </c>
      <c r="G229">
        <v>73</v>
      </c>
      <c r="H229">
        <v>67</v>
      </c>
      <c r="I229">
        <v>75</v>
      </c>
      <c r="J229">
        <v>81</v>
      </c>
      <c r="K229">
        <v>100</v>
      </c>
      <c r="L229">
        <v>109</v>
      </c>
      <c r="M229" t="s">
        <v>253</v>
      </c>
      <c r="N229" t="s">
        <v>301</v>
      </c>
      <c r="O229" t="s">
        <v>300</v>
      </c>
      <c r="P229">
        <f t="shared" ref="P229:P307" si="212">(0.4*L229 + 0.5*MAX(H229,J229) + 0.1*MIN(H229,J229)) / 10</f>
        <v>9.08</v>
      </c>
      <c r="Q229">
        <f t="shared" ref="Q229:Q307" si="213">(0.4*G229 + 0.3*I229 + 0.3*K229) / 10</f>
        <v>8.17</v>
      </c>
      <c r="R229">
        <v>0</v>
      </c>
      <c r="S229">
        <v>0</v>
      </c>
      <c r="T229">
        <f t="shared" ref="T229:T307" si="214">ROUND(P229,0)+R229</f>
        <v>9</v>
      </c>
      <c r="U229">
        <f t="shared" ref="U229:U307" si="215">ROUND(Q229,0)+S229</f>
        <v>8</v>
      </c>
      <c r="V229">
        <f t="shared" ref="V229:V387" si="216">SUM(ROUND(T229,0),ROUND(U229,0))</f>
        <v>17</v>
      </c>
      <c r="W229" t="str">
        <f t="shared" si="211"/>
        <v>fire</v>
      </c>
      <c r="X229" t="s">
        <v>8</v>
      </c>
      <c r="Y229" t="s">
        <v>42</v>
      </c>
      <c r="Z229" t="s">
        <v>9</v>
      </c>
      <c r="AB229" t="str">
        <f t="shared" si="208"/>
        <v/>
      </c>
      <c r="AC229" t="s">
        <v>478</v>
      </c>
      <c r="AD229" t="str">
        <f>VLOOKUP(AC229,moves!A:B,2,FALSE)</f>
        <v>fire</v>
      </c>
      <c r="AE229">
        <f>VLOOKUP(AC229,moves!A:D,4,FALSE)</f>
        <v>5</v>
      </c>
      <c r="AF229" t="str">
        <f>IF(VLOOKUP(AC229,moves!A:F,5,FALSE)=0, "", VLOOKUP(AC229,moves!A:F,5,FALSE))</f>
        <v/>
      </c>
      <c r="AG229" t="str">
        <f>VLOOKUP(AC229,moves!A:F,6,FALSE)</f>
        <v>If 2 or more [status_symbol]s are rolled: Inflict the [burned] status on the target.</v>
      </c>
      <c r="AH229">
        <v>0</v>
      </c>
      <c r="AI229">
        <v>0</v>
      </c>
      <c r="AJ229" t="str" cm="1">
        <f t="array" ref="AJ229">_xlfn.IFS(AH229=1, "starter", AI229=1, "legendary",V229&lt; 13, "weak",V229&lt; 17, "moderate", TRUE, "strong")</f>
        <v>strong</v>
      </c>
      <c r="AL229">
        <v>2</v>
      </c>
      <c r="AM229">
        <v>0</v>
      </c>
    </row>
    <row r="230" spans="1:39" x14ac:dyDescent="0.25">
      <c r="A230">
        <v>74</v>
      </c>
      <c r="B230" t="s">
        <v>32</v>
      </c>
      <c r="C230" t="str">
        <f t="shared" si="210"/>
        <v>Geodude</v>
      </c>
      <c r="E230" t="s">
        <v>33</v>
      </c>
      <c r="F230" t="s">
        <v>13</v>
      </c>
      <c r="G230">
        <v>40</v>
      </c>
      <c r="H230">
        <v>80</v>
      </c>
      <c r="I230">
        <v>100</v>
      </c>
      <c r="J230">
        <v>30</v>
      </c>
      <c r="K230">
        <v>30</v>
      </c>
      <c r="L230">
        <v>20</v>
      </c>
      <c r="M230" t="s">
        <v>260</v>
      </c>
      <c r="N230" t="s">
        <v>304</v>
      </c>
      <c r="O230" t="s">
        <v>300</v>
      </c>
      <c r="P230">
        <f t="shared" si="212"/>
        <v>5.0999999999999996</v>
      </c>
      <c r="Q230">
        <f t="shared" si="213"/>
        <v>5.5</v>
      </c>
      <c r="R230">
        <v>0</v>
      </c>
      <c r="S230">
        <v>0</v>
      </c>
      <c r="T230">
        <f t="shared" si="214"/>
        <v>5</v>
      </c>
      <c r="U230">
        <f t="shared" si="215"/>
        <v>6</v>
      </c>
      <c r="V230">
        <f t="shared" si="216"/>
        <v>11</v>
      </c>
      <c r="W230" t="str">
        <f t="shared" si="211"/>
        <v>rock</v>
      </c>
      <c r="X230" t="str">
        <f>IF(F230 = 0, "", F230)</f>
        <v>ground</v>
      </c>
      <c r="Y230" t="s">
        <v>8</v>
      </c>
      <c r="Z230" t="s">
        <v>4</v>
      </c>
      <c r="AA230" t="str">
        <f>B231</f>
        <v>Graveler</v>
      </c>
      <c r="AB230">
        <f t="shared" si="208"/>
        <v>3</v>
      </c>
      <c r="AC230" t="s">
        <v>632</v>
      </c>
      <c r="AD230" t="str">
        <f>VLOOKUP(AC230,moves!A:B,2,FALSE)</f>
        <v>rock</v>
      </c>
      <c r="AE230">
        <f>VLOOKUP(AC230,moves!A:D,4,FALSE)</f>
        <v>2</v>
      </c>
      <c r="AF230" t="str">
        <f>IF(VLOOKUP(AC230,moves!A:F,5,FALSE)=0, "", VLOOKUP(AC230,moves!A:F,5,FALSE))</f>
        <v/>
      </c>
      <c r="AG230" t="str">
        <f>VLOOKUP(AC230,moves!A:F,6,FALSE)</f>
        <v>Deals 2 extra damage to [flying]-Type Pokémon.</v>
      </c>
      <c r="AH230">
        <v>0</v>
      </c>
      <c r="AI230">
        <v>0</v>
      </c>
      <c r="AJ230" t="str" cm="1">
        <f t="array" ref="AJ230">_xlfn.IFS(AH230=1, "starter", AI230=1, "legendary",V230&lt; 13, "weak",V230&lt; 17, "moderate", TRUE, "strong")</f>
        <v>weak</v>
      </c>
      <c r="AL230">
        <v>1</v>
      </c>
      <c r="AM230">
        <v>0</v>
      </c>
    </row>
    <row r="231" spans="1:39" x14ac:dyDescent="0.25">
      <c r="A231">
        <v>75</v>
      </c>
      <c r="B231" t="s">
        <v>34</v>
      </c>
      <c r="C231" t="str">
        <f t="shared" si="210"/>
        <v>Graveler</v>
      </c>
      <c r="E231" t="s">
        <v>33</v>
      </c>
      <c r="F231" t="s">
        <v>13</v>
      </c>
      <c r="G231">
        <v>55</v>
      </c>
      <c r="H231">
        <v>95</v>
      </c>
      <c r="I231">
        <v>115</v>
      </c>
      <c r="J231">
        <v>45</v>
      </c>
      <c r="K231">
        <v>45</v>
      </c>
      <c r="L231">
        <v>35</v>
      </c>
      <c r="M231" t="s">
        <v>260</v>
      </c>
      <c r="N231" t="s">
        <v>304</v>
      </c>
      <c r="O231" t="s">
        <v>300</v>
      </c>
      <c r="P231">
        <f t="shared" si="212"/>
        <v>6.6</v>
      </c>
      <c r="Q231">
        <f t="shared" si="213"/>
        <v>7</v>
      </c>
      <c r="R231">
        <v>0</v>
      </c>
      <c r="S231">
        <v>0</v>
      </c>
      <c r="T231">
        <f t="shared" si="214"/>
        <v>7</v>
      </c>
      <c r="U231">
        <f t="shared" si="215"/>
        <v>7</v>
      </c>
      <c r="V231">
        <f t="shared" si="216"/>
        <v>14</v>
      </c>
      <c r="W231" t="str">
        <f t="shared" si="211"/>
        <v>rock</v>
      </c>
      <c r="X231" t="str">
        <f>IF(F231 = 0, "", F231)</f>
        <v>ground</v>
      </c>
      <c r="Y231" t="s">
        <v>8</v>
      </c>
      <c r="Z231" t="s">
        <v>4</v>
      </c>
      <c r="AA231" t="str">
        <f>B232</f>
        <v>Golem</v>
      </c>
      <c r="AB231">
        <f t="shared" si="208"/>
        <v>5</v>
      </c>
      <c r="AC231" t="s">
        <v>583</v>
      </c>
      <c r="AD231" t="str">
        <f>VLOOKUP(AC231,moves!A:B,2,FALSE)</f>
        <v>ground</v>
      </c>
      <c r="AE231">
        <f>VLOOKUP(AC231,moves!A:D,4,FALSE)</f>
        <v>3</v>
      </c>
      <c r="AF231" t="str">
        <f>IF(VLOOKUP(AC231,moves!A:F,5,FALSE)=0, "", VLOOKUP(AC231,moves!A:F,5,FALSE))</f>
        <v/>
      </c>
      <c r="AG231" t="str">
        <f>VLOOKUP(AC231,moves!A:F,6,FALSE)</f>
        <v>When the target is next attacked, add 2 [status_symbol]s to the roll.</v>
      </c>
      <c r="AH231">
        <v>0</v>
      </c>
      <c r="AI231">
        <v>0</v>
      </c>
      <c r="AJ231" t="str" cm="1">
        <f t="array" ref="AJ231">_xlfn.IFS(AH231=1, "starter", AI231=1, "legendary",V231&lt; 13, "weak",V231&lt; 17, "moderate", TRUE, "strong")</f>
        <v>moderate</v>
      </c>
      <c r="AL231">
        <v>2</v>
      </c>
      <c r="AM231">
        <v>0</v>
      </c>
    </row>
    <row r="232" spans="1:39" x14ac:dyDescent="0.25">
      <c r="A232">
        <v>76</v>
      </c>
      <c r="B232" t="s">
        <v>35</v>
      </c>
      <c r="C232" t="str">
        <f t="shared" si="210"/>
        <v>Golem</v>
      </c>
      <c r="E232" t="s">
        <v>33</v>
      </c>
      <c r="F232" t="s">
        <v>13</v>
      </c>
      <c r="G232">
        <v>80</v>
      </c>
      <c r="H232">
        <v>120</v>
      </c>
      <c r="I232">
        <v>130</v>
      </c>
      <c r="J232">
        <v>55</v>
      </c>
      <c r="K232">
        <v>65</v>
      </c>
      <c r="L232">
        <v>45</v>
      </c>
      <c r="M232" t="s">
        <v>261</v>
      </c>
      <c r="N232" t="s">
        <v>304</v>
      </c>
      <c r="O232" t="s">
        <v>300</v>
      </c>
      <c r="P232">
        <f t="shared" si="212"/>
        <v>8.35</v>
      </c>
      <c r="Q232">
        <f t="shared" si="213"/>
        <v>9.0500000000000007</v>
      </c>
      <c r="R232">
        <v>0</v>
      </c>
      <c r="S232">
        <v>0</v>
      </c>
      <c r="T232">
        <f t="shared" si="214"/>
        <v>8</v>
      </c>
      <c r="U232">
        <f t="shared" si="215"/>
        <v>9</v>
      </c>
      <c r="V232">
        <f t="shared" si="216"/>
        <v>17</v>
      </c>
      <c r="W232" t="str">
        <f t="shared" si="211"/>
        <v>rock</v>
      </c>
      <c r="X232" t="str">
        <f>IF(F232 = 0, "", F232)</f>
        <v>ground</v>
      </c>
      <c r="Y232" t="s">
        <v>8</v>
      </c>
      <c r="Z232" t="s">
        <v>4</v>
      </c>
      <c r="AB232" t="str">
        <f t="shared" si="208"/>
        <v/>
      </c>
      <c r="AC232" t="s">
        <v>516</v>
      </c>
      <c r="AD232" t="str">
        <f>VLOOKUP(AC232,moves!A:B,2,FALSE)</f>
        <v>normal</v>
      </c>
      <c r="AE232">
        <f>VLOOKUP(AC232,moves!A:D,4,FALSE)</f>
        <v>8</v>
      </c>
      <c r="AF232" t="str">
        <f>IF(VLOOKUP(AC232,moves!A:F,5,FALSE)=0, "", VLOOKUP(AC232,moves!A:F,5,FALSE))</f>
        <v>surge</v>
      </c>
      <c r="AG232" t="str">
        <f>VLOOKUP(AC232,moves!A:F,6,FALSE)</f>
        <v>The user takes 4 damage.</v>
      </c>
      <c r="AH232">
        <v>0</v>
      </c>
      <c r="AI232">
        <v>0</v>
      </c>
      <c r="AJ232" t="str" cm="1">
        <f t="array" ref="AJ232">_xlfn.IFS(AH232=1, "starter", AI232=1, "legendary",V232&lt; 13, "weak",V232&lt; 17, "moderate", TRUE, "strong")</f>
        <v>strong</v>
      </c>
      <c r="AL232">
        <v>3</v>
      </c>
      <c r="AM232">
        <v>0</v>
      </c>
    </row>
    <row r="233" spans="1:39" x14ac:dyDescent="0.25">
      <c r="A233">
        <v>265</v>
      </c>
      <c r="B233" t="s">
        <v>111</v>
      </c>
      <c r="C233" t="str">
        <f t="shared" si="210"/>
        <v>Wurmple</v>
      </c>
      <c r="E233" t="s">
        <v>7</v>
      </c>
      <c r="G233">
        <v>45</v>
      </c>
      <c r="H233">
        <v>45</v>
      </c>
      <c r="I233">
        <v>35</v>
      </c>
      <c r="J233">
        <v>20</v>
      </c>
      <c r="K233">
        <v>30</v>
      </c>
      <c r="L233">
        <v>20</v>
      </c>
      <c r="M233" t="s">
        <v>248</v>
      </c>
      <c r="N233" t="s">
        <v>298</v>
      </c>
      <c r="O233" t="s">
        <v>299</v>
      </c>
      <c r="P233">
        <f t="shared" si="212"/>
        <v>3.25</v>
      </c>
      <c r="Q233">
        <f t="shared" si="213"/>
        <v>3.75</v>
      </c>
      <c r="R233">
        <v>0</v>
      </c>
      <c r="S233">
        <v>0</v>
      </c>
      <c r="T233">
        <f t="shared" si="214"/>
        <v>3</v>
      </c>
      <c r="U233">
        <f t="shared" si="215"/>
        <v>4</v>
      </c>
      <c r="V233">
        <f t="shared" si="216"/>
        <v>7</v>
      </c>
      <c r="W233" t="str">
        <f t="shared" si="211"/>
        <v>bug</v>
      </c>
      <c r="X233" t="s">
        <v>3</v>
      </c>
      <c r="Y233" t="s">
        <v>8</v>
      </c>
      <c r="Z233" t="s">
        <v>39</v>
      </c>
      <c r="AA233" t="s">
        <v>542</v>
      </c>
      <c r="AB233">
        <f t="shared" si="208"/>
        <v>2</v>
      </c>
      <c r="AC233" t="s">
        <v>513</v>
      </c>
      <c r="AD233" t="str">
        <f>VLOOKUP(AC233,moves!A:B,2,FALSE)</f>
        <v>bug</v>
      </c>
      <c r="AE233">
        <f>VLOOKUP(AC233,moves!A:D,4,FALSE)</f>
        <v>3</v>
      </c>
      <c r="AF233" t="str">
        <f>IF(VLOOKUP(AC233,moves!A:F,5,FALSE)=0, "", VLOOKUP(AC233,moves!A:F,5,FALSE))</f>
        <v/>
      </c>
      <c r="AG233" t="str">
        <f>VLOOKUP(AC233,moves!A:F,6,FALSE)</f>
        <v>If the target has a held item, deal 2 extra damage.</v>
      </c>
      <c r="AH233">
        <v>0</v>
      </c>
      <c r="AI233">
        <v>0</v>
      </c>
      <c r="AJ233" t="str" cm="1">
        <f t="array" ref="AJ233">_xlfn.IFS(AH233=1, "starter", AI233=1, "legendary",V233&lt; 13, "weak",V233&lt; 17, "moderate", TRUE, "strong")</f>
        <v>weak</v>
      </c>
      <c r="AL233">
        <v>1</v>
      </c>
      <c r="AM233">
        <v>0</v>
      </c>
    </row>
    <row r="234" spans="1:39" x14ac:dyDescent="0.25">
      <c r="A234">
        <v>266</v>
      </c>
      <c r="B234" t="s">
        <v>112</v>
      </c>
      <c r="C234" t="str">
        <f t="shared" si="210"/>
        <v>Silcoon</v>
      </c>
      <c r="E234" t="s">
        <v>7</v>
      </c>
      <c r="G234">
        <v>50</v>
      </c>
      <c r="H234">
        <v>35</v>
      </c>
      <c r="I234">
        <v>55</v>
      </c>
      <c r="J234">
        <v>25</v>
      </c>
      <c r="K234">
        <v>25</v>
      </c>
      <c r="L234">
        <v>15</v>
      </c>
      <c r="M234" t="s">
        <v>249</v>
      </c>
      <c r="N234" t="s">
        <v>298</v>
      </c>
      <c r="O234" t="s">
        <v>299</v>
      </c>
      <c r="P234">
        <f t="shared" si="212"/>
        <v>2.6</v>
      </c>
      <c r="Q234">
        <f t="shared" si="213"/>
        <v>4.4000000000000004</v>
      </c>
      <c r="R234">
        <v>-1</v>
      </c>
      <c r="S234">
        <v>4</v>
      </c>
      <c r="T234">
        <f t="shared" si="214"/>
        <v>2</v>
      </c>
      <c r="U234">
        <f t="shared" si="215"/>
        <v>8</v>
      </c>
      <c r="V234">
        <f t="shared" si="216"/>
        <v>10</v>
      </c>
      <c r="W234" t="str">
        <f t="shared" si="211"/>
        <v>bug</v>
      </c>
      <c r="X234" t="s">
        <v>3</v>
      </c>
      <c r="Y234" t="s">
        <v>8</v>
      </c>
      <c r="Z234" t="s">
        <v>39</v>
      </c>
      <c r="AA234" t="str">
        <f>B235</f>
        <v>Beautifly</v>
      </c>
      <c r="AB234">
        <f t="shared" si="208"/>
        <v>3</v>
      </c>
      <c r="AC234" t="s">
        <v>839</v>
      </c>
      <c r="AD234" t="str">
        <f>VLOOKUP(AC234,moves!A:B,2,FALSE)</f>
        <v>poison</v>
      </c>
      <c r="AE234">
        <f>VLOOKUP(AC234,moves!A:D,4,FALSE)</f>
        <v>1</v>
      </c>
      <c r="AF234" t="str">
        <f>IF(VLOOKUP(AC234,moves!A:F,5,FALSE)=0, "", VLOOKUP(AC234,moves!A:F,5,FALSE))</f>
        <v/>
      </c>
      <c r="AG234" t="str">
        <f>VLOOKUP(AC234,moves!A:F,6,FALSE)</f>
        <v>Inflict the [poisoned] status on the target. When the user is next attacked, remove 2 [regular_hit]s from the roll.</v>
      </c>
      <c r="AH234">
        <v>0</v>
      </c>
      <c r="AI234">
        <v>0</v>
      </c>
      <c r="AJ234" t="str" cm="1">
        <f t="array" ref="AJ234">_xlfn.IFS(AH234=1, "starter", AI234=1, "legendary",V234&lt; 13, "weak",V234&lt; 17, "moderate", TRUE, "strong")</f>
        <v>weak</v>
      </c>
      <c r="AL234">
        <v>2</v>
      </c>
      <c r="AM234">
        <v>0</v>
      </c>
    </row>
    <row r="235" spans="1:39" x14ac:dyDescent="0.25">
      <c r="A235">
        <v>267</v>
      </c>
      <c r="B235" t="s">
        <v>113</v>
      </c>
      <c r="C235" t="str">
        <f t="shared" si="210"/>
        <v>Beautifly</v>
      </c>
      <c r="E235" t="s">
        <v>7</v>
      </c>
      <c r="F235" t="s">
        <v>5</v>
      </c>
      <c r="G235">
        <v>60</v>
      </c>
      <c r="H235">
        <v>70</v>
      </c>
      <c r="I235">
        <v>50</v>
      </c>
      <c r="J235">
        <v>100</v>
      </c>
      <c r="K235">
        <v>50</v>
      </c>
      <c r="L235">
        <v>65</v>
      </c>
      <c r="M235" t="s">
        <v>250</v>
      </c>
      <c r="N235" t="s">
        <v>298</v>
      </c>
      <c r="O235" t="s">
        <v>299</v>
      </c>
      <c r="P235">
        <f t="shared" si="212"/>
        <v>8.3000000000000007</v>
      </c>
      <c r="Q235">
        <f t="shared" si="213"/>
        <v>5.4</v>
      </c>
      <c r="R235">
        <v>0</v>
      </c>
      <c r="S235">
        <v>0</v>
      </c>
      <c r="T235">
        <f t="shared" si="214"/>
        <v>8</v>
      </c>
      <c r="U235">
        <f t="shared" si="215"/>
        <v>5</v>
      </c>
      <c r="V235">
        <f t="shared" si="216"/>
        <v>13</v>
      </c>
      <c r="W235" t="str">
        <f t="shared" si="211"/>
        <v>bug</v>
      </c>
      <c r="X235" t="str">
        <f>IF(F235 = 0, "", F235)</f>
        <v>flying</v>
      </c>
      <c r="Y235" t="s">
        <v>3</v>
      </c>
      <c r="Z235" t="s">
        <v>2</v>
      </c>
      <c r="AB235" t="str">
        <f t="shared" si="208"/>
        <v/>
      </c>
      <c r="AC235" t="s">
        <v>487</v>
      </c>
      <c r="AD235" t="str">
        <f>VLOOKUP(AC235,moves!A:B,2,FALSE)</f>
        <v>grass</v>
      </c>
      <c r="AE235">
        <f>VLOOKUP(AC235,moves!A:D,4,FALSE)</f>
        <v>4</v>
      </c>
      <c r="AF235" t="str">
        <f>IF(VLOOKUP(AC235,moves!A:F,5,FALSE)=0, "", VLOOKUP(AC235,moves!A:F,5,FALSE))</f>
        <v/>
      </c>
      <c r="AG235" t="str">
        <f>VLOOKUP(AC235,moves!A:F,6,FALSE)</f>
        <v>Heal damage equal to half the damage dealt, rounded down.</v>
      </c>
      <c r="AH235">
        <v>0</v>
      </c>
      <c r="AI235">
        <v>0</v>
      </c>
      <c r="AJ235" t="str" cm="1">
        <f t="array" ref="AJ235">_xlfn.IFS(AH235=1, "starter", AI235=1, "legendary",V235&lt; 13, "weak",V235&lt; 17, "moderate", TRUE, "strong")</f>
        <v>moderate</v>
      </c>
      <c r="AL235">
        <v>3</v>
      </c>
      <c r="AM235">
        <v>0</v>
      </c>
    </row>
    <row r="236" spans="1:39" x14ac:dyDescent="0.25">
      <c r="A236">
        <v>268</v>
      </c>
      <c r="B236" t="s">
        <v>114</v>
      </c>
      <c r="C236" t="str">
        <f t="shared" si="210"/>
        <v>Cascoon</v>
      </c>
      <c r="E236" t="s">
        <v>7</v>
      </c>
      <c r="G236">
        <v>50</v>
      </c>
      <c r="H236">
        <v>35</v>
      </c>
      <c r="I236">
        <v>55</v>
      </c>
      <c r="J236">
        <v>25</v>
      </c>
      <c r="K236">
        <v>25</v>
      </c>
      <c r="L236">
        <v>15</v>
      </c>
      <c r="M236" t="s">
        <v>249</v>
      </c>
      <c r="N236" t="s">
        <v>298</v>
      </c>
      <c r="O236" t="s">
        <v>299</v>
      </c>
      <c r="P236">
        <f t="shared" si="212"/>
        <v>2.6</v>
      </c>
      <c r="Q236">
        <f t="shared" si="213"/>
        <v>4.4000000000000004</v>
      </c>
      <c r="R236">
        <v>-1</v>
      </c>
      <c r="S236">
        <v>4</v>
      </c>
      <c r="T236">
        <f t="shared" si="214"/>
        <v>2</v>
      </c>
      <c r="U236">
        <f t="shared" si="215"/>
        <v>8</v>
      </c>
      <c r="V236">
        <f t="shared" si="216"/>
        <v>10</v>
      </c>
      <c r="W236" t="str">
        <f t="shared" si="211"/>
        <v>bug</v>
      </c>
      <c r="X236" t="s">
        <v>3</v>
      </c>
      <c r="Y236" t="s">
        <v>8</v>
      </c>
      <c r="Z236" t="s">
        <v>39</v>
      </c>
      <c r="AA236" t="str">
        <f>B237</f>
        <v>Dustox</v>
      </c>
      <c r="AB236">
        <f t="shared" si="208"/>
        <v>3</v>
      </c>
      <c r="AC236" t="s">
        <v>839</v>
      </c>
      <c r="AD236" t="str">
        <f>VLOOKUP(AC236,moves!A:B,2,FALSE)</f>
        <v>poison</v>
      </c>
      <c r="AE236">
        <f>VLOOKUP(AC236,moves!A:D,4,FALSE)</f>
        <v>1</v>
      </c>
      <c r="AF236" t="str">
        <f>IF(VLOOKUP(AC236,moves!A:F,5,FALSE)=0, "", VLOOKUP(AC236,moves!A:F,5,FALSE))</f>
        <v/>
      </c>
      <c r="AG236" t="str">
        <f>VLOOKUP(AC236,moves!A:F,6,FALSE)</f>
        <v>Inflict the [poisoned] status on the target. When the user is next attacked, remove 2 [regular_hit]s from the roll.</v>
      </c>
      <c r="AH236">
        <v>0</v>
      </c>
      <c r="AI236">
        <v>0</v>
      </c>
      <c r="AJ236" t="str" cm="1">
        <f t="array" ref="AJ236">_xlfn.IFS(AH236=1, "starter", AI236=1, "legendary",V236&lt; 13, "weak",V236&lt; 17, "moderate", TRUE, "strong")</f>
        <v>weak</v>
      </c>
      <c r="AL236">
        <v>2</v>
      </c>
      <c r="AM236">
        <v>0</v>
      </c>
    </row>
    <row r="237" spans="1:39" x14ac:dyDescent="0.25">
      <c r="A237">
        <v>269</v>
      </c>
      <c r="B237" t="s">
        <v>115</v>
      </c>
      <c r="C237" t="str">
        <f t="shared" si="210"/>
        <v>Dustox</v>
      </c>
      <c r="E237" t="s">
        <v>7</v>
      </c>
      <c r="F237" t="s">
        <v>3</v>
      </c>
      <c r="G237">
        <v>60</v>
      </c>
      <c r="H237">
        <v>50</v>
      </c>
      <c r="I237">
        <v>70</v>
      </c>
      <c r="J237">
        <v>50</v>
      </c>
      <c r="K237">
        <v>90</v>
      </c>
      <c r="L237">
        <v>65</v>
      </c>
      <c r="M237" t="s">
        <v>255</v>
      </c>
      <c r="N237" t="s">
        <v>298</v>
      </c>
      <c r="O237" t="s">
        <v>299</v>
      </c>
      <c r="P237">
        <f t="shared" si="212"/>
        <v>5.6</v>
      </c>
      <c r="Q237">
        <f t="shared" si="213"/>
        <v>7.2</v>
      </c>
      <c r="R237">
        <v>0</v>
      </c>
      <c r="S237">
        <v>0</v>
      </c>
      <c r="T237">
        <f t="shared" si="214"/>
        <v>6</v>
      </c>
      <c r="U237">
        <f t="shared" si="215"/>
        <v>7</v>
      </c>
      <c r="V237">
        <f t="shared" si="216"/>
        <v>13</v>
      </c>
      <c r="W237" t="str">
        <f t="shared" si="211"/>
        <v>bug</v>
      </c>
      <c r="X237" t="str">
        <f>IF(F237 = 0, "", F237)</f>
        <v>poison</v>
      </c>
      <c r="Y237" t="s">
        <v>42</v>
      </c>
      <c r="Z237" t="s">
        <v>26</v>
      </c>
      <c r="AB237" t="str">
        <f t="shared" si="208"/>
        <v/>
      </c>
      <c r="AC237" t="s">
        <v>596</v>
      </c>
      <c r="AD237" t="str">
        <f>VLOOKUP(AC237,moves!A:B,2,FALSE)</f>
        <v>bug</v>
      </c>
      <c r="AE237">
        <f>VLOOKUP(AC237,moves!A:D,4,FALSE)</f>
        <v>4</v>
      </c>
      <c r="AF237" t="str">
        <f>IF(VLOOKUP(AC237,moves!A:F,5,FALSE)=0, "", VLOOKUP(AC237,moves!A:F,5,FALSE))</f>
        <v/>
      </c>
      <c r="AG237" t="str">
        <f>VLOOKUP(AC237,moves!A:F,6,FALSE)</f>
        <v>If any [status_symbol]s are rolled: Inflict the [paralysed] status on the target.</v>
      </c>
      <c r="AH237">
        <v>0</v>
      </c>
      <c r="AI237">
        <v>0</v>
      </c>
      <c r="AJ237" t="str" cm="1">
        <f t="array" ref="AJ237">_xlfn.IFS(AH237=1, "starter", AI237=1, "legendary",V237&lt; 13, "weak",V237&lt; 17, "moderate", TRUE, "strong")</f>
        <v>moderate</v>
      </c>
      <c r="AL237">
        <v>3</v>
      </c>
      <c r="AM237">
        <v>0</v>
      </c>
    </row>
    <row r="238" spans="1:39" x14ac:dyDescent="0.25">
      <c r="A238">
        <v>333</v>
      </c>
      <c r="B238" t="s">
        <v>124</v>
      </c>
      <c r="C238" t="str">
        <f t="shared" si="210"/>
        <v>Swablu</v>
      </c>
      <c r="E238" t="s">
        <v>8</v>
      </c>
      <c r="F238" t="s">
        <v>5</v>
      </c>
      <c r="G238">
        <v>45</v>
      </c>
      <c r="H238">
        <v>40</v>
      </c>
      <c r="I238">
        <v>60</v>
      </c>
      <c r="J238">
        <v>40</v>
      </c>
      <c r="K238">
        <v>75</v>
      </c>
      <c r="L238">
        <v>50</v>
      </c>
      <c r="M238" t="s">
        <v>293</v>
      </c>
      <c r="N238" t="s">
        <v>301</v>
      </c>
      <c r="O238" t="s">
        <v>300</v>
      </c>
      <c r="P238">
        <f t="shared" si="212"/>
        <v>4.4000000000000004</v>
      </c>
      <c r="Q238">
        <f t="shared" si="213"/>
        <v>5.85</v>
      </c>
      <c r="R238">
        <v>0</v>
      </c>
      <c r="S238">
        <v>0</v>
      </c>
      <c r="T238">
        <f t="shared" si="214"/>
        <v>4</v>
      </c>
      <c r="U238">
        <f t="shared" si="215"/>
        <v>6</v>
      </c>
      <c r="V238">
        <f t="shared" si="216"/>
        <v>10</v>
      </c>
      <c r="W238" t="s">
        <v>67</v>
      </c>
      <c r="X238" t="str">
        <f>IF(F238 = 0, "", F238)</f>
        <v>flying</v>
      </c>
      <c r="Y238" t="s">
        <v>16</v>
      </c>
      <c r="Z238" t="s">
        <v>8</v>
      </c>
      <c r="AA238" t="str">
        <f>B239</f>
        <v>Altaria</v>
      </c>
      <c r="AB238">
        <f t="shared" si="208"/>
        <v>6</v>
      </c>
      <c r="AC238" t="s">
        <v>543</v>
      </c>
      <c r="AD238" t="str">
        <f>VLOOKUP(AC238,moves!A:B,2,FALSE)</f>
        <v>normal</v>
      </c>
      <c r="AE238">
        <f>VLOOKUP(AC238,moves!A:D,4,FALSE)</f>
        <v>1</v>
      </c>
      <c r="AF238" t="str">
        <f>IF(VLOOKUP(AC238,moves!A:F,5,FALSE)=0, "", VLOOKUP(AC238,moves!A:F,5,FALSE))</f>
        <v/>
      </c>
      <c r="AG238" t="str">
        <f>VLOOKUP(AC238,moves!A:F,6,FALSE)</f>
        <v>Increase the Battle Fatigue of the user and the target to 5.</v>
      </c>
      <c r="AH238">
        <v>0</v>
      </c>
      <c r="AI238">
        <v>0</v>
      </c>
      <c r="AJ238" t="str" cm="1">
        <f t="array" ref="AJ238">_xlfn.IFS(AH238=1, "starter", AI238=1, "legendary",V238&lt; 13, "weak",V238&lt; 17, "moderate", TRUE, "strong")</f>
        <v>weak</v>
      </c>
      <c r="AL238">
        <v>1</v>
      </c>
      <c r="AM238">
        <v>0</v>
      </c>
    </row>
    <row r="239" spans="1:39" x14ac:dyDescent="0.25">
      <c r="A239">
        <v>334</v>
      </c>
      <c r="B239" t="s">
        <v>125</v>
      </c>
      <c r="C239" t="str">
        <f t="shared" si="210"/>
        <v>Altaria</v>
      </c>
      <c r="E239" t="s">
        <v>67</v>
      </c>
      <c r="F239" t="s">
        <v>5</v>
      </c>
      <c r="G239">
        <v>75</v>
      </c>
      <c r="H239">
        <v>70</v>
      </c>
      <c r="I239">
        <v>90</v>
      </c>
      <c r="J239">
        <v>70</v>
      </c>
      <c r="K239">
        <v>105</v>
      </c>
      <c r="L239">
        <v>80</v>
      </c>
      <c r="M239" t="s">
        <v>294</v>
      </c>
      <c r="N239" t="s">
        <v>301</v>
      </c>
      <c r="O239" t="s">
        <v>300</v>
      </c>
      <c r="P239">
        <f t="shared" si="212"/>
        <v>7.4</v>
      </c>
      <c r="Q239">
        <f t="shared" si="213"/>
        <v>8.85</v>
      </c>
      <c r="R239">
        <v>0</v>
      </c>
      <c r="S239">
        <v>0</v>
      </c>
      <c r="T239">
        <f t="shared" si="214"/>
        <v>7</v>
      </c>
      <c r="U239">
        <f t="shared" si="215"/>
        <v>9</v>
      </c>
      <c r="V239">
        <f t="shared" si="216"/>
        <v>16</v>
      </c>
      <c r="W239" t="s">
        <v>67</v>
      </c>
      <c r="X239" t="str">
        <f>IF(F239 = 0, "", F239)</f>
        <v>flying</v>
      </c>
      <c r="Y239" t="s">
        <v>16</v>
      </c>
      <c r="Z239" t="s">
        <v>8</v>
      </c>
      <c r="AB239" t="str">
        <f t="shared" si="208"/>
        <v/>
      </c>
      <c r="AC239" t="s">
        <v>570</v>
      </c>
      <c r="AD239" t="str">
        <f>VLOOKUP(AC239,moves!A:B,2,FALSE)</f>
        <v>flying</v>
      </c>
      <c r="AE239">
        <f>VLOOKUP(AC239,moves!A:D,4,FALSE)</f>
        <v>5</v>
      </c>
      <c r="AF239" t="str">
        <f>IF(VLOOKUP(AC239,moves!A:F,5,FALSE)=0, "", VLOOKUP(AC239,moves!A:F,5,FALSE))</f>
        <v>surge</v>
      </c>
      <c r="AG239" t="str">
        <f>VLOOKUP(AC239,moves!A:F,6,FALSE)</f>
        <v>[critical_hit]s deal +1 damage.</v>
      </c>
      <c r="AH239">
        <v>0</v>
      </c>
      <c r="AI239">
        <v>0</v>
      </c>
      <c r="AJ239" t="str" cm="1">
        <f t="array" ref="AJ239">_xlfn.IFS(AH239=1, "starter", AI239=1, "legendary",V239&lt; 13, "weak",V239&lt; 17, "moderate", TRUE, "strong")</f>
        <v>moderate</v>
      </c>
      <c r="AL239">
        <v>2</v>
      </c>
      <c r="AM239">
        <v>0</v>
      </c>
    </row>
    <row r="240" spans="1:39" x14ac:dyDescent="0.25">
      <c r="A240">
        <v>58</v>
      </c>
      <c r="B240" t="s">
        <v>23</v>
      </c>
      <c r="C240" t="str">
        <f t="shared" si="210"/>
        <v>Growlithe</v>
      </c>
      <c r="E240" t="s">
        <v>4</v>
      </c>
      <c r="G240">
        <v>55</v>
      </c>
      <c r="H240">
        <v>70</v>
      </c>
      <c r="I240">
        <v>45</v>
      </c>
      <c r="J240">
        <v>70</v>
      </c>
      <c r="K240">
        <v>50</v>
      </c>
      <c r="L240">
        <v>60</v>
      </c>
      <c r="M240" t="s">
        <v>256</v>
      </c>
      <c r="N240" t="s">
        <v>304</v>
      </c>
      <c r="O240" t="s">
        <v>302</v>
      </c>
      <c r="P240">
        <f t="shared" si="212"/>
        <v>6.6</v>
      </c>
      <c r="Q240">
        <f t="shared" si="213"/>
        <v>5.05</v>
      </c>
      <c r="R240">
        <v>0</v>
      </c>
      <c r="S240">
        <v>0</v>
      </c>
      <c r="T240">
        <f t="shared" si="214"/>
        <v>7</v>
      </c>
      <c r="U240">
        <f t="shared" si="215"/>
        <v>5</v>
      </c>
      <c r="V240">
        <f t="shared" si="216"/>
        <v>12</v>
      </c>
      <c r="W240" t="str">
        <f t="shared" ref="W240:W272" si="217">E240</f>
        <v>fire</v>
      </c>
      <c r="X240" t="s">
        <v>8</v>
      </c>
      <c r="Y240" t="s">
        <v>9</v>
      </c>
      <c r="Z240" t="s">
        <v>13</v>
      </c>
      <c r="AA240" t="str">
        <f>B241</f>
        <v>Arcanine</v>
      </c>
      <c r="AB240">
        <f t="shared" si="208"/>
        <v>8</v>
      </c>
      <c r="AC240" t="s">
        <v>669</v>
      </c>
      <c r="AD240" t="str">
        <f>VLOOKUP(AC240,moves!A:B,2,FALSE)</f>
        <v>fire</v>
      </c>
      <c r="AE240">
        <f>VLOOKUP(AC240,moves!A:D,4,FALSE)</f>
        <v>3</v>
      </c>
      <c r="AF240" t="str">
        <f>IF(VLOOKUP(AC240,moves!A:F,5,FALSE)=0, "", VLOOKUP(AC240,moves!A:F,5,FALSE))</f>
        <v/>
      </c>
      <c r="AG240" t="str">
        <f>VLOOKUP(AC240,moves!A:F,6,FALSE)</f>
        <v>[status_symbol]s deal +1 damage.</v>
      </c>
      <c r="AH240">
        <v>0</v>
      </c>
      <c r="AI240">
        <v>0</v>
      </c>
      <c r="AJ240" t="str" cm="1">
        <f t="array" ref="AJ240">_xlfn.IFS(AH240=1, "starter", AI240=1, "legendary",V240&lt; 13, "weak",V240&lt; 17, "moderate", TRUE, "strong")</f>
        <v>weak</v>
      </c>
      <c r="AL240">
        <v>1</v>
      </c>
      <c r="AM240">
        <v>0</v>
      </c>
    </row>
    <row r="241" spans="1:39" x14ac:dyDescent="0.25">
      <c r="A241">
        <v>59</v>
      </c>
      <c r="B241" t="s">
        <v>24</v>
      </c>
      <c r="C241" t="str">
        <f t="shared" si="210"/>
        <v>Arcanine</v>
      </c>
      <c r="E241" t="s">
        <v>4</v>
      </c>
      <c r="G241">
        <v>90</v>
      </c>
      <c r="H241">
        <v>110</v>
      </c>
      <c r="I241">
        <v>80</v>
      </c>
      <c r="J241">
        <v>100</v>
      </c>
      <c r="K241">
        <v>80</v>
      </c>
      <c r="L241">
        <v>95</v>
      </c>
      <c r="M241" t="s">
        <v>257</v>
      </c>
      <c r="N241" t="s">
        <v>304</v>
      </c>
      <c r="O241" t="s">
        <v>302</v>
      </c>
      <c r="P241">
        <f t="shared" si="212"/>
        <v>10.3</v>
      </c>
      <c r="Q241">
        <f t="shared" si="213"/>
        <v>8.4</v>
      </c>
      <c r="R241">
        <v>0</v>
      </c>
      <c r="S241">
        <v>0</v>
      </c>
      <c r="T241">
        <f t="shared" si="214"/>
        <v>10</v>
      </c>
      <c r="U241">
        <f t="shared" si="215"/>
        <v>8</v>
      </c>
      <c r="V241">
        <f t="shared" si="216"/>
        <v>18</v>
      </c>
      <c r="W241" t="str">
        <f t="shared" si="217"/>
        <v>fire</v>
      </c>
      <c r="X241" t="s">
        <v>8</v>
      </c>
      <c r="Y241" t="s">
        <v>9</v>
      </c>
      <c r="Z241" t="s">
        <v>13</v>
      </c>
      <c r="AB241" t="str">
        <f t="shared" si="208"/>
        <v/>
      </c>
      <c r="AC241" t="s">
        <v>842</v>
      </c>
      <c r="AD241" t="str">
        <f>VLOOKUP(AC241,moves!A:B,2,FALSE)</f>
        <v>normal</v>
      </c>
      <c r="AE241">
        <f>VLOOKUP(AC241,moves!A:D,4,FALSE)</f>
        <v>3</v>
      </c>
      <c r="AF241" t="str">
        <f>IF(VLOOKUP(AC241,moves!A:F,5,FALSE)=0, "", VLOOKUP(AC241,moves!A:F,5,FALSE))</f>
        <v>agile</v>
      </c>
      <c r="AG241" t="str">
        <f>VLOOKUP(AC241,moves!A:F,6,FALSE)</f>
        <v>[status_symbol]s deal -1 damage.</v>
      </c>
      <c r="AH241">
        <v>0</v>
      </c>
      <c r="AI241">
        <v>0</v>
      </c>
      <c r="AJ241" t="str" cm="1">
        <f t="array" ref="AJ241">_xlfn.IFS(AH241=1, "starter", AI241=1, "legendary",V241&lt; 13, "weak",V241&lt; 17, "moderate", TRUE, "strong")</f>
        <v>strong</v>
      </c>
      <c r="AL241">
        <v>2</v>
      </c>
      <c r="AM241">
        <v>0</v>
      </c>
    </row>
    <row r="242" spans="1:39" x14ac:dyDescent="0.25">
      <c r="A242">
        <v>216</v>
      </c>
      <c r="B242" t="s">
        <v>91</v>
      </c>
      <c r="C242" t="str">
        <f t="shared" si="210"/>
        <v>Teddiursa</v>
      </c>
      <c r="E242" t="s">
        <v>8</v>
      </c>
      <c r="G242">
        <v>60</v>
      </c>
      <c r="H242">
        <v>80</v>
      </c>
      <c r="I242">
        <v>50</v>
      </c>
      <c r="J242">
        <v>50</v>
      </c>
      <c r="K242">
        <v>50</v>
      </c>
      <c r="L242">
        <v>40</v>
      </c>
      <c r="M242" t="s">
        <v>280</v>
      </c>
      <c r="N242" t="s">
        <v>298</v>
      </c>
      <c r="O242" t="s">
        <v>302</v>
      </c>
      <c r="P242">
        <f t="shared" si="212"/>
        <v>6.1</v>
      </c>
      <c r="Q242">
        <f t="shared" si="213"/>
        <v>5.4</v>
      </c>
      <c r="R242">
        <v>0</v>
      </c>
      <c r="S242">
        <v>0</v>
      </c>
      <c r="T242">
        <f t="shared" si="214"/>
        <v>6</v>
      </c>
      <c r="U242">
        <f t="shared" si="215"/>
        <v>5</v>
      </c>
      <c r="V242">
        <f t="shared" si="216"/>
        <v>11</v>
      </c>
      <c r="W242" t="str">
        <f t="shared" si="217"/>
        <v>normal</v>
      </c>
      <c r="X242" t="s">
        <v>16</v>
      </c>
      <c r="Y242" t="s">
        <v>22</v>
      </c>
      <c r="Z242" t="s">
        <v>9</v>
      </c>
      <c r="AA242" t="str">
        <f>B243</f>
        <v>Ursaring</v>
      </c>
      <c r="AB242">
        <f t="shared" si="208"/>
        <v>7</v>
      </c>
      <c r="AC242" t="s">
        <v>508</v>
      </c>
      <c r="AD242" t="str">
        <f>VLOOKUP(AC242,moves!A:B,2,FALSE)</f>
        <v>fairy</v>
      </c>
      <c r="AE242">
        <f>VLOOKUP(AC242,moves!A:D,4,FALSE)</f>
        <v>3</v>
      </c>
      <c r="AF242" t="str">
        <f>IF(VLOOKUP(AC242,moves!A:F,5,FALSE)=0, "", VLOOKUP(AC242,moves!A:F,5,FALSE))</f>
        <v/>
      </c>
      <c r="AG242" t="str">
        <f>VLOOKUP(AC242,moves!A:F,6,FALSE)</f>
        <v>When the target next attacks, remove 1 [regular_hit] from the roll.</v>
      </c>
      <c r="AH242">
        <v>0</v>
      </c>
      <c r="AI242">
        <v>0</v>
      </c>
      <c r="AJ242" t="str" cm="1">
        <f t="array" ref="AJ242">_xlfn.IFS(AH242=1, "starter", AI242=1, "legendary",V242&lt; 13, "weak",V242&lt; 17, "moderate", TRUE, "strong")</f>
        <v>weak</v>
      </c>
      <c r="AL242">
        <v>1</v>
      </c>
      <c r="AM242">
        <v>0</v>
      </c>
    </row>
    <row r="243" spans="1:39" x14ac:dyDescent="0.25">
      <c r="A243">
        <v>217</v>
      </c>
      <c r="B243" t="s">
        <v>92</v>
      </c>
      <c r="C243" t="str">
        <f t="shared" si="210"/>
        <v>Ursaring</v>
      </c>
      <c r="E243" t="s">
        <v>8</v>
      </c>
      <c r="G243">
        <v>90</v>
      </c>
      <c r="H243">
        <v>130</v>
      </c>
      <c r="I243">
        <v>75</v>
      </c>
      <c r="J243">
        <v>75</v>
      </c>
      <c r="K243">
        <v>75</v>
      </c>
      <c r="L243">
        <v>55</v>
      </c>
      <c r="M243" t="s">
        <v>281</v>
      </c>
      <c r="N243" t="s">
        <v>298</v>
      </c>
      <c r="O243" t="s">
        <v>302</v>
      </c>
      <c r="P243">
        <f t="shared" si="212"/>
        <v>9.4499999999999993</v>
      </c>
      <c r="Q243">
        <f t="shared" si="213"/>
        <v>8.1</v>
      </c>
      <c r="R243">
        <v>0</v>
      </c>
      <c r="S243">
        <v>0</v>
      </c>
      <c r="T243">
        <f t="shared" si="214"/>
        <v>9</v>
      </c>
      <c r="U243">
        <f t="shared" si="215"/>
        <v>8</v>
      </c>
      <c r="V243">
        <f t="shared" si="216"/>
        <v>17</v>
      </c>
      <c r="W243" t="str">
        <f t="shared" si="217"/>
        <v>normal</v>
      </c>
      <c r="X243" t="s">
        <v>16</v>
      </c>
      <c r="Y243" t="s">
        <v>22</v>
      </c>
      <c r="Z243" t="s">
        <v>9</v>
      </c>
      <c r="AB243" t="str">
        <f t="shared" si="208"/>
        <v/>
      </c>
      <c r="AC243" t="s">
        <v>566</v>
      </c>
      <c r="AD243" t="str">
        <f>VLOOKUP(AC243,moves!A:B,2,FALSE)</f>
        <v>normal</v>
      </c>
      <c r="AE243">
        <f>VLOOKUP(AC243,moves!A:D,4,FALSE)</f>
        <v>5</v>
      </c>
      <c r="AF243" t="str">
        <f>IF(VLOOKUP(AC243,moves!A:F,5,FALSE)=0, "", VLOOKUP(AC243,moves!A:F,5,FALSE))</f>
        <v/>
      </c>
      <c r="AG243" t="str">
        <f>VLOOKUP(AC243,moves!A:F,6,FALSE)</f>
        <v>Inflict the [confused] status on the user. Deal any damage taken by the user during this attack to the target as well.</v>
      </c>
      <c r="AH243">
        <v>0</v>
      </c>
      <c r="AI243">
        <v>0</v>
      </c>
      <c r="AJ243" t="str" cm="1">
        <f t="array" ref="AJ243">_xlfn.IFS(AH243=1, "starter", AI243=1, "legendary",V243&lt; 13, "weak",V243&lt; 17, "moderate", TRUE, "strong")</f>
        <v>strong</v>
      </c>
      <c r="AL243">
        <v>2</v>
      </c>
      <c r="AM243">
        <v>0</v>
      </c>
    </row>
    <row r="244" spans="1:39" x14ac:dyDescent="0.25">
      <c r="A244">
        <v>234</v>
      </c>
      <c r="B244" t="s">
        <v>101</v>
      </c>
      <c r="C244" t="str">
        <f t="shared" si="210"/>
        <v>Stantler</v>
      </c>
      <c r="E244" t="s">
        <v>8</v>
      </c>
      <c r="G244">
        <v>73</v>
      </c>
      <c r="H244">
        <v>95</v>
      </c>
      <c r="I244">
        <v>62</v>
      </c>
      <c r="J244">
        <v>85</v>
      </c>
      <c r="K244">
        <v>65</v>
      </c>
      <c r="L244">
        <v>85</v>
      </c>
      <c r="M244" t="s">
        <v>285</v>
      </c>
      <c r="N244" t="s">
        <v>301</v>
      </c>
      <c r="O244" t="s">
        <v>300</v>
      </c>
      <c r="P244">
        <f t="shared" si="212"/>
        <v>9</v>
      </c>
      <c r="Q244">
        <f t="shared" si="213"/>
        <v>6.7299999999999995</v>
      </c>
      <c r="R244">
        <v>0</v>
      </c>
      <c r="S244">
        <v>0</v>
      </c>
      <c r="T244">
        <f t="shared" si="214"/>
        <v>9</v>
      </c>
      <c r="U244">
        <f t="shared" si="215"/>
        <v>7</v>
      </c>
      <c r="V244">
        <f t="shared" si="216"/>
        <v>16</v>
      </c>
      <c r="W244" t="str">
        <f t="shared" si="217"/>
        <v>normal</v>
      </c>
      <c r="X244" t="s">
        <v>26</v>
      </c>
      <c r="Y244" t="s">
        <v>2</v>
      </c>
      <c r="Z244" t="s">
        <v>42</v>
      </c>
      <c r="AB244" t="str">
        <f t="shared" si="208"/>
        <v/>
      </c>
      <c r="AC244" t="s">
        <v>806</v>
      </c>
      <c r="AD244" t="str">
        <f>VLOOKUP(AC244,moves!A:B,2,FALSE)</f>
        <v>psychic</v>
      </c>
      <c r="AE244">
        <f>VLOOKUP(AC244,moves!A:D,4,FALSE)</f>
        <v>4</v>
      </c>
      <c r="AF244" t="str">
        <f>IF(VLOOKUP(AC244,moves!A:F,5,FALSE)=0, "", VLOOKUP(AC244,moves!A:F,5,FALSE))</f>
        <v/>
      </c>
      <c r="AG244" t="str">
        <f>VLOOKUP(AC244,moves!A:F,6,FALSE)</f>
        <v>When the user is next attacked, remove 1 [regular_hit] from the roll.</v>
      </c>
      <c r="AH244">
        <v>0</v>
      </c>
      <c r="AI244">
        <v>0</v>
      </c>
      <c r="AJ244" t="str" cm="1">
        <f t="array" ref="AJ244">_xlfn.IFS(AH244=1, "starter", AI244=1, "legendary",V244&lt; 13, "weak",V244&lt; 17, "moderate", TRUE, "strong")</f>
        <v>moderate</v>
      </c>
      <c r="AL244">
        <v>1</v>
      </c>
      <c r="AM244">
        <v>0</v>
      </c>
    </row>
    <row r="245" spans="1:39" x14ac:dyDescent="0.25">
      <c r="A245">
        <v>307</v>
      </c>
      <c r="B245" t="s">
        <v>121</v>
      </c>
      <c r="C245" t="str">
        <f t="shared" ref="C245:C276" si="218">B245</f>
        <v>Meditite</v>
      </c>
      <c r="E245" t="s">
        <v>22</v>
      </c>
      <c r="F245" t="s">
        <v>26</v>
      </c>
      <c r="G245">
        <v>30</v>
      </c>
      <c r="H245">
        <f>40*2</f>
        <v>80</v>
      </c>
      <c r="I245">
        <v>55</v>
      </c>
      <c r="J245">
        <v>40</v>
      </c>
      <c r="K245">
        <v>55</v>
      </c>
      <c r="L245">
        <v>60</v>
      </c>
      <c r="M245" t="s">
        <v>292</v>
      </c>
      <c r="N245" t="s">
        <v>304</v>
      </c>
      <c r="O245" t="s">
        <v>300</v>
      </c>
      <c r="P245">
        <f t="shared" si="212"/>
        <v>6.8</v>
      </c>
      <c r="Q245">
        <f t="shared" si="213"/>
        <v>4.5</v>
      </c>
      <c r="R245">
        <v>0</v>
      </c>
      <c r="S245">
        <v>0</v>
      </c>
      <c r="T245">
        <f t="shared" si="214"/>
        <v>7</v>
      </c>
      <c r="U245">
        <f t="shared" si="215"/>
        <v>5</v>
      </c>
      <c r="V245">
        <f t="shared" si="216"/>
        <v>12</v>
      </c>
      <c r="W245" t="str">
        <f t="shared" si="217"/>
        <v>fighting</v>
      </c>
      <c r="X245" t="str">
        <f>IF(F245 = 0, "", F245)</f>
        <v>psychic</v>
      </c>
      <c r="Y245" t="s">
        <v>33</v>
      </c>
      <c r="Z245" t="s">
        <v>8</v>
      </c>
      <c r="AA245" t="str">
        <f>B246</f>
        <v>Medicham</v>
      </c>
      <c r="AB245">
        <f t="shared" si="208"/>
        <v>6</v>
      </c>
      <c r="AC245" t="s">
        <v>840</v>
      </c>
      <c r="AD245" t="str">
        <f>VLOOKUP(AC245,moves!A:B,2,FALSE)</f>
        <v>psychic</v>
      </c>
      <c r="AE245">
        <f>VLOOKUP(AC245,moves!A:D,4,FALSE)</f>
        <v>2</v>
      </c>
      <c r="AF245" t="str">
        <f>IF(VLOOKUP(AC245,moves!A:F,5,FALSE)=0, "", VLOOKUP(AC245,moves!A:F,5,FALSE))</f>
        <v/>
      </c>
      <c r="AG245" t="str">
        <f>VLOOKUP(AC245,moves!A:F,6,FALSE)</f>
        <v>Deal extra damage equal to your current Battle Fatigue and then reset your Battle Fatigue to 0.</v>
      </c>
      <c r="AH245">
        <v>0</v>
      </c>
      <c r="AI245">
        <v>0</v>
      </c>
      <c r="AJ245" t="str" cm="1">
        <f t="array" ref="AJ245">_xlfn.IFS(AH245=1, "starter", AI245=1, "legendary",V245&lt; 13, "weak",V245&lt; 17, "moderate", TRUE, "strong")</f>
        <v>weak</v>
      </c>
      <c r="AL245">
        <v>1</v>
      </c>
      <c r="AM245">
        <v>0</v>
      </c>
    </row>
    <row r="246" spans="1:39" x14ac:dyDescent="0.25">
      <c r="A246">
        <v>308</v>
      </c>
      <c r="B246" t="s">
        <v>122</v>
      </c>
      <c r="C246" t="str">
        <f t="shared" si="218"/>
        <v>Medicham</v>
      </c>
      <c r="E246" t="s">
        <v>22</v>
      </c>
      <c r="F246" t="s">
        <v>26</v>
      </c>
      <c r="G246">
        <v>60</v>
      </c>
      <c r="H246">
        <f>60*2</f>
        <v>120</v>
      </c>
      <c r="I246">
        <v>75</v>
      </c>
      <c r="J246">
        <v>60</v>
      </c>
      <c r="K246">
        <v>75</v>
      </c>
      <c r="L246">
        <v>80</v>
      </c>
      <c r="M246" t="s">
        <v>292</v>
      </c>
      <c r="N246" t="s">
        <v>304</v>
      </c>
      <c r="O246" t="s">
        <v>300</v>
      </c>
      <c r="P246">
        <f t="shared" si="212"/>
        <v>9.8000000000000007</v>
      </c>
      <c r="Q246">
        <f t="shared" si="213"/>
        <v>6.9</v>
      </c>
      <c r="R246">
        <v>0</v>
      </c>
      <c r="S246">
        <v>0</v>
      </c>
      <c r="T246">
        <f t="shared" si="214"/>
        <v>10</v>
      </c>
      <c r="U246">
        <f t="shared" si="215"/>
        <v>7</v>
      </c>
      <c r="V246">
        <f t="shared" si="216"/>
        <v>17</v>
      </c>
      <c r="W246" t="str">
        <f t="shared" si="217"/>
        <v>fighting</v>
      </c>
      <c r="X246" t="str">
        <f>IF(F246 = 0, "", F246)</f>
        <v>psychic</v>
      </c>
      <c r="Y246" t="s">
        <v>33</v>
      </c>
      <c r="Z246" t="s">
        <v>8</v>
      </c>
      <c r="AB246" t="str">
        <f t="shared" si="208"/>
        <v/>
      </c>
      <c r="AC246" t="s">
        <v>577</v>
      </c>
      <c r="AD246" t="str">
        <f>VLOOKUP(AC246,moves!A:B,2,FALSE)</f>
        <v>fighting</v>
      </c>
      <c r="AE246">
        <f>VLOOKUP(AC246,moves!A:D,4,FALSE)</f>
        <v>4</v>
      </c>
      <c r="AF246" t="str">
        <f>IF(VLOOKUP(AC246,moves!A:F,5,FALSE)=0, "", VLOOKUP(AC246,moves!A:F,5,FALSE))</f>
        <v/>
      </c>
      <c r="AG246" t="str">
        <f>VLOOKUP(AC246,moves!A:F,6,FALSE)</f>
        <v>Inflict the [paralysed] status on the target but increase the Battle Fatigue of the user by 3.</v>
      </c>
      <c r="AH246">
        <v>0</v>
      </c>
      <c r="AI246">
        <v>0</v>
      </c>
      <c r="AJ246" t="str" cm="1">
        <f t="array" ref="AJ246">_xlfn.IFS(AH246=1, "starter", AI246=1, "legendary",V246&lt; 13, "weak",V246&lt; 17, "moderate", TRUE, "strong")</f>
        <v>strong</v>
      </c>
      <c r="AL246">
        <v>2</v>
      </c>
      <c r="AM246">
        <v>0</v>
      </c>
    </row>
    <row r="247" spans="1:39" x14ac:dyDescent="0.25">
      <c r="A247">
        <v>371</v>
      </c>
      <c r="B247" t="s">
        <v>137</v>
      </c>
      <c r="C247" t="str">
        <f t="shared" si="218"/>
        <v>Bagon</v>
      </c>
      <c r="E247" t="s">
        <v>67</v>
      </c>
      <c r="G247">
        <v>45</v>
      </c>
      <c r="H247">
        <v>75</v>
      </c>
      <c r="I247">
        <v>60</v>
      </c>
      <c r="J247">
        <v>40</v>
      </c>
      <c r="K247">
        <v>30</v>
      </c>
      <c r="L247">
        <v>50</v>
      </c>
      <c r="M247" t="s">
        <v>296</v>
      </c>
      <c r="N247" t="s">
        <v>304</v>
      </c>
      <c r="O247" t="s">
        <v>299</v>
      </c>
      <c r="P247">
        <f t="shared" si="212"/>
        <v>6.15</v>
      </c>
      <c r="Q247">
        <f t="shared" si="213"/>
        <v>4.5</v>
      </c>
      <c r="R247">
        <v>0</v>
      </c>
      <c r="S247">
        <v>0</v>
      </c>
      <c r="T247">
        <f t="shared" si="214"/>
        <v>6</v>
      </c>
      <c r="U247">
        <f t="shared" si="215"/>
        <v>5</v>
      </c>
      <c r="V247">
        <f t="shared" si="216"/>
        <v>11</v>
      </c>
      <c r="W247" t="str">
        <f t="shared" si="217"/>
        <v>dragon</v>
      </c>
      <c r="X247" t="s">
        <v>8</v>
      </c>
      <c r="Y247" t="s">
        <v>9</v>
      </c>
      <c r="Z247" t="s">
        <v>4</v>
      </c>
      <c r="AA247" t="str">
        <f>B248</f>
        <v>Shelgon</v>
      </c>
      <c r="AB247">
        <f t="shared" si="208"/>
        <v>3</v>
      </c>
      <c r="AC247" t="s">
        <v>526</v>
      </c>
      <c r="AD247" t="str">
        <f>VLOOKUP(AC247,moves!A:B,2,FALSE)</f>
        <v>dark</v>
      </c>
      <c r="AE247">
        <f>VLOOKUP(AC247,moves!A:D,4,FALSE)</f>
        <v>3</v>
      </c>
      <c r="AF247" t="str">
        <f>IF(VLOOKUP(AC247,moves!A:F,5,FALSE)=0, "", VLOOKUP(AC247,moves!A:F,5,FALSE))</f>
        <v/>
      </c>
      <c r="AG247" t="str">
        <f>VLOOKUP(AC247,moves!A:F,6,FALSE)</f>
        <v>When the target is next attacked, add 1 [regular_hit] to the roll.</v>
      </c>
      <c r="AH247">
        <v>0</v>
      </c>
      <c r="AI247">
        <v>0</v>
      </c>
      <c r="AJ247" t="str" cm="1">
        <f t="array" ref="AJ247">_xlfn.IFS(AH247=1, "starter", AI247=1, "legendary",V247&lt; 13, "weak",V247&lt; 17, "moderate", TRUE, "strong")</f>
        <v>weak</v>
      </c>
      <c r="AL247">
        <v>1</v>
      </c>
      <c r="AM247">
        <v>0</v>
      </c>
    </row>
    <row r="248" spans="1:39" x14ac:dyDescent="0.25">
      <c r="A248">
        <v>372</v>
      </c>
      <c r="B248" t="s">
        <v>138</v>
      </c>
      <c r="C248" t="str">
        <f t="shared" si="218"/>
        <v>Shelgon</v>
      </c>
      <c r="E248" t="s">
        <v>67</v>
      </c>
      <c r="G248">
        <v>65</v>
      </c>
      <c r="H248">
        <v>95</v>
      </c>
      <c r="I248">
        <v>100</v>
      </c>
      <c r="J248">
        <v>60</v>
      </c>
      <c r="K248">
        <v>50</v>
      </c>
      <c r="L248">
        <v>50</v>
      </c>
      <c r="M248" t="s">
        <v>297</v>
      </c>
      <c r="N248" t="s">
        <v>304</v>
      </c>
      <c r="O248" t="s">
        <v>299</v>
      </c>
      <c r="P248">
        <f t="shared" si="212"/>
        <v>7.35</v>
      </c>
      <c r="Q248">
        <f t="shared" si="213"/>
        <v>7.1</v>
      </c>
      <c r="R248">
        <v>0</v>
      </c>
      <c r="S248">
        <v>0</v>
      </c>
      <c r="T248">
        <f t="shared" si="214"/>
        <v>7</v>
      </c>
      <c r="U248">
        <f t="shared" si="215"/>
        <v>7</v>
      </c>
      <c r="V248">
        <f t="shared" si="216"/>
        <v>14</v>
      </c>
      <c r="W248" t="str">
        <f t="shared" si="217"/>
        <v>dragon</v>
      </c>
      <c r="X248" t="s">
        <v>8</v>
      </c>
      <c r="Y248" t="s">
        <v>9</v>
      </c>
      <c r="Z248" t="s">
        <v>4</v>
      </c>
      <c r="AA248" t="str">
        <f>B249</f>
        <v>Salamence</v>
      </c>
      <c r="AB248">
        <f t="shared" si="208"/>
        <v>9</v>
      </c>
      <c r="AC248" t="s">
        <v>582</v>
      </c>
      <c r="AD248" t="str">
        <f>VLOOKUP(AC248,moves!A:B,2,FALSE)</f>
        <v>normal</v>
      </c>
      <c r="AE248">
        <f>VLOOKUP(AC248,moves!A:D,4,FALSE)</f>
        <v>3</v>
      </c>
      <c r="AF248" t="str">
        <f>IF(VLOOKUP(AC248,moves!A:F,5,FALSE)=0, "", VLOOKUP(AC248,moves!A:F,5,FALSE))</f>
        <v/>
      </c>
      <c r="AG248" t="str">
        <f>VLOOKUP(AC248,moves!A:F,6,FALSE)</f>
        <v>Inflict the [paralysed] status on the target but the user takes 1 damage.</v>
      </c>
      <c r="AH248">
        <v>0</v>
      </c>
      <c r="AI248">
        <v>0</v>
      </c>
      <c r="AJ248" t="str" cm="1">
        <f t="array" ref="AJ248">_xlfn.IFS(AH248=1, "starter", AI248=1, "legendary",V248&lt; 13, "weak",V248&lt; 17, "moderate", TRUE, "strong")</f>
        <v>moderate</v>
      </c>
      <c r="AL248">
        <v>2</v>
      </c>
      <c r="AM248">
        <v>0</v>
      </c>
    </row>
    <row r="249" spans="1:39" x14ac:dyDescent="0.25">
      <c r="A249">
        <v>373</v>
      </c>
      <c r="B249" t="s">
        <v>139</v>
      </c>
      <c r="C249" t="str">
        <f t="shared" si="218"/>
        <v>Salamence</v>
      </c>
      <c r="E249" t="s">
        <v>67</v>
      </c>
      <c r="F249" t="s">
        <v>5</v>
      </c>
      <c r="G249">
        <v>95</v>
      </c>
      <c r="H249">
        <v>135</v>
      </c>
      <c r="I249">
        <v>80</v>
      </c>
      <c r="J249">
        <v>110</v>
      </c>
      <c r="K249">
        <v>80</v>
      </c>
      <c r="L249">
        <v>100</v>
      </c>
      <c r="M249" t="s">
        <v>268</v>
      </c>
      <c r="N249" t="s">
        <v>304</v>
      </c>
      <c r="O249" t="s">
        <v>299</v>
      </c>
      <c r="P249">
        <f t="shared" si="212"/>
        <v>11.85</v>
      </c>
      <c r="Q249">
        <f t="shared" si="213"/>
        <v>8.6</v>
      </c>
      <c r="R249">
        <v>0</v>
      </c>
      <c r="S249">
        <v>-1</v>
      </c>
      <c r="T249">
        <f t="shared" si="214"/>
        <v>12</v>
      </c>
      <c r="U249">
        <f t="shared" si="215"/>
        <v>8</v>
      </c>
      <c r="V249">
        <f t="shared" si="216"/>
        <v>20</v>
      </c>
      <c r="W249" t="str">
        <f t="shared" si="217"/>
        <v>dragon</v>
      </c>
      <c r="X249" t="str">
        <f>IF(F249 = 0, "", F249)</f>
        <v>flying</v>
      </c>
      <c r="Y249" t="s">
        <v>9</v>
      </c>
      <c r="Z249" t="s">
        <v>4</v>
      </c>
      <c r="AB249" t="str">
        <f t="shared" si="208"/>
        <v/>
      </c>
      <c r="AC249" t="s">
        <v>502</v>
      </c>
      <c r="AD249" t="str">
        <f>VLOOKUP(AC249,moves!A:B,2,FALSE)</f>
        <v>dragon</v>
      </c>
      <c r="AE249">
        <f>VLOOKUP(AC249,moves!A:D,4,FALSE)</f>
        <v>5</v>
      </c>
      <c r="AF249" t="str">
        <f>IF(VLOOKUP(AC249,moves!A:F,5,FALSE)=0, "", VLOOKUP(AC249,moves!A:F,5,FALSE))</f>
        <v/>
      </c>
      <c r="AG249" t="str">
        <f>VLOOKUP(AC249,moves!A:F,6,FALSE)</f>
        <v>Inflict the [confused] status on the user. Deal any damage taken by the user during this attack to the target as well.</v>
      </c>
      <c r="AH249">
        <v>0</v>
      </c>
      <c r="AI249">
        <v>0</v>
      </c>
      <c r="AJ249" t="str" cm="1">
        <f t="array" ref="AJ249">_xlfn.IFS(AH249=1, "starter", AI249=1, "legendary",V249&lt; 13, "weak",V249&lt; 17, "moderate", TRUE, "strong")</f>
        <v>strong</v>
      </c>
      <c r="AL249">
        <v>3</v>
      </c>
      <c r="AM249">
        <v>0</v>
      </c>
    </row>
    <row r="250" spans="1:39" x14ac:dyDescent="0.25">
      <c r="A250">
        <v>236</v>
      </c>
      <c r="B250" t="s">
        <v>102</v>
      </c>
      <c r="C250" t="str">
        <f t="shared" si="218"/>
        <v>Tyrogue</v>
      </c>
      <c r="E250" t="s">
        <v>22</v>
      </c>
      <c r="G250">
        <v>35</v>
      </c>
      <c r="H250">
        <v>35</v>
      </c>
      <c r="I250">
        <v>35</v>
      </c>
      <c r="J250">
        <v>35</v>
      </c>
      <c r="K250">
        <v>35</v>
      </c>
      <c r="L250">
        <v>35</v>
      </c>
      <c r="M250" t="s">
        <v>286</v>
      </c>
      <c r="N250" t="s">
        <v>304</v>
      </c>
      <c r="O250" t="s">
        <v>300</v>
      </c>
      <c r="P250">
        <f t="shared" si="212"/>
        <v>3.5</v>
      </c>
      <c r="Q250">
        <f t="shared" si="213"/>
        <v>3.5</v>
      </c>
      <c r="R250">
        <v>0</v>
      </c>
      <c r="S250">
        <v>0</v>
      </c>
      <c r="T250">
        <f t="shared" si="214"/>
        <v>4</v>
      </c>
      <c r="U250">
        <f t="shared" si="215"/>
        <v>4</v>
      </c>
      <c r="V250">
        <f t="shared" si="216"/>
        <v>8</v>
      </c>
      <c r="W250" t="str">
        <f t="shared" si="217"/>
        <v>fighting</v>
      </c>
      <c r="X250" t="s">
        <v>8</v>
      </c>
      <c r="Y250" t="s">
        <v>13</v>
      </c>
      <c r="Z250" t="s">
        <v>39</v>
      </c>
      <c r="AA250" t="s">
        <v>565</v>
      </c>
      <c r="AB250">
        <f t="shared" si="208"/>
        <v>7</v>
      </c>
      <c r="AC250" t="s">
        <v>510</v>
      </c>
      <c r="AD250" t="str">
        <f>VLOOKUP(AC250,moves!A:B,2,FALSE)</f>
        <v>normal</v>
      </c>
      <c r="AE250">
        <f>VLOOKUP(AC250,moves!A:D,4,FALSE)</f>
        <v>2</v>
      </c>
      <c r="AF250" t="str">
        <f>IF(VLOOKUP(AC250,moves!A:F,5,FALSE)=0, "", VLOOKUP(AC250,moves!A:F,5,FALSE))</f>
        <v/>
      </c>
      <c r="AG250" t="str">
        <f>VLOOKUP(AC250,moves!A:F,6,FALSE)</f>
        <v>When the target next attacks, remove 1 [regular_hit] from the roll.</v>
      </c>
      <c r="AH250">
        <v>0</v>
      </c>
      <c r="AI250">
        <v>0</v>
      </c>
      <c r="AJ250" t="str" cm="1">
        <f t="array" ref="AJ250">_xlfn.IFS(AH250=1, "starter", AI250=1, "legendary",V250&lt; 13, "weak",V250&lt; 17, "moderate", TRUE, "strong")</f>
        <v>weak</v>
      </c>
      <c r="AL250">
        <v>1</v>
      </c>
      <c r="AM250">
        <v>0</v>
      </c>
    </row>
    <row r="251" spans="1:39" x14ac:dyDescent="0.25">
      <c r="A251">
        <v>106</v>
      </c>
      <c r="B251" t="s">
        <v>46</v>
      </c>
      <c r="C251" t="str">
        <f t="shared" si="218"/>
        <v>Hitmonlee</v>
      </c>
      <c r="E251" t="s">
        <v>22</v>
      </c>
      <c r="G251">
        <v>50</v>
      </c>
      <c r="H251">
        <v>120</v>
      </c>
      <c r="I251">
        <v>53</v>
      </c>
      <c r="J251">
        <v>35</v>
      </c>
      <c r="K251">
        <v>110</v>
      </c>
      <c r="L251">
        <v>87</v>
      </c>
      <c r="M251" t="s">
        <v>266</v>
      </c>
      <c r="N251" t="s">
        <v>304</v>
      </c>
      <c r="O251" t="s">
        <v>300</v>
      </c>
      <c r="P251">
        <f t="shared" si="212"/>
        <v>9.8300000000000018</v>
      </c>
      <c r="Q251">
        <f t="shared" si="213"/>
        <v>6.8900000000000006</v>
      </c>
      <c r="R251">
        <v>0</v>
      </c>
      <c r="S251">
        <v>-1</v>
      </c>
      <c r="T251">
        <f t="shared" si="214"/>
        <v>10</v>
      </c>
      <c r="U251">
        <f t="shared" si="215"/>
        <v>6</v>
      </c>
      <c r="V251">
        <f t="shared" si="216"/>
        <v>16</v>
      </c>
      <c r="W251" t="str">
        <f t="shared" si="217"/>
        <v>fighting</v>
      </c>
      <c r="X251" t="s">
        <v>8</v>
      </c>
      <c r="Y251" t="s">
        <v>13</v>
      </c>
      <c r="Z251" t="s">
        <v>4</v>
      </c>
      <c r="AB251" t="str">
        <f t="shared" si="208"/>
        <v/>
      </c>
      <c r="AC251" t="s">
        <v>563</v>
      </c>
      <c r="AD251" t="str">
        <f>VLOOKUP(AC251,moves!A:B,2,FALSE)</f>
        <v>fighting</v>
      </c>
      <c r="AE251">
        <f>VLOOKUP(AC251,moves!A:D,4,FALSE)</f>
        <v>5</v>
      </c>
      <c r="AF251" t="str">
        <f>IF(VLOOKUP(AC251,moves!A:F,5,FALSE)=0, "", VLOOKUP(AC251,moves!A:F,5,FALSE))</f>
        <v/>
      </c>
      <c r="AG251" t="str">
        <f>VLOOKUP(AC251,moves!A:F,6,FALSE)</f>
        <v xml:space="preserve">Deals 4 extra damage to [flying]-Type Pokémon. For each [status_symbol] rolled: The user takes 1 damage. </v>
      </c>
      <c r="AH251">
        <v>0</v>
      </c>
      <c r="AI251">
        <v>0</v>
      </c>
      <c r="AJ251" t="str" cm="1">
        <f t="array" ref="AJ251">_xlfn.IFS(AH251=1, "starter", AI251=1, "legendary",V251&lt; 13, "weak",V251&lt; 17, "moderate", TRUE, "strong")</f>
        <v>moderate</v>
      </c>
      <c r="AL251">
        <v>2</v>
      </c>
      <c r="AM251">
        <v>0</v>
      </c>
    </row>
    <row r="252" spans="1:39" x14ac:dyDescent="0.25">
      <c r="A252">
        <v>107</v>
      </c>
      <c r="B252" t="s">
        <v>47</v>
      </c>
      <c r="C252" t="str">
        <f t="shared" si="218"/>
        <v>Hitmonchan</v>
      </c>
      <c r="E252" t="s">
        <v>22</v>
      </c>
      <c r="G252">
        <v>50</v>
      </c>
      <c r="H252">
        <v>105</v>
      </c>
      <c r="I252">
        <v>79</v>
      </c>
      <c r="J252">
        <v>35</v>
      </c>
      <c r="K252">
        <v>110</v>
      </c>
      <c r="L252">
        <v>76</v>
      </c>
      <c r="M252" t="s">
        <v>267</v>
      </c>
      <c r="N252" t="s">
        <v>304</v>
      </c>
      <c r="O252" t="s">
        <v>300</v>
      </c>
      <c r="P252">
        <f t="shared" si="212"/>
        <v>8.64</v>
      </c>
      <c r="Q252">
        <f t="shared" si="213"/>
        <v>7.67</v>
      </c>
      <c r="R252">
        <v>0</v>
      </c>
      <c r="S252">
        <v>-1</v>
      </c>
      <c r="T252">
        <f t="shared" si="214"/>
        <v>9</v>
      </c>
      <c r="U252">
        <f t="shared" si="215"/>
        <v>7</v>
      </c>
      <c r="V252">
        <f t="shared" si="216"/>
        <v>16</v>
      </c>
      <c r="W252" t="str">
        <f t="shared" si="217"/>
        <v>fighting</v>
      </c>
      <c r="X252" t="s">
        <v>11</v>
      </c>
      <c r="Y252" t="s">
        <v>4</v>
      </c>
      <c r="Z252" t="s">
        <v>14</v>
      </c>
      <c r="AB252" t="str">
        <f t="shared" si="208"/>
        <v/>
      </c>
      <c r="AC252" t="s">
        <v>705</v>
      </c>
      <c r="AD252" t="str">
        <f>VLOOKUP(AC252,moves!A:B,2,FALSE)</f>
        <v>typeless</v>
      </c>
      <c r="AE252">
        <f>VLOOKUP(AC252,moves!A:D,4,FALSE)</f>
        <v>4</v>
      </c>
      <c r="AF252" t="str">
        <f>IF(VLOOKUP(AC252,moves!A:F,5,FALSE)=0, "", VLOOKUP(AC252,moves!A:F,5,FALSE))</f>
        <v>dynamic</v>
      </c>
      <c r="AG252" t="str">
        <f>VLOOKUP(AC252,moves!A:F,6,FALSE)</f>
        <v>Choose any learnable type of the user as the type of this attack.</v>
      </c>
      <c r="AH252">
        <v>0</v>
      </c>
      <c r="AI252">
        <v>0</v>
      </c>
      <c r="AJ252" t="str" cm="1">
        <f t="array" ref="AJ252">_xlfn.IFS(AH252=1, "starter", AI252=1, "legendary",V252&lt; 13, "weak",V252&lt; 17, "moderate", TRUE, "strong")</f>
        <v>moderate</v>
      </c>
      <c r="AL252">
        <v>2</v>
      </c>
      <c r="AM252">
        <v>0</v>
      </c>
    </row>
    <row r="253" spans="1:39" x14ac:dyDescent="0.25">
      <c r="A253">
        <v>237</v>
      </c>
      <c r="B253" t="s">
        <v>103</v>
      </c>
      <c r="C253" t="str">
        <f t="shared" si="218"/>
        <v>Hitmontop</v>
      </c>
      <c r="E253" t="s">
        <v>22</v>
      </c>
      <c r="G253">
        <v>50</v>
      </c>
      <c r="H253">
        <v>95</v>
      </c>
      <c r="I253">
        <v>95</v>
      </c>
      <c r="J253">
        <v>35</v>
      </c>
      <c r="K253">
        <v>110</v>
      </c>
      <c r="L253">
        <v>70</v>
      </c>
      <c r="M253" t="s">
        <v>287</v>
      </c>
      <c r="N253" t="s">
        <v>304</v>
      </c>
      <c r="O253" t="s">
        <v>300</v>
      </c>
      <c r="P253">
        <f t="shared" si="212"/>
        <v>7.9</v>
      </c>
      <c r="Q253">
        <f t="shared" si="213"/>
        <v>8.15</v>
      </c>
      <c r="R253">
        <v>0</v>
      </c>
      <c r="S253">
        <v>0</v>
      </c>
      <c r="T253">
        <f t="shared" si="214"/>
        <v>8</v>
      </c>
      <c r="U253">
        <f t="shared" si="215"/>
        <v>8</v>
      </c>
      <c r="V253">
        <f t="shared" si="216"/>
        <v>16</v>
      </c>
      <c r="W253" t="str">
        <f t="shared" si="217"/>
        <v>fighting</v>
      </c>
      <c r="X253" t="s">
        <v>8</v>
      </c>
      <c r="Y253" t="s">
        <v>13</v>
      </c>
      <c r="Z253" t="s">
        <v>39</v>
      </c>
      <c r="AB253" t="str">
        <f t="shared" si="208"/>
        <v/>
      </c>
      <c r="AC253" t="s">
        <v>564</v>
      </c>
      <c r="AD253" t="str">
        <f>VLOOKUP(AC253,moves!A:B,2,FALSE)</f>
        <v>fighting</v>
      </c>
      <c r="AE253">
        <f>VLOOKUP(AC253,moves!A:D,4,FALSE)</f>
        <v>3</v>
      </c>
      <c r="AF253" t="str">
        <f>IF(VLOOKUP(AC253,moves!A:F,5,FALSE)=0, "", VLOOKUP(AC253,moves!A:F,5,FALSE))</f>
        <v/>
      </c>
      <c r="AG253" t="str">
        <f>VLOOKUP(AC253,moves!A:F,6,FALSE)</f>
        <v>[regular_hit]s deal +1 damage.</v>
      </c>
      <c r="AH253">
        <v>0</v>
      </c>
      <c r="AI253">
        <v>0</v>
      </c>
      <c r="AJ253" t="str" cm="1">
        <f t="array" ref="AJ253">_xlfn.IFS(AH253=1, "starter", AI253=1, "legendary",V253&lt; 13, "weak",V253&lt; 17, "moderate", TRUE, "strong")</f>
        <v>moderate</v>
      </c>
      <c r="AL253">
        <v>2</v>
      </c>
      <c r="AM253">
        <v>0</v>
      </c>
    </row>
    <row r="254" spans="1:39" x14ac:dyDescent="0.25">
      <c r="A254">
        <v>349</v>
      </c>
      <c r="B254" t="s">
        <v>126</v>
      </c>
      <c r="C254" t="str">
        <f t="shared" si="218"/>
        <v>Feebas</v>
      </c>
      <c r="E254" t="s">
        <v>6</v>
      </c>
      <c r="G254">
        <v>20</v>
      </c>
      <c r="H254">
        <v>15</v>
      </c>
      <c r="I254">
        <v>20</v>
      </c>
      <c r="J254">
        <v>10</v>
      </c>
      <c r="K254">
        <v>55</v>
      </c>
      <c r="L254">
        <v>80</v>
      </c>
      <c r="M254" t="s">
        <v>270</v>
      </c>
      <c r="N254" t="s">
        <v>303</v>
      </c>
      <c r="O254" t="s">
        <v>299</v>
      </c>
      <c r="P254">
        <f t="shared" si="212"/>
        <v>4.05</v>
      </c>
      <c r="Q254">
        <f t="shared" si="213"/>
        <v>3.05</v>
      </c>
      <c r="R254">
        <v>0</v>
      </c>
      <c r="S254">
        <v>0</v>
      </c>
      <c r="T254">
        <f t="shared" si="214"/>
        <v>4</v>
      </c>
      <c r="U254">
        <f t="shared" si="215"/>
        <v>3</v>
      </c>
      <c r="V254">
        <f t="shared" si="216"/>
        <v>7</v>
      </c>
      <c r="W254" t="str">
        <f t="shared" si="217"/>
        <v>water</v>
      </c>
      <c r="X254" t="s">
        <v>8</v>
      </c>
      <c r="Y254" t="s">
        <v>14</v>
      </c>
      <c r="Z254" t="s">
        <v>67</v>
      </c>
      <c r="AA254" t="str">
        <f>B255</f>
        <v>Milotic</v>
      </c>
      <c r="AB254">
        <f t="shared" si="208"/>
        <v>11</v>
      </c>
      <c r="AC254" t="s">
        <v>550</v>
      </c>
      <c r="AD254" t="str">
        <f>VLOOKUP(AC254,moves!A:B,2,FALSE)</f>
        <v>normal</v>
      </c>
      <c r="AE254">
        <f>VLOOKUP(AC254,moves!A:D,4,FALSE)</f>
        <v>1</v>
      </c>
      <c r="AF254" t="str">
        <f>IF(VLOOKUP(AC254,moves!A:F,5,FALSE)=0, "", VLOOKUP(AC254,moves!A:F,5,FALSE))</f>
        <v>agile</v>
      </c>
      <c r="AG254" t="str">
        <f>VLOOKUP(AC254,moves!A:F,6,FALSE)</f>
        <v>Inflict any status effect on the target.</v>
      </c>
      <c r="AH254">
        <v>0</v>
      </c>
      <c r="AI254">
        <v>0</v>
      </c>
      <c r="AJ254" t="str" cm="1">
        <f t="array" ref="AJ254">_xlfn.IFS(AH254=1, "starter", AI254=1, "legendary",V254&lt; 13, "weak",V254&lt; 17, "moderate", TRUE, "strong")</f>
        <v>weak</v>
      </c>
      <c r="AL254">
        <v>1</v>
      </c>
      <c r="AM254">
        <v>0</v>
      </c>
    </row>
    <row r="255" spans="1:39" x14ac:dyDescent="0.25">
      <c r="A255">
        <v>350</v>
      </c>
      <c r="B255" t="s">
        <v>127</v>
      </c>
      <c r="C255" t="str">
        <f t="shared" si="218"/>
        <v>Milotic</v>
      </c>
      <c r="E255" t="s">
        <v>6</v>
      </c>
      <c r="G255">
        <v>95</v>
      </c>
      <c r="H255">
        <v>60</v>
      </c>
      <c r="I255">
        <v>79</v>
      </c>
      <c r="J255">
        <v>100</v>
      </c>
      <c r="K255">
        <v>125</v>
      </c>
      <c r="L255">
        <v>81</v>
      </c>
      <c r="M255" t="s">
        <v>295</v>
      </c>
      <c r="N255" t="s">
        <v>303</v>
      </c>
      <c r="O255" t="s">
        <v>299</v>
      </c>
      <c r="P255">
        <f t="shared" si="212"/>
        <v>8.84</v>
      </c>
      <c r="Q255">
        <f t="shared" si="213"/>
        <v>9.92</v>
      </c>
      <c r="R255">
        <v>0</v>
      </c>
      <c r="S255">
        <v>0</v>
      </c>
      <c r="T255">
        <f t="shared" si="214"/>
        <v>9</v>
      </c>
      <c r="U255">
        <f t="shared" si="215"/>
        <v>10</v>
      </c>
      <c r="V255">
        <f t="shared" si="216"/>
        <v>19</v>
      </c>
      <c r="W255" t="str">
        <f t="shared" si="217"/>
        <v>water</v>
      </c>
      <c r="X255" t="s">
        <v>16</v>
      </c>
      <c r="Y255" t="s">
        <v>14</v>
      </c>
      <c r="Z255" t="s">
        <v>67</v>
      </c>
      <c r="AB255" t="str">
        <f t="shared" si="208"/>
        <v/>
      </c>
      <c r="AC255" t="s">
        <v>479</v>
      </c>
      <c r="AD255" t="str">
        <f>VLOOKUP(AC255,moves!A:B,2,FALSE)</f>
        <v>water</v>
      </c>
      <c r="AE255">
        <f>VLOOKUP(AC255,moves!A:D,4,FALSE)</f>
        <v>5</v>
      </c>
      <c r="AF255" t="str">
        <f>IF(VLOOKUP(AC255,moves!A:F,5,FALSE)=0, "", VLOOKUP(AC255,moves!A:F,5,FALSE))</f>
        <v/>
      </c>
      <c r="AG255" t="str">
        <f>VLOOKUP(AC255,moves!A:F,6,FALSE)</f>
        <v>If 2 or more [status_symbol]s are rolled: Inflict the [confused] status on the target.</v>
      </c>
      <c r="AH255">
        <v>0</v>
      </c>
      <c r="AI255">
        <v>0</v>
      </c>
      <c r="AJ255" t="str" cm="1">
        <f t="array" ref="AJ255">_xlfn.IFS(AH255=1, "starter", AI255=1, "legendary",V255&lt; 13, "weak",V255&lt; 17, "moderate", TRUE, "strong")</f>
        <v>strong</v>
      </c>
      <c r="AL255">
        <v>2</v>
      </c>
      <c r="AM255">
        <v>0</v>
      </c>
    </row>
    <row r="256" spans="1:39" x14ac:dyDescent="0.25">
      <c r="A256">
        <v>251</v>
      </c>
      <c r="B256" t="s">
        <v>110</v>
      </c>
      <c r="C256" t="str">
        <f t="shared" si="218"/>
        <v>Celebi</v>
      </c>
      <c r="E256" t="s">
        <v>26</v>
      </c>
      <c r="F256" t="s">
        <v>2</v>
      </c>
      <c r="G256">
        <v>100</v>
      </c>
      <c r="H256">
        <v>100</v>
      </c>
      <c r="I256">
        <v>100</v>
      </c>
      <c r="J256">
        <v>100</v>
      </c>
      <c r="K256">
        <v>100</v>
      </c>
      <c r="L256">
        <v>100</v>
      </c>
      <c r="M256" t="s">
        <v>290</v>
      </c>
      <c r="N256" t="s">
        <v>298</v>
      </c>
      <c r="O256" t="s">
        <v>300</v>
      </c>
      <c r="P256">
        <f t="shared" si="212"/>
        <v>10</v>
      </c>
      <c r="Q256">
        <f t="shared" si="213"/>
        <v>10</v>
      </c>
      <c r="R256">
        <v>0</v>
      </c>
      <c r="S256">
        <v>0</v>
      </c>
      <c r="T256">
        <f t="shared" si="214"/>
        <v>10</v>
      </c>
      <c r="U256">
        <f t="shared" si="215"/>
        <v>10</v>
      </c>
      <c r="V256">
        <f t="shared" si="216"/>
        <v>20</v>
      </c>
      <c r="W256" t="str">
        <f t="shared" si="217"/>
        <v>psychic</v>
      </c>
      <c r="X256" t="str">
        <f>IF(F256 = 0, "", F256)</f>
        <v>grass</v>
      </c>
      <c r="Y256" t="s">
        <v>16</v>
      </c>
      <c r="Z256" t="s">
        <v>33</v>
      </c>
      <c r="AB256" t="str">
        <f t="shared" si="208"/>
        <v/>
      </c>
      <c r="AC256" t="s">
        <v>1100</v>
      </c>
      <c r="AD256" t="str">
        <f>VLOOKUP(AC256,moves!A:B,2,FALSE)</f>
        <v>grass</v>
      </c>
      <c r="AE256">
        <f>VLOOKUP(AC256,moves!A:D,4,FALSE)</f>
        <v>3</v>
      </c>
      <c r="AF256" t="str">
        <f>IF(VLOOKUP(AC256,moves!A:F,5,FALSE)=0, "", VLOOKUP(AC256,moves!A:F,5,FALSE))</f>
        <v>boost</v>
      </c>
      <c r="AG256" t="str">
        <f>VLOOKUP(AC256,moves!A:F,6,FALSE)</f>
        <v>This Boost and your currently active Boosts now last until the end of battle.</v>
      </c>
      <c r="AH256">
        <v>0</v>
      </c>
      <c r="AI256">
        <v>1</v>
      </c>
      <c r="AJ256" t="str" cm="1">
        <f t="array" ref="AJ256">_xlfn.IFS(AH256=1, "starter", AI256=1, "legendary",V256&lt; 13, "weak",V256&lt; 17, "moderate", TRUE, "strong")</f>
        <v>legendary</v>
      </c>
      <c r="AL256">
        <v>1</v>
      </c>
      <c r="AM256">
        <v>0</v>
      </c>
    </row>
    <row r="257" spans="1:39" x14ac:dyDescent="0.25">
      <c r="A257">
        <v>385</v>
      </c>
      <c r="B257" t="s">
        <v>1383</v>
      </c>
      <c r="C257" t="str">
        <f t="shared" si="218"/>
        <v>Jirachi</v>
      </c>
      <c r="E257" t="s">
        <v>39</v>
      </c>
      <c r="F257" t="s">
        <v>26</v>
      </c>
      <c r="G257">
        <v>100</v>
      </c>
      <c r="H257">
        <v>100</v>
      </c>
      <c r="I257">
        <v>100</v>
      </c>
      <c r="J257">
        <v>100</v>
      </c>
      <c r="K257">
        <v>100</v>
      </c>
      <c r="L257">
        <v>100</v>
      </c>
      <c r="M257" t="s">
        <v>1384</v>
      </c>
      <c r="N257" t="s">
        <v>304</v>
      </c>
      <c r="O257" t="s">
        <v>300</v>
      </c>
      <c r="P257">
        <f t="shared" ref="P257" si="219">(0.4*L257 + 0.5*MAX(H257,J257) + 0.1*MIN(H257,J257)) / 10</f>
        <v>10</v>
      </c>
      <c r="Q257">
        <f t="shared" ref="Q257" si="220">(0.4*G257 + 0.3*I257 + 0.3*K257) / 10</f>
        <v>10</v>
      </c>
      <c r="R257">
        <v>0</v>
      </c>
      <c r="S257">
        <v>0</v>
      </c>
      <c r="T257">
        <f t="shared" ref="T257" si="221">ROUND(P257,0)+R257</f>
        <v>10</v>
      </c>
      <c r="U257">
        <f t="shared" ref="U257" si="222">ROUND(Q257,0)+S257</f>
        <v>10</v>
      </c>
      <c r="V257">
        <f t="shared" ref="V257" si="223">SUM(ROUND(T257,0),ROUND(U257,0))</f>
        <v>20</v>
      </c>
      <c r="W257" t="str">
        <f t="shared" ref="W257" si="224">E257</f>
        <v>steel</v>
      </c>
      <c r="X257" t="str">
        <f>IF(F257 = 0, "", F257)</f>
        <v>psychic</v>
      </c>
      <c r="Y257" t="s">
        <v>16</v>
      </c>
      <c r="Z257" t="s">
        <v>11</v>
      </c>
      <c r="AB257" t="str">
        <f t="shared" si="208"/>
        <v/>
      </c>
      <c r="AC257" t="s">
        <v>1385</v>
      </c>
      <c r="AD257" t="str">
        <f>VLOOKUP(AC257,moves!A:B,2,FALSE)</f>
        <v>steel</v>
      </c>
      <c r="AE257">
        <f>VLOOKUP(AC257,moves!A:D,4,FALSE)</f>
        <v>6</v>
      </c>
      <c r="AF257" t="str">
        <f>IF(VLOOKUP(AC257,moves!A:F,5,FALSE)=0, "", VLOOKUP(AC257,moves!A:F,5,FALSE))</f>
        <v>surge</v>
      </c>
      <c r="AG257" t="str">
        <f>VLOOKUP(AC257,moves!A:F,6,FALSE)</f>
        <v>Remove 1 currently active Boost from the target.</v>
      </c>
      <c r="AH257">
        <v>0</v>
      </c>
      <c r="AI257">
        <v>1</v>
      </c>
      <c r="AJ257" t="str" cm="1">
        <f t="array" ref="AJ257">_xlfn.IFS(AH257=1, "starter", AI257=1, "legendary",V257&lt; 13, "weak",V257&lt; 17, "moderate", TRUE, "strong")</f>
        <v>legendary</v>
      </c>
      <c r="AL257">
        <v>1</v>
      </c>
      <c r="AM257">
        <v>0</v>
      </c>
    </row>
    <row r="258" spans="1:39" x14ac:dyDescent="0.25">
      <c r="A258">
        <v>222</v>
      </c>
      <c r="B258" t="s">
        <v>95</v>
      </c>
      <c r="C258" t="str">
        <f t="shared" si="218"/>
        <v>Corsola</v>
      </c>
      <c r="E258" t="s">
        <v>6</v>
      </c>
      <c r="F258" t="s">
        <v>33</v>
      </c>
      <c r="G258">
        <v>65</v>
      </c>
      <c r="H258">
        <v>55</v>
      </c>
      <c r="I258">
        <v>95</v>
      </c>
      <c r="J258">
        <v>65</v>
      </c>
      <c r="K258">
        <v>95</v>
      </c>
      <c r="L258">
        <v>35</v>
      </c>
      <c r="M258" t="s">
        <v>282</v>
      </c>
      <c r="N258" t="s">
        <v>303</v>
      </c>
      <c r="O258" t="s">
        <v>299</v>
      </c>
      <c r="P258">
        <f t="shared" si="212"/>
        <v>5.2</v>
      </c>
      <c r="Q258">
        <f t="shared" si="213"/>
        <v>8.3000000000000007</v>
      </c>
      <c r="R258">
        <v>0</v>
      </c>
      <c r="S258">
        <v>0</v>
      </c>
      <c r="T258">
        <f t="shared" si="214"/>
        <v>5</v>
      </c>
      <c r="U258">
        <f t="shared" si="215"/>
        <v>8</v>
      </c>
      <c r="V258">
        <f t="shared" si="216"/>
        <v>13</v>
      </c>
      <c r="W258" t="str">
        <f t="shared" si="217"/>
        <v>water</v>
      </c>
      <c r="X258" t="str">
        <f>IF(F258 = 0, "", F258)</f>
        <v>rock</v>
      </c>
      <c r="Y258" t="s">
        <v>13</v>
      </c>
      <c r="Z258" t="s">
        <v>8</v>
      </c>
      <c r="AB258" t="str">
        <f t="shared" si="208"/>
        <v/>
      </c>
      <c r="AC258" t="s">
        <v>500</v>
      </c>
      <c r="AD258" t="str">
        <f>VLOOKUP(AC258,moves!A:B,2,FALSE)</f>
        <v>rock</v>
      </c>
      <c r="AE258">
        <f>VLOOKUP(AC258,moves!A:D,4,FALSE)</f>
        <v>5</v>
      </c>
      <c r="AF258" t="str">
        <f>IF(VLOOKUP(AC258,moves!A:F,5,FALSE)=0, "", VLOOKUP(AC258,moves!A:F,5,FALSE))</f>
        <v/>
      </c>
      <c r="AG258" t="str">
        <f>VLOOKUP(AC258,moves!A:F,6,FALSE)</f>
        <v>[status_symbol]s deal -2 damage.</v>
      </c>
      <c r="AH258">
        <v>0</v>
      </c>
      <c r="AI258">
        <v>0</v>
      </c>
      <c r="AJ258" t="str" cm="1">
        <f t="array" ref="AJ258">_xlfn.IFS(AH258=1, "starter", AI258=1, "legendary",V258&lt; 13, "weak",V258&lt; 17, "moderate", TRUE, "strong")</f>
        <v>moderate</v>
      </c>
      <c r="AL258">
        <v>1</v>
      </c>
      <c r="AM258">
        <v>0</v>
      </c>
    </row>
    <row r="259" spans="1:39" x14ac:dyDescent="0.25">
      <c r="A259">
        <v>147</v>
      </c>
      <c r="B259" t="s">
        <v>66</v>
      </c>
      <c r="C259" t="str">
        <f t="shared" si="218"/>
        <v>Dratini</v>
      </c>
      <c r="E259" t="s">
        <v>67</v>
      </c>
      <c r="G259">
        <v>41</v>
      </c>
      <c r="H259">
        <v>64</v>
      </c>
      <c r="I259">
        <v>45</v>
      </c>
      <c r="J259">
        <v>50</v>
      </c>
      <c r="K259">
        <v>50</v>
      </c>
      <c r="L259">
        <v>50</v>
      </c>
      <c r="M259" t="s">
        <v>268</v>
      </c>
      <c r="N259" t="s">
        <v>303</v>
      </c>
      <c r="O259" t="s">
        <v>300</v>
      </c>
      <c r="P259">
        <f t="shared" si="212"/>
        <v>5.7</v>
      </c>
      <c r="Q259">
        <f t="shared" si="213"/>
        <v>4.49</v>
      </c>
      <c r="R259">
        <v>0</v>
      </c>
      <c r="S259">
        <v>0</v>
      </c>
      <c r="T259">
        <f t="shared" si="214"/>
        <v>6</v>
      </c>
      <c r="U259">
        <f t="shared" si="215"/>
        <v>4</v>
      </c>
      <c r="V259">
        <f t="shared" si="216"/>
        <v>10</v>
      </c>
      <c r="W259" t="str">
        <f t="shared" si="217"/>
        <v>dragon</v>
      </c>
      <c r="X259" t="s">
        <v>8</v>
      </c>
      <c r="Y259" t="s">
        <v>6</v>
      </c>
      <c r="Z259" t="s">
        <v>4</v>
      </c>
      <c r="AA259" t="str">
        <f>B260</f>
        <v>Dragonair</v>
      </c>
      <c r="AB259">
        <f t="shared" si="208"/>
        <v>4</v>
      </c>
      <c r="AC259" t="s">
        <v>584</v>
      </c>
      <c r="AD259" t="str">
        <f>VLOOKUP(AC259,moves!A:B,2,FALSE)</f>
        <v>dragon</v>
      </c>
      <c r="AE259">
        <f>VLOOKUP(AC259,moves!A:D,4,FALSE)</f>
        <v>2</v>
      </c>
      <c r="AF259" t="str">
        <f>IF(VLOOKUP(AC259,moves!A:F,5,FALSE)=0, "", VLOOKUP(AC259,moves!A:F,5,FALSE))</f>
        <v/>
      </c>
      <c r="AG259" t="str">
        <f>VLOOKUP(AC259,moves!A:F,6,FALSE)</f>
        <v>Inflict the [paralysed] status on the target.</v>
      </c>
      <c r="AH259">
        <v>0</v>
      </c>
      <c r="AI259">
        <v>0</v>
      </c>
      <c r="AJ259" t="str" cm="1">
        <f t="array" ref="AJ259">_xlfn.IFS(AH259=1, "starter", AI259=1, "legendary",V259&lt; 13, "weak",V259&lt; 17, "moderate", TRUE, "strong")</f>
        <v>weak</v>
      </c>
      <c r="AL259">
        <v>1</v>
      </c>
      <c r="AM259">
        <v>0</v>
      </c>
    </row>
    <row r="260" spans="1:39" x14ac:dyDescent="0.25">
      <c r="A260">
        <v>148</v>
      </c>
      <c r="B260" t="s">
        <v>68</v>
      </c>
      <c r="C260" t="str">
        <f t="shared" si="218"/>
        <v>Dragonair</v>
      </c>
      <c r="E260" t="s">
        <v>67</v>
      </c>
      <c r="G260">
        <v>61</v>
      </c>
      <c r="H260">
        <v>84</v>
      </c>
      <c r="I260">
        <v>65</v>
      </c>
      <c r="J260">
        <v>70</v>
      </c>
      <c r="K260">
        <v>70</v>
      </c>
      <c r="L260">
        <v>70</v>
      </c>
      <c r="M260" t="s">
        <v>268</v>
      </c>
      <c r="N260" t="s">
        <v>303</v>
      </c>
      <c r="O260" t="s">
        <v>300</v>
      </c>
      <c r="P260">
        <f t="shared" si="212"/>
        <v>7.7</v>
      </c>
      <c r="Q260">
        <f t="shared" si="213"/>
        <v>6.49</v>
      </c>
      <c r="R260">
        <v>0</v>
      </c>
      <c r="S260">
        <v>0</v>
      </c>
      <c r="T260">
        <f t="shared" si="214"/>
        <v>8</v>
      </c>
      <c r="U260">
        <f t="shared" si="215"/>
        <v>6</v>
      </c>
      <c r="V260">
        <f t="shared" si="216"/>
        <v>14</v>
      </c>
      <c r="W260" t="str">
        <f t="shared" si="217"/>
        <v>dragon</v>
      </c>
      <c r="X260" t="s">
        <v>8</v>
      </c>
      <c r="Y260" t="s">
        <v>6</v>
      </c>
      <c r="Z260" t="s">
        <v>4</v>
      </c>
      <c r="AA260" t="str">
        <f>B261</f>
        <v>Dragonite</v>
      </c>
      <c r="AB260">
        <f t="shared" si="208"/>
        <v>9</v>
      </c>
      <c r="AC260" t="s">
        <v>576</v>
      </c>
      <c r="AD260" t="str">
        <f>VLOOKUP(AC260,moves!A:B,2,FALSE)</f>
        <v>water</v>
      </c>
      <c r="AE260">
        <f>VLOOKUP(AC260,moves!A:D,4,FALSE)</f>
        <v>4</v>
      </c>
      <c r="AF260" t="str">
        <f>IF(VLOOKUP(AC260,moves!A:F,5,FALSE)=0, "", VLOOKUP(AC260,moves!A:F,5,FALSE))</f>
        <v>dynamic</v>
      </c>
      <c r="AG260" t="str">
        <f>VLOOKUP(AC260,moves!A:F,6,FALSE)</f>
        <v>For each other Surf Move in your party: Attack Strength is increased by 1.</v>
      </c>
      <c r="AH260">
        <v>0</v>
      </c>
      <c r="AI260">
        <v>0</v>
      </c>
      <c r="AJ260" t="str" cm="1">
        <f t="array" ref="AJ260">_xlfn.IFS(AH260=1, "starter", AI260=1, "legendary",V260&lt; 13, "weak",V260&lt; 17, "moderate", TRUE, "strong")</f>
        <v>moderate</v>
      </c>
      <c r="AL260">
        <v>2</v>
      </c>
      <c r="AM260">
        <v>0</v>
      </c>
    </row>
    <row r="261" spans="1:39" x14ac:dyDescent="0.25">
      <c r="A261">
        <v>149</v>
      </c>
      <c r="B261" t="s">
        <v>69</v>
      </c>
      <c r="C261" t="str">
        <f t="shared" si="218"/>
        <v>Dragonite</v>
      </c>
      <c r="E261" t="s">
        <v>67</v>
      </c>
      <c r="F261" t="s">
        <v>5</v>
      </c>
      <c r="G261">
        <v>91</v>
      </c>
      <c r="H261">
        <v>134</v>
      </c>
      <c r="I261">
        <v>95</v>
      </c>
      <c r="J261">
        <v>100</v>
      </c>
      <c r="K261">
        <v>100</v>
      </c>
      <c r="L261">
        <v>80</v>
      </c>
      <c r="M261" t="s">
        <v>268</v>
      </c>
      <c r="N261" t="s">
        <v>303</v>
      </c>
      <c r="O261" t="s">
        <v>300</v>
      </c>
      <c r="P261">
        <f t="shared" si="212"/>
        <v>10.9</v>
      </c>
      <c r="Q261">
        <f t="shared" si="213"/>
        <v>9.49</v>
      </c>
      <c r="R261">
        <v>0</v>
      </c>
      <c r="S261">
        <v>0</v>
      </c>
      <c r="T261">
        <f t="shared" si="214"/>
        <v>11</v>
      </c>
      <c r="U261">
        <f t="shared" si="215"/>
        <v>9</v>
      </c>
      <c r="V261">
        <f t="shared" si="216"/>
        <v>20</v>
      </c>
      <c r="W261" t="str">
        <f t="shared" si="217"/>
        <v>dragon</v>
      </c>
      <c r="X261" t="str">
        <f t="shared" ref="X261:X270" si="225">IF(F261 = 0, "", F261)</f>
        <v>flying</v>
      </c>
      <c r="Y261" t="s">
        <v>6</v>
      </c>
      <c r="Z261" t="s">
        <v>4</v>
      </c>
      <c r="AB261" t="str">
        <f t="shared" si="208"/>
        <v/>
      </c>
      <c r="AC261" t="s">
        <v>585</v>
      </c>
      <c r="AD261" t="str">
        <f>VLOOKUP(AC261,moves!A:B,2,FALSE)</f>
        <v>dragon</v>
      </c>
      <c r="AE261">
        <f>VLOOKUP(AC261,moves!A:D,4,FALSE)</f>
        <v>5</v>
      </c>
      <c r="AF261" t="str">
        <f>IF(VLOOKUP(AC261,moves!A:F,5,FALSE)=0, "", VLOOKUP(AC261,moves!A:F,5,FALSE))</f>
        <v/>
      </c>
      <c r="AG261" t="str">
        <f>VLOOKUP(AC261,moves!A:F,6,FALSE)</f>
        <v>If 2 or more [status_symbol]s are rolled: Inflict the [paralysed] status on the target.</v>
      </c>
      <c r="AH261">
        <v>0</v>
      </c>
      <c r="AI261">
        <v>0</v>
      </c>
      <c r="AJ261" t="str" cm="1">
        <f t="array" ref="AJ261">_xlfn.IFS(AH261=1, "starter", AI261=1, "legendary",V261&lt; 13, "weak",V261&lt; 17, "moderate", TRUE, "strong")</f>
        <v>strong</v>
      </c>
      <c r="AL261">
        <v>3</v>
      </c>
      <c r="AM261">
        <v>0</v>
      </c>
    </row>
    <row r="262" spans="1:39" x14ac:dyDescent="0.25">
      <c r="A262">
        <v>163</v>
      </c>
      <c r="B262" t="s">
        <v>602</v>
      </c>
      <c r="C262" t="str">
        <f t="shared" si="218"/>
        <v>Hoothoot</v>
      </c>
      <c r="E262" t="s">
        <v>8</v>
      </c>
      <c r="F262" t="s">
        <v>5</v>
      </c>
      <c r="G262">
        <v>60</v>
      </c>
      <c r="H262">
        <v>30</v>
      </c>
      <c r="I262">
        <v>30</v>
      </c>
      <c r="J262">
        <v>36</v>
      </c>
      <c r="K262">
        <v>56</v>
      </c>
      <c r="L262">
        <v>50</v>
      </c>
      <c r="M262" t="s">
        <v>604</v>
      </c>
      <c r="N262" t="s">
        <v>298</v>
      </c>
      <c r="O262" t="s">
        <v>300</v>
      </c>
      <c r="P262">
        <f t="shared" si="212"/>
        <v>4.0999999999999996</v>
      </c>
      <c r="Q262">
        <f t="shared" si="213"/>
        <v>4.9799999999999995</v>
      </c>
      <c r="R262">
        <v>0</v>
      </c>
      <c r="S262">
        <v>0</v>
      </c>
      <c r="T262">
        <f t="shared" si="214"/>
        <v>4</v>
      </c>
      <c r="U262">
        <f t="shared" si="215"/>
        <v>5</v>
      </c>
      <c r="V262">
        <f t="shared" si="216"/>
        <v>9</v>
      </c>
      <c r="W262" t="str">
        <f t="shared" si="217"/>
        <v>normal</v>
      </c>
      <c r="X262" t="str">
        <f t="shared" si="225"/>
        <v>flying</v>
      </c>
      <c r="Y262" t="s">
        <v>26</v>
      </c>
      <c r="Z262" t="s">
        <v>16</v>
      </c>
      <c r="AA262" t="str">
        <f>B263</f>
        <v>Noctowl</v>
      </c>
      <c r="AB262">
        <f t="shared" si="208"/>
        <v>7</v>
      </c>
      <c r="AC262" t="s">
        <v>496</v>
      </c>
      <c r="AD262" t="str">
        <f>VLOOKUP(AC262,moves!A:B,2,FALSE)</f>
        <v>psychic</v>
      </c>
      <c r="AE262">
        <f>VLOOKUP(AC262,moves!A:D,4,FALSE)</f>
        <v>2</v>
      </c>
      <c r="AF262" t="str">
        <f>IF(VLOOKUP(AC262,moves!A:F,5,FALSE)=0, "", VLOOKUP(AC262,moves!A:F,5,FALSE))</f>
        <v/>
      </c>
      <c r="AG262" t="str">
        <f>VLOOKUP(AC262,moves!A:F,6,FALSE)</f>
        <v>Inflict the [confused] status on the target.</v>
      </c>
      <c r="AH262">
        <v>0</v>
      </c>
      <c r="AI262">
        <v>0</v>
      </c>
      <c r="AJ262" t="str" cm="1">
        <f t="array" ref="AJ262">_xlfn.IFS(AH262=1, "starter", AI262=1, "legendary",V262&lt; 13, "weak",V262&lt; 17, "moderate", TRUE, "strong")</f>
        <v>weak</v>
      </c>
      <c r="AL262">
        <v>1</v>
      </c>
      <c r="AM262">
        <v>0</v>
      </c>
    </row>
    <row r="263" spans="1:39" x14ac:dyDescent="0.25">
      <c r="A263">
        <v>164</v>
      </c>
      <c r="B263" t="s">
        <v>603</v>
      </c>
      <c r="C263" t="str">
        <f t="shared" si="218"/>
        <v>Noctowl</v>
      </c>
      <c r="E263" t="s">
        <v>8</v>
      </c>
      <c r="F263" t="s">
        <v>5</v>
      </c>
      <c r="G263">
        <v>100</v>
      </c>
      <c r="H263">
        <v>50</v>
      </c>
      <c r="I263">
        <v>50</v>
      </c>
      <c r="J263">
        <v>86</v>
      </c>
      <c r="K263">
        <v>96</v>
      </c>
      <c r="L263">
        <v>70</v>
      </c>
      <c r="M263" t="s">
        <v>604</v>
      </c>
      <c r="N263" t="s">
        <v>298</v>
      </c>
      <c r="O263" t="s">
        <v>300</v>
      </c>
      <c r="P263">
        <f t="shared" si="212"/>
        <v>7.6</v>
      </c>
      <c r="Q263">
        <f t="shared" si="213"/>
        <v>8.379999999999999</v>
      </c>
      <c r="R263">
        <v>0</v>
      </c>
      <c r="S263">
        <v>0</v>
      </c>
      <c r="T263">
        <f t="shared" si="214"/>
        <v>8</v>
      </c>
      <c r="U263">
        <f t="shared" si="215"/>
        <v>8</v>
      </c>
      <c r="V263">
        <f t="shared" si="216"/>
        <v>16</v>
      </c>
      <c r="W263" t="str">
        <f t="shared" si="217"/>
        <v>normal</v>
      </c>
      <c r="X263" t="str">
        <f t="shared" si="225"/>
        <v>flying</v>
      </c>
      <c r="Y263" t="s">
        <v>26</v>
      </c>
      <c r="Z263" t="s">
        <v>16</v>
      </c>
      <c r="AB263" t="str">
        <f t="shared" si="208"/>
        <v/>
      </c>
      <c r="AC263" t="s">
        <v>514</v>
      </c>
      <c r="AD263" t="str">
        <f>VLOOKUP(AC263,moves!A:B,2,FALSE)</f>
        <v>flying</v>
      </c>
      <c r="AE263">
        <f>VLOOKUP(AC263,moves!A:D,4,FALSE)</f>
        <v>4</v>
      </c>
      <c r="AF263" t="str">
        <f>IF(VLOOKUP(AC263,moves!A:F,5,FALSE)=0, "", VLOOKUP(AC263,moves!A:F,5,FALSE))</f>
        <v/>
      </c>
      <c r="AG263" t="str">
        <f>VLOOKUP(AC263,moves!A:F,6,FALSE)</f>
        <v>[critical_hit]s deal +1 damage.</v>
      </c>
      <c r="AH263">
        <v>0</v>
      </c>
      <c r="AI263">
        <v>0</v>
      </c>
      <c r="AJ263" t="str" cm="1">
        <f t="array" ref="AJ263">_xlfn.IFS(AH263=1, "starter", AI263=1, "legendary",V263&lt; 13, "weak",V263&lt; 17, "moderate", TRUE, "strong")</f>
        <v>moderate</v>
      </c>
      <c r="AL263">
        <v>2</v>
      </c>
      <c r="AM263">
        <v>0</v>
      </c>
    </row>
    <row r="264" spans="1:39" x14ac:dyDescent="0.25">
      <c r="A264">
        <v>278</v>
      </c>
      <c r="B264" t="s">
        <v>605</v>
      </c>
      <c r="C264" t="str">
        <f t="shared" si="218"/>
        <v>Wingull</v>
      </c>
      <c r="E264" t="s">
        <v>6</v>
      </c>
      <c r="F264" t="s">
        <v>5</v>
      </c>
      <c r="G264">
        <v>40</v>
      </c>
      <c r="H264">
        <v>30</v>
      </c>
      <c r="I264">
        <v>30</v>
      </c>
      <c r="J264">
        <v>55</v>
      </c>
      <c r="K264">
        <v>30</v>
      </c>
      <c r="L264">
        <v>85</v>
      </c>
      <c r="M264" t="s">
        <v>607</v>
      </c>
      <c r="N264" t="s">
        <v>303</v>
      </c>
      <c r="O264" t="s">
        <v>302</v>
      </c>
      <c r="P264">
        <f t="shared" si="212"/>
        <v>6.45</v>
      </c>
      <c r="Q264">
        <f t="shared" si="213"/>
        <v>3.4</v>
      </c>
      <c r="R264">
        <v>0</v>
      </c>
      <c r="S264">
        <v>0</v>
      </c>
      <c r="T264">
        <f t="shared" si="214"/>
        <v>6</v>
      </c>
      <c r="U264">
        <f t="shared" si="215"/>
        <v>3</v>
      </c>
      <c r="V264">
        <f t="shared" si="216"/>
        <v>9</v>
      </c>
      <c r="W264" t="str">
        <f t="shared" si="217"/>
        <v>water</v>
      </c>
      <c r="X264" t="str">
        <f t="shared" si="225"/>
        <v>flying</v>
      </c>
      <c r="Y264" t="s">
        <v>14</v>
      </c>
      <c r="Z264" t="s">
        <v>8</v>
      </c>
      <c r="AA264" t="str">
        <f>B265</f>
        <v>Pelipper</v>
      </c>
      <c r="AB264">
        <f t="shared" si="208"/>
        <v>7</v>
      </c>
      <c r="AC264" t="s">
        <v>598</v>
      </c>
      <c r="AD264" t="str">
        <f>VLOOKUP(AC264,moves!A:B,2,FALSE)</f>
        <v>water</v>
      </c>
      <c r="AE264">
        <f>VLOOKUP(AC264,moves!A:D,4,FALSE)</f>
        <v>2</v>
      </c>
      <c r="AF264" t="str">
        <f>IF(VLOOKUP(AC264,moves!A:F,5,FALSE)=0, "", VLOOKUP(AC264,moves!A:F,5,FALSE))</f>
        <v/>
      </c>
      <c r="AG264" t="str">
        <f>VLOOKUP(AC264,moves!A:F,6,FALSE)</f>
        <v>When the target next attacks, remove 1 [regular_hit] from the roll.</v>
      </c>
      <c r="AH264">
        <v>0</v>
      </c>
      <c r="AI264">
        <v>0</v>
      </c>
      <c r="AJ264" t="str" cm="1">
        <f t="array" ref="AJ264">_xlfn.IFS(AH264=1, "starter", AI264=1, "legendary",V264&lt; 13, "weak",V264&lt; 17, "moderate", TRUE, "strong")</f>
        <v>weak</v>
      </c>
      <c r="AL264">
        <v>1</v>
      </c>
      <c r="AM264">
        <v>0</v>
      </c>
    </row>
    <row r="265" spans="1:39" x14ac:dyDescent="0.25">
      <c r="A265">
        <v>279</v>
      </c>
      <c r="B265" t="s">
        <v>606</v>
      </c>
      <c r="C265" t="str">
        <f t="shared" si="218"/>
        <v>Pelipper</v>
      </c>
      <c r="E265" t="s">
        <v>6</v>
      </c>
      <c r="F265" t="s">
        <v>5</v>
      </c>
      <c r="G265">
        <v>60</v>
      </c>
      <c r="H265">
        <v>50</v>
      </c>
      <c r="I265">
        <v>100</v>
      </c>
      <c r="J265">
        <v>95</v>
      </c>
      <c r="K265">
        <v>70</v>
      </c>
      <c r="L265">
        <v>65</v>
      </c>
      <c r="M265" t="s">
        <v>608</v>
      </c>
      <c r="N265" t="s">
        <v>303</v>
      </c>
      <c r="O265" t="s">
        <v>302</v>
      </c>
      <c r="P265">
        <f t="shared" si="212"/>
        <v>7.85</v>
      </c>
      <c r="Q265">
        <f t="shared" si="213"/>
        <v>7.5</v>
      </c>
      <c r="R265">
        <v>0</v>
      </c>
      <c r="S265">
        <v>0</v>
      </c>
      <c r="T265">
        <f t="shared" si="214"/>
        <v>8</v>
      </c>
      <c r="U265">
        <f t="shared" si="215"/>
        <v>8</v>
      </c>
      <c r="V265">
        <f t="shared" si="216"/>
        <v>16</v>
      </c>
      <c r="W265" t="str">
        <f t="shared" si="217"/>
        <v>water</v>
      </c>
      <c r="X265" t="str">
        <f t="shared" si="225"/>
        <v>flying</v>
      </c>
      <c r="Y265" t="s">
        <v>14</v>
      </c>
      <c r="Z265" t="s">
        <v>8</v>
      </c>
      <c r="AB265" t="str">
        <f t="shared" si="208"/>
        <v/>
      </c>
      <c r="AC265" t="s">
        <v>609</v>
      </c>
      <c r="AD265" t="str">
        <f>VLOOKUP(AC265,moves!A:B,2,FALSE)</f>
        <v>normal</v>
      </c>
      <c r="AE265">
        <f>VLOOKUP(AC265,moves!A:D,4,FALSE)</f>
        <v>4</v>
      </c>
      <c r="AF265" t="str">
        <f>IF(VLOOKUP(AC265,moves!A:F,5,FALSE)=0, "", VLOOKUP(AC265,moves!A:F,5,FALSE))</f>
        <v>surge</v>
      </c>
      <c r="AG265" t="str">
        <f>VLOOKUP(AC265,moves!A:F,6,FALSE)</f>
        <v>Heal 2 damage.</v>
      </c>
      <c r="AH265">
        <v>0</v>
      </c>
      <c r="AI265">
        <v>0</v>
      </c>
      <c r="AJ265" t="str" cm="1">
        <f t="array" ref="AJ265">_xlfn.IFS(AH265=1, "starter", AI265=1, "legendary",V265&lt; 13, "weak",V265&lt; 17, "moderate", TRUE, "strong")</f>
        <v>moderate</v>
      </c>
      <c r="AL265">
        <v>2</v>
      </c>
      <c r="AM265">
        <v>0</v>
      </c>
    </row>
    <row r="266" spans="1:39" x14ac:dyDescent="0.25">
      <c r="A266">
        <v>203</v>
      </c>
      <c r="B266" t="s">
        <v>610</v>
      </c>
      <c r="C266" t="str">
        <f t="shared" si="218"/>
        <v>Girafarig</v>
      </c>
      <c r="E266" t="s">
        <v>8</v>
      </c>
      <c r="F266" t="s">
        <v>26</v>
      </c>
      <c r="G266">
        <v>70</v>
      </c>
      <c r="H266">
        <v>80</v>
      </c>
      <c r="I266">
        <v>65</v>
      </c>
      <c r="J266">
        <v>90</v>
      </c>
      <c r="K266">
        <v>65</v>
      </c>
      <c r="L266">
        <v>85</v>
      </c>
      <c r="M266" t="s">
        <v>611</v>
      </c>
      <c r="N266" t="s">
        <v>301</v>
      </c>
      <c r="O266" t="s">
        <v>300</v>
      </c>
      <c r="P266">
        <f t="shared" si="212"/>
        <v>8.6999999999999993</v>
      </c>
      <c r="Q266">
        <f t="shared" si="213"/>
        <v>6.7</v>
      </c>
      <c r="R266">
        <v>0</v>
      </c>
      <c r="S266">
        <v>0</v>
      </c>
      <c r="T266">
        <f t="shared" si="214"/>
        <v>9</v>
      </c>
      <c r="U266">
        <f t="shared" si="215"/>
        <v>7</v>
      </c>
      <c r="V266">
        <f t="shared" si="216"/>
        <v>16</v>
      </c>
      <c r="W266" t="str">
        <f t="shared" si="217"/>
        <v>normal</v>
      </c>
      <c r="X266" t="str">
        <f t="shared" si="225"/>
        <v>psychic</v>
      </c>
      <c r="Y266" t="s">
        <v>9</v>
      </c>
      <c r="Z266" t="s">
        <v>11</v>
      </c>
      <c r="AB266" t="str">
        <f t="shared" si="208"/>
        <v/>
      </c>
      <c r="AC266" t="s">
        <v>1250</v>
      </c>
      <c r="AD266" t="str">
        <f>VLOOKUP(AC266,moves!A:B,2,FALSE)</f>
        <v>psychic</v>
      </c>
      <c r="AE266">
        <f>VLOOKUP(AC266,moves!A:D,4,FALSE)</f>
        <v>2</v>
      </c>
      <c r="AF266" t="str">
        <f>IF(VLOOKUP(AC266,moves!A:F,5,FALSE)=0, "", VLOOKUP(AC266,moves!A:F,5,FALSE))</f>
        <v/>
      </c>
      <c r="AG266" t="str">
        <f>VLOOKUP(AC266,moves!A:F,6,FALSE)</f>
        <v>[regular_hit]s deal +1 damage.</v>
      </c>
      <c r="AH266">
        <v>0</v>
      </c>
      <c r="AI266">
        <v>0</v>
      </c>
      <c r="AJ266" t="str" cm="1">
        <f t="array" ref="AJ266">_xlfn.IFS(AH266=1, "starter", AI266=1, "legendary",V266&lt; 13, "weak",V266&lt; 17, "moderate", TRUE, "strong")</f>
        <v>moderate</v>
      </c>
      <c r="AL266">
        <v>1</v>
      </c>
      <c r="AM266">
        <v>0</v>
      </c>
    </row>
    <row r="267" spans="1:39" x14ac:dyDescent="0.25">
      <c r="A267">
        <v>72</v>
      </c>
      <c r="B267" t="s">
        <v>612</v>
      </c>
      <c r="C267" t="str">
        <f t="shared" si="218"/>
        <v>Tentacool</v>
      </c>
      <c r="E267" t="s">
        <v>6</v>
      </c>
      <c r="F267" t="s">
        <v>3</v>
      </c>
      <c r="G267">
        <v>40</v>
      </c>
      <c r="H267">
        <v>40</v>
      </c>
      <c r="I267">
        <v>35</v>
      </c>
      <c r="J267">
        <v>50</v>
      </c>
      <c r="K267">
        <v>100</v>
      </c>
      <c r="L267">
        <v>70</v>
      </c>
      <c r="M267" t="s">
        <v>614</v>
      </c>
      <c r="N267" t="s">
        <v>303</v>
      </c>
      <c r="O267" t="s">
        <v>300</v>
      </c>
      <c r="P267">
        <f t="shared" si="212"/>
        <v>5.7</v>
      </c>
      <c r="Q267">
        <f t="shared" si="213"/>
        <v>5.65</v>
      </c>
      <c r="R267">
        <v>0</v>
      </c>
      <c r="S267">
        <v>0</v>
      </c>
      <c r="T267">
        <f t="shared" si="214"/>
        <v>6</v>
      </c>
      <c r="U267">
        <f t="shared" si="215"/>
        <v>6</v>
      </c>
      <c r="V267">
        <f t="shared" si="216"/>
        <v>12</v>
      </c>
      <c r="W267" t="str">
        <f t="shared" si="217"/>
        <v>water</v>
      </c>
      <c r="X267" t="str">
        <f t="shared" si="225"/>
        <v>poison</v>
      </c>
      <c r="Y267" t="s">
        <v>8</v>
      </c>
      <c r="Z267" t="s">
        <v>14</v>
      </c>
      <c r="AA267" t="str">
        <f>B268</f>
        <v>Tentacruel</v>
      </c>
      <c r="AB267">
        <f t="shared" si="208"/>
        <v>8</v>
      </c>
      <c r="AC267" t="s">
        <v>541</v>
      </c>
      <c r="AD267" t="str">
        <f>VLOOKUP(AC267,moves!A:B,2,FALSE)</f>
        <v>water</v>
      </c>
      <c r="AE267">
        <f>VLOOKUP(AC267,moves!A:D,4,FALSE)</f>
        <v>3</v>
      </c>
      <c r="AF267" t="str">
        <f>IF(VLOOKUP(AC267,moves!A:F,5,FALSE)=0, "", VLOOKUP(AC267,moves!A:F,5,FALSE))</f>
        <v/>
      </c>
      <c r="AG267" t="str">
        <f>VLOOKUP(AC267,moves!A:F,6,FALSE)</f>
        <v>If any [status_symbol]s are rolled: Inflict the [confused] status on the target.</v>
      </c>
      <c r="AH267">
        <v>0</v>
      </c>
      <c r="AI267">
        <v>0</v>
      </c>
      <c r="AJ267" t="str" cm="1">
        <f t="array" ref="AJ267">_xlfn.IFS(AH267=1, "starter", AI267=1, "legendary",V267&lt; 13, "weak",V267&lt; 17, "moderate", TRUE, "strong")</f>
        <v>weak</v>
      </c>
      <c r="AL267">
        <v>1</v>
      </c>
      <c r="AM267">
        <v>0</v>
      </c>
    </row>
    <row r="268" spans="1:39" x14ac:dyDescent="0.25">
      <c r="A268">
        <v>73</v>
      </c>
      <c r="B268" t="s">
        <v>613</v>
      </c>
      <c r="C268" t="str">
        <f t="shared" si="218"/>
        <v>Tentacruel</v>
      </c>
      <c r="E268" t="s">
        <v>6</v>
      </c>
      <c r="F268" t="s">
        <v>3</v>
      </c>
      <c r="G268">
        <v>80</v>
      </c>
      <c r="H268">
        <v>70</v>
      </c>
      <c r="I268">
        <v>65</v>
      </c>
      <c r="J268">
        <v>80</v>
      </c>
      <c r="K268">
        <v>120</v>
      </c>
      <c r="L268">
        <v>100</v>
      </c>
      <c r="M268" t="s">
        <v>614</v>
      </c>
      <c r="N268" t="s">
        <v>303</v>
      </c>
      <c r="O268" t="s">
        <v>300</v>
      </c>
      <c r="P268">
        <f t="shared" si="212"/>
        <v>8.6999999999999993</v>
      </c>
      <c r="Q268">
        <f t="shared" si="213"/>
        <v>8.75</v>
      </c>
      <c r="R268">
        <v>0</v>
      </c>
      <c r="S268">
        <v>0</v>
      </c>
      <c r="T268">
        <f t="shared" si="214"/>
        <v>9</v>
      </c>
      <c r="U268">
        <f t="shared" si="215"/>
        <v>9</v>
      </c>
      <c r="V268">
        <f t="shared" si="216"/>
        <v>18</v>
      </c>
      <c r="W268" t="str">
        <f t="shared" si="217"/>
        <v>water</v>
      </c>
      <c r="X268" t="str">
        <f t="shared" si="225"/>
        <v>poison</v>
      </c>
      <c r="Y268" t="s">
        <v>8</v>
      </c>
      <c r="Z268" t="s">
        <v>14</v>
      </c>
      <c r="AB268" t="str">
        <f t="shared" ref="AB268:AB331" si="226">IF(ISBLANK(AA268), "", ROUND(( (V269-6)*(V269-7) - (V268-6)*(V268-7) )/15, 0) + 1)</f>
        <v/>
      </c>
      <c r="AC268" t="s">
        <v>615</v>
      </c>
      <c r="AD268" t="str">
        <f>VLOOKUP(AC268,moves!A:B,2,FALSE)</f>
        <v>poison</v>
      </c>
      <c r="AE268">
        <f>VLOOKUP(AC268,moves!A:D,4,FALSE)</f>
        <v>5</v>
      </c>
      <c r="AF268" t="str">
        <f>IF(VLOOKUP(AC268,moves!A:F,5,FALSE)=0, "", VLOOKUP(AC268,moves!A:F,5,FALSE))</f>
        <v/>
      </c>
      <c r="AG268" t="str">
        <f>VLOOKUP(AC268,moves!A:F,6,FALSE)</f>
        <v>If 2 or more [status_symbol]s are rolled: Inflict the [poisoned] status on the target.</v>
      </c>
      <c r="AH268">
        <v>0</v>
      </c>
      <c r="AI268">
        <v>0</v>
      </c>
      <c r="AJ268" t="str" cm="1">
        <f t="array" ref="AJ268">_xlfn.IFS(AH268=1, "starter", AI268=1, "legendary",V268&lt; 13, "weak",V268&lt; 17, "moderate", TRUE, "strong")</f>
        <v>strong</v>
      </c>
      <c r="AL268">
        <v>2</v>
      </c>
      <c r="AM268">
        <v>0</v>
      </c>
    </row>
    <row r="269" spans="1:39" x14ac:dyDescent="0.25">
      <c r="A269">
        <v>339</v>
      </c>
      <c r="B269" t="s">
        <v>616</v>
      </c>
      <c r="C269" t="str">
        <f t="shared" si="218"/>
        <v>Barboach</v>
      </c>
      <c r="E269" t="s">
        <v>6</v>
      </c>
      <c r="F269" t="s">
        <v>13</v>
      </c>
      <c r="G269">
        <v>50</v>
      </c>
      <c r="H269">
        <v>48</v>
      </c>
      <c r="I269">
        <v>43</v>
      </c>
      <c r="J269">
        <v>46</v>
      </c>
      <c r="K269">
        <v>41</v>
      </c>
      <c r="L269">
        <v>60</v>
      </c>
      <c r="M269" t="s">
        <v>618</v>
      </c>
      <c r="N269" t="s">
        <v>303</v>
      </c>
      <c r="O269" t="s">
        <v>300</v>
      </c>
      <c r="P269">
        <f t="shared" si="212"/>
        <v>5.26</v>
      </c>
      <c r="Q269">
        <f t="shared" si="213"/>
        <v>4.5199999999999996</v>
      </c>
      <c r="R269">
        <v>0</v>
      </c>
      <c r="S269">
        <v>0</v>
      </c>
      <c r="T269">
        <f t="shared" si="214"/>
        <v>5</v>
      </c>
      <c r="U269">
        <f t="shared" si="215"/>
        <v>5</v>
      </c>
      <c r="V269">
        <f t="shared" si="216"/>
        <v>10</v>
      </c>
      <c r="W269" t="str">
        <f t="shared" si="217"/>
        <v>water</v>
      </c>
      <c r="X269" t="str">
        <f t="shared" si="225"/>
        <v>ground</v>
      </c>
      <c r="Y269" t="s">
        <v>26</v>
      </c>
      <c r="Z269" t="s">
        <v>8</v>
      </c>
      <c r="AA269" t="str">
        <f>B270</f>
        <v>Whiscash</v>
      </c>
      <c r="AB269">
        <f t="shared" si="226"/>
        <v>6</v>
      </c>
      <c r="AC269" t="s">
        <v>541</v>
      </c>
      <c r="AD269" t="str">
        <f>VLOOKUP(AC269,moves!A:B,2,FALSE)</f>
        <v>water</v>
      </c>
      <c r="AE269">
        <f>VLOOKUP(AC269,moves!A:D,4,FALSE)</f>
        <v>3</v>
      </c>
      <c r="AF269" t="str">
        <f>IF(VLOOKUP(AC269,moves!A:F,5,FALSE)=0, "", VLOOKUP(AC269,moves!A:F,5,FALSE))</f>
        <v/>
      </c>
      <c r="AG269" t="str">
        <f>VLOOKUP(AC269,moves!A:F,6,FALSE)</f>
        <v>If any [status_symbol]s are rolled: Inflict the [confused] status on the target.</v>
      </c>
      <c r="AH269">
        <v>0</v>
      </c>
      <c r="AI269">
        <v>0</v>
      </c>
      <c r="AJ269" t="str" cm="1">
        <f t="array" ref="AJ269">_xlfn.IFS(AH269=1, "starter", AI269=1, "legendary",V269&lt; 13, "weak",V269&lt; 17, "moderate", TRUE, "strong")</f>
        <v>weak</v>
      </c>
      <c r="AL269">
        <v>1</v>
      </c>
      <c r="AM269">
        <v>0</v>
      </c>
    </row>
    <row r="270" spans="1:39" x14ac:dyDescent="0.25">
      <c r="A270">
        <v>340</v>
      </c>
      <c r="B270" t="s">
        <v>617</v>
      </c>
      <c r="C270" t="str">
        <f t="shared" si="218"/>
        <v>Whiscash</v>
      </c>
      <c r="E270" t="s">
        <v>6</v>
      </c>
      <c r="F270" t="s">
        <v>13</v>
      </c>
      <c r="G270">
        <v>110</v>
      </c>
      <c r="H270">
        <v>78</v>
      </c>
      <c r="I270">
        <v>73</v>
      </c>
      <c r="J270">
        <v>76</v>
      </c>
      <c r="K270">
        <v>71</v>
      </c>
      <c r="L270">
        <v>60</v>
      </c>
      <c r="M270" t="s">
        <v>618</v>
      </c>
      <c r="N270" t="s">
        <v>303</v>
      </c>
      <c r="O270" t="s">
        <v>300</v>
      </c>
      <c r="P270">
        <f t="shared" si="212"/>
        <v>7.06</v>
      </c>
      <c r="Q270">
        <f t="shared" si="213"/>
        <v>8.7200000000000006</v>
      </c>
      <c r="R270">
        <v>0</v>
      </c>
      <c r="S270">
        <v>0</v>
      </c>
      <c r="T270">
        <f t="shared" si="214"/>
        <v>7</v>
      </c>
      <c r="U270">
        <f t="shared" si="215"/>
        <v>9</v>
      </c>
      <c r="V270">
        <f t="shared" si="216"/>
        <v>16</v>
      </c>
      <c r="W270" t="str">
        <f t="shared" si="217"/>
        <v>water</v>
      </c>
      <c r="X270" t="str">
        <f t="shared" si="225"/>
        <v>ground</v>
      </c>
      <c r="Y270" t="s">
        <v>26</v>
      </c>
      <c r="Z270" t="s">
        <v>8</v>
      </c>
      <c r="AB270" t="str">
        <f t="shared" si="226"/>
        <v/>
      </c>
      <c r="AC270" t="s">
        <v>484</v>
      </c>
      <c r="AD270" t="str">
        <f>VLOOKUP(AC270,moves!A:B,2,FALSE)</f>
        <v>ground</v>
      </c>
      <c r="AE270">
        <f>VLOOKUP(AC270,moves!A:D,4,FALSE)</f>
        <v>5</v>
      </c>
      <c r="AF270" t="str">
        <f>IF(VLOOKUP(AC270,moves!A:F,5,FALSE)=0, "", VLOOKUP(AC270,moves!A:F,5,FALSE))</f>
        <v/>
      </c>
      <c r="AG270" t="str">
        <f>VLOOKUP(AC270,moves!A:F,6,FALSE)</f>
        <v>If 2 or more [status_symbol]s are rolled: Deal 2 damage to a Pokémon in the target party that is not the target.</v>
      </c>
      <c r="AH270">
        <v>0</v>
      </c>
      <c r="AI270">
        <v>0</v>
      </c>
      <c r="AJ270" t="str" cm="1">
        <f t="array" ref="AJ270">_xlfn.IFS(AH270=1, "starter", AI270=1, "legendary",V270&lt; 13, "weak",V270&lt; 17, "moderate", TRUE, "strong")</f>
        <v>moderate</v>
      </c>
      <c r="AL270">
        <v>2</v>
      </c>
      <c r="AM270">
        <v>0</v>
      </c>
    </row>
    <row r="271" spans="1:39" x14ac:dyDescent="0.25">
      <c r="A271">
        <v>54</v>
      </c>
      <c r="B271" t="s">
        <v>619</v>
      </c>
      <c r="C271" t="str">
        <f t="shared" si="218"/>
        <v>Psyduck</v>
      </c>
      <c r="E271" t="s">
        <v>6</v>
      </c>
      <c r="G271">
        <v>50</v>
      </c>
      <c r="H271">
        <v>52</v>
      </c>
      <c r="I271">
        <v>48</v>
      </c>
      <c r="J271">
        <v>65</v>
      </c>
      <c r="K271">
        <v>50</v>
      </c>
      <c r="L271">
        <v>55</v>
      </c>
      <c r="M271" t="s">
        <v>621</v>
      </c>
      <c r="N271" t="s">
        <v>301</v>
      </c>
      <c r="O271" t="s">
        <v>300</v>
      </c>
      <c r="P271">
        <f t="shared" si="212"/>
        <v>5.9700000000000006</v>
      </c>
      <c r="Q271">
        <f t="shared" si="213"/>
        <v>4.9399999999999995</v>
      </c>
      <c r="R271">
        <v>0</v>
      </c>
      <c r="S271">
        <v>0</v>
      </c>
      <c r="T271">
        <f t="shared" si="214"/>
        <v>6</v>
      </c>
      <c r="U271">
        <f t="shared" si="215"/>
        <v>5</v>
      </c>
      <c r="V271">
        <f t="shared" si="216"/>
        <v>11</v>
      </c>
      <c r="W271" t="str">
        <f t="shared" si="217"/>
        <v>water</v>
      </c>
      <c r="X271" t="s">
        <v>26</v>
      </c>
      <c r="Y271" t="s">
        <v>8</v>
      </c>
      <c r="Z271" t="s">
        <v>14</v>
      </c>
      <c r="AA271" t="str">
        <f>B272</f>
        <v>Golduck</v>
      </c>
      <c r="AB271">
        <f t="shared" si="226"/>
        <v>7</v>
      </c>
      <c r="AC271" t="s">
        <v>496</v>
      </c>
      <c r="AD271" t="str">
        <f>VLOOKUP(AC271,moves!A:B,2,FALSE)</f>
        <v>psychic</v>
      </c>
      <c r="AE271">
        <f>VLOOKUP(AC271,moves!A:D,4,FALSE)</f>
        <v>2</v>
      </c>
      <c r="AF271" t="str">
        <f>IF(VLOOKUP(AC271,moves!A:F,5,FALSE)=0, "", VLOOKUP(AC271,moves!A:F,5,FALSE))</f>
        <v/>
      </c>
      <c r="AG271" t="str">
        <f>VLOOKUP(AC271,moves!A:F,6,FALSE)</f>
        <v>Inflict the [confused] status on the target.</v>
      </c>
      <c r="AH271">
        <v>0</v>
      </c>
      <c r="AI271">
        <v>0</v>
      </c>
      <c r="AJ271" t="str" cm="1">
        <f t="array" ref="AJ271">_xlfn.IFS(AH271=1, "starter", AI271=1, "legendary",V271&lt; 13, "weak",V271&lt; 17, "moderate", TRUE, "strong")</f>
        <v>weak</v>
      </c>
      <c r="AL271">
        <v>1</v>
      </c>
      <c r="AM271">
        <v>0</v>
      </c>
    </row>
    <row r="272" spans="1:39" x14ac:dyDescent="0.25">
      <c r="A272">
        <v>55</v>
      </c>
      <c r="B272" t="s">
        <v>620</v>
      </c>
      <c r="C272" t="str">
        <f t="shared" si="218"/>
        <v>Golduck</v>
      </c>
      <c r="E272" t="s">
        <v>6</v>
      </c>
      <c r="G272">
        <v>80</v>
      </c>
      <c r="H272">
        <v>82</v>
      </c>
      <c r="I272">
        <v>78</v>
      </c>
      <c r="J272">
        <v>95</v>
      </c>
      <c r="K272">
        <v>80</v>
      </c>
      <c r="L272">
        <v>85</v>
      </c>
      <c r="M272" t="s">
        <v>621</v>
      </c>
      <c r="N272" t="s">
        <v>301</v>
      </c>
      <c r="O272" t="s">
        <v>300</v>
      </c>
      <c r="P272">
        <f t="shared" si="212"/>
        <v>8.9700000000000006</v>
      </c>
      <c r="Q272">
        <f t="shared" si="213"/>
        <v>7.94</v>
      </c>
      <c r="R272">
        <v>0</v>
      </c>
      <c r="S272">
        <v>0</v>
      </c>
      <c r="T272">
        <f t="shared" si="214"/>
        <v>9</v>
      </c>
      <c r="U272">
        <f t="shared" si="215"/>
        <v>8</v>
      </c>
      <c r="V272">
        <f t="shared" si="216"/>
        <v>17</v>
      </c>
      <c r="W272" t="str">
        <f t="shared" si="217"/>
        <v>water</v>
      </c>
      <c r="X272" t="s">
        <v>26</v>
      </c>
      <c r="Y272" t="s">
        <v>8</v>
      </c>
      <c r="Z272" t="s">
        <v>14</v>
      </c>
      <c r="AB272" t="str">
        <f t="shared" si="226"/>
        <v/>
      </c>
      <c r="AC272" t="s">
        <v>479</v>
      </c>
      <c r="AD272" t="str">
        <f>VLOOKUP(AC272,moves!A:B,2,FALSE)</f>
        <v>water</v>
      </c>
      <c r="AE272">
        <f>VLOOKUP(AC272,moves!A:D,4,FALSE)</f>
        <v>5</v>
      </c>
      <c r="AF272" t="str">
        <f>IF(VLOOKUP(AC272,moves!A:F,5,FALSE)=0, "", VLOOKUP(AC272,moves!A:F,5,FALSE))</f>
        <v/>
      </c>
      <c r="AG272" t="str">
        <f>VLOOKUP(AC272,moves!A:F,6,FALSE)</f>
        <v>If 2 or more [status_symbol]s are rolled: Inflict the [confused] status on the target.</v>
      </c>
      <c r="AH272">
        <v>0</v>
      </c>
      <c r="AI272">
        <v>0</v>
      </c>
      <c r="AJ272" t="str" cm="1">
        <f t="array" ref="AJ272">_xlfn.IFS(AH272=1, "starter", AI272=1, "legendary",V272&lt; 13, "weak",V272&lt; 17, "moderate", TRUE, "strong")</f>
        <v>strong</v>
      </c>
      <c r="AL272">
        <v>2</v>
      </c>
      <c r="AM272">
        <v>0</v>
      </c>
    </row>
    <row r="273" spans="1:39" x14ac:dyDescent="0.25">
      <c r="A273">
        <v>118</v>
      </c>
      <c r="B273" t="s">
        <v>622</v>
      </c>
      <c r="C273" t="str">
        <f t="shared" si="218"/>
        <v>Goldeen</v>
      </c>
      <c r="E273" t="s">
        <v>6</v>
      </c>
      <c r="G273">
        <v>45</v>
      </c>
      <c r="H273">
        <v>67</v>
      </c>
      <c r="I273">
        <v>60</v>
      </c>
      <c r="J273">
        <v>35</v>
      </c>
      <c r="K273">
        <v>50</v>
      </c>
      <c r="L273">
        <v>63</v>
      </c>
      <c r="M273" t="s">
        <v>624</v>
      </c>
      <c r="N273" t="s">
        <v>303</v>
      </c>
      <c r="O273" t="s">
        <v>302</v>
      </c>
      <c r="P273">
        <f t="shared" si="212"/>
        <v>6.2200000000000006</v>
      </c>
      <c r="Q273">
        <f t="shared" si="213"/>
        <v>5.0999999999999996</v>
      </c>
      <c r="R273">
        <v>0</v>
      </c>
      <c r="S273">
        <v>0</v>
      </c>
      <c r="T273">
        <f t="shared" si="214"/>
        <v>6</v>
      </c>
      <c r="U273">
        <f t="shared" si="215"/>
        <v>5</v>
      </c>
      <c r="V273">
        <f t="shared" si="216"/>
        <v>11</v>
      </c>
      <c r="W273" t="str">
        <f t="shared" ref="W273:W368" si="227">E273</f>
        <v>water</v>
      </c>
      <c r="X273" t="s">
        <v>8</v>
      </c>
      <c r="Y273" t="s">
        <v>7</v>
      </c>
      <c r="Z273" t="s">
        <v>14</v>
      </c>
      <c r="AA273" t="str">
        <f>B274</f>
        <v>Seaking</v>
      </c>
      <c r="AB273">
        <f t="shared" si="226"/>
        <v>6</v>
      </c>
      <c r="AC273" t="s">
        <v>598</v>
      </c>
      <c r="AD273" t="str">
        <f>VLOOKUP(AC273,moves!A:B,2,FALSE)</f>
        <v>water</v>
      </c>
      <c r="AE273">
        <f>VLOOKUP(AC273,moves!A:D,4,FALSE)</f>
        <v>2</v>
      </c>
      <c r="AF273" t="str">
        <f>IF(VLOOKUP(AC273,moves!A:F,5,FALSE)=0, "", VLOOKUP(AC273,moves!A:F,5,FALSE))</f>
        <v/>
      </c>
      <c r="AG273" t="str">
        <f>VLOOKUP(AC273,moves!A:F,6,FALSE)</f>
        <v>When the target next attacks, remove 1 [regular_hit] from the roll.</v>
      </c>
      <c r="AH273">
        <v>0</v>
      </c>
      <c r="AI273">
        <v>0</v>
      </c>
      <c r="AJ273" t="str" cm="1">
        <f t="array" ref="AJ273">_xlfn.IFS(AH273=1, "starter", AI273=1, "legendary",V273&lt; 13, "weak",V273&lt; 17, "moderate", TRUE, "strong")</f>
        <v>weak</v>
      </c>
      <c r="AL273">
        <v>1</v>
      </c>
      <c r="AM273">
        <v>0</v>
      </c>
    </row>
    <row r="274" spans="1:39" x14ac:dyDescent="0.25">
      <c r="A274">
        <v>119</v>
      </c>
      <c r="B274" t="s">
        <v>623</v>
      </c>
      <c r="C274" t="str">
        <f t="shared" si="218"/>
        <v>Seaking</v>
      </c>
      <c r="E274" t="s">
        <v>6</v>
      </c>
      <c r="G274">
        <v>80</v>
      </c>
      <c r="H274">
        <v>92</v>
      </c>
      <c r="I274">
        <v>65</v>
      </c>
      <c r="J274">
        <v>65</v>
      </c>
      <c r="K274">
        <v>80</v>
      </c>
      <c r="L274">
        <v>68</v>
      </c>
      <c r="M274" t="s">
        <v>624</v>
      </c>
      <c r="N274" t="s">
        <v>303</v>
      </c>
      <c r="O274" t="s">
        <v>302</v>
      </c>
      <c r="P274">
        <f t="shared" si="212"/>
        <v>7.9700000000000006</v>
      </c>
      <c r="Q274">
        <f t="shared" si="213"/>
        <v>7.55</v>
      </c>
      <c r="R274">
        <v>0</v>
      </c>
      <c r="S274">
        <v>0</v>
      </c>
      <c r="T274">
        <f t="shared" si="214"/>
        <v>8</v>
      </c>
      <c r="U274">
        <f t="shared" si="215"/>
        <v>8</v>
      </c>
      <c r="V274">
        <f t="shared" si="216"/>
        <v>16</v>
      </c>
      <c r="W274" t="str">
        <f t="shared" si="227"/>
        <v>water</v>
      </c>
      <c r="X274" t="s">
        <v>8</v>
      </c>
      <c r="Y274" t="s">
        <v>7</v>
      </c>
      <c r="Z274" t="s">
        <v>14</v>
      </c>
      <c r="AB274" t="str">
        <f t="shared" si="226"/>
        <v/>
      </c>
      <c r="AC274" t="s">
        <v>497</v>
      </c>
      <c r="AD274" t="str">
        <f>VLOOKUP(AC274,moves!A:B,2,FALSE)</f>
        <v>bug</v>
      </c>
      <c r="AE274">
        <f>VLOOKUP(AC274,moves!A:D,4,FALSE)</f>
        <v>5</v>
      </c>
      <c r="AF274" t="str">
        <f>IF(VLOOKUP(AC274,moves!A:F,5,FALSE)=0, "", VLOOKUP(AC274,moves!A:F,5,FALSE))</f>
        <v/>
      </c>
      <c r="AG274" t="str">
        <f>VLOOKUP(AC274,moves!A:F,6,FALSE)</f>
        <v>[critical_hit]s deal +1 damage but [status_symbol]s deal -1 damage.</v>
      </c>
      <c r="AH274">
        <v>0</v>
      </c>
      <c r="AI274">
        <v>0</v>
      </c>
      <c r="AJ274" t="str" cm="1">
        <f t="array" ref="AJ274">_xlfn.IFS(AH274=1, "starter", AI274=1, "legendary",V274&lt; 13, "weak",V274&lt; 17, "moderate", TRUE, "strong")</f>
        <v>moderate</v>
      </c>
      <c r="AL274">
        <v>2</v>
      </c>
      <c r="AM274">
        <v>0</v>
      </c>
    </row>
    <row r="275" spans="1:39" x14ac:dyDescent="0.25">
      <c r="A275">
        <v>550</v>
      </c>
      <c r="B275" t="s">
        <v>634</v>
      </c>
      <c r="C275" t="str">
        <f t="shared" si="218"/>
        <v>Basculin</v>
      </c>
      <c r="E275" t="s">
        <v>6</v>
      </c>
      <c r="G275">
        <v>70</v>
      </c>
      <c r="H275">
        <v>92</v>
      </c>
      <c r="I275">
        <v>65</v>
      </c>
      <c r="J275">
        <v>80</v>
      </c>
      <c r="K275">
        <v>55</v>
      </c>
      <c r="L275">
        <v>98</v>
      </c>
      <c r="M275" t="s">
        <v>633</v>
      </c>
      <c r="N275" t="s">
        <v>303</v>
      </c>
      <c r="O275" t="s">
        <v>302</v>
      </c>
      <c r="P275">
        <f t="shared" si="212"/>
        <v>9.32</v>
      </c>
      <c r="Q275">
        <f t="shared" si="213"/>
        <v>6.4</v>
      </c>
      <c r="R275">
        <v>0</v>
      </c>
      <c r="S275">
        <v>0</v>
      </c>
      <c r="T275">
        <f t="shared" si="214"/>
        <v>9</v>
      </c>
      <c r="U275">
        <f t="shared" si="215"/>
        <v>6</v>
      </c>
      <c r="V275">
        <f t="shared" si="216"/>
        <v>15</v>
      </c>
      <c r="W275" t="str">
        <f t="shared" si="227"/>
        <v>water</v>
      </c>
      <c r="X275" t="s">
        <v>9</v>
      </c>
      <c r="Y275" t="s">
        <v>22</v>
      </c>
      <c r="Z275" t="s">
        <v>33</v>
      </c>
      <c r="AB275" t="str">
        <f t="shared" si="226"/>
        <v/>
      </c>
      <c r="AC275" t="s">
        <v>630</v>
      </c>
      <c r="AD275" t="str">
        <f>VLOOKUP(AC275,moves!A:B,2,FALSE)</f>
        <v>water</v>
      </c>
      <c r="AE275">
        <f>VLOOKUP(AC275,moves!A:D,4,FALSE)</f>
        <v>3</v>
      </c>
      <c r="AF275" t="str">
        <f>IF(VLOOKUP(AC275,moves!A:F,5,FALSE)=0, "", VLOOKUP(AC275,moves!A:F,5,FALSE))</f>
        <v>switch</v>
      </c>
      <c r="AG275" t="str">
        <f>VLOOKUP(AC275,moves!A:F,6,FALSE)</f>
        <v>When the target next attacks, remove 1 [regular_hit] from the roll.</v>
      </c>
      <c r="AH275">
        <v>0</v>
      </c>
      <c r="AI275">
        <v>0</v>
      </c>
      <c r="AJ275" t="str" cm="1">
        <f t="array" ref="AJ275">_xlfn.IFS(AH275=1, "starter", AI275=1, "legendary",V275&lt; 13, "weak",V275&lt; 17, "moderate", TRUE, "strong")</f>
        <v>moderate</v>
      </c>
      <c r="AL275">
        <v>1</v>
      </c>
      <c r="AM275">
        <v>0</v>
      </c>
    </row>
    <row r="276" spans="1:39" x14ac:dyDescent="0.25">
      <c r="A276">
        <v>123</v>
      </c>
      <c r="B276" t="s">
        <v>636</v>
      </c>
      <c r="C276" t="str">
        <f t="shared" si="218"/>
        <v>Scyther</v>
      </c>
      <c r="E276" t="s">
        <v>7</v>
      </c>
      <c r="F276" t="s">
        <v>5</v>
      </c>
      <c r="G276">
        <v>70</v>
      </c>
      <c r="H276">
        <v>110</v>
      </c>
      <c r="I276">
        <v>80</v>
      </c>
      <c r="J276">
        <v>55</v>
      </c>
      <c r="K276">
        <v>80</v>
      </c>
      <c r="L276">
        <v>105</v>
      </c>
      <c r="M276" t="s">
        <v>637</v>
      </c>
      <c r="N276" t="s">
        <v>298</v>
      </c>
      <c r="O276" t="s">
        <v>299</v>
      </c>
      <c r="P276">
        <f t="shared" si="212"/>
        <v>10.25</v>
      </c>
      <c r="Q276">
        <f t="shared" si="213"/>
        <v>7.6</v>
      </c>
      <c r="R276">
        <v>0</v>
      </c>
      <c r="S276">
        <v>0</v>
      </c>
      <c r="T276">
        <f t="shared" si="214"/>
        <v>10</v>
      </c>
      <c r="U276">
        <f t="shared" si="215"/>
        <v>8</v>
      </c>
      <c r="V276">
        <f t="shared" si="216"/>
        <v>18</v>
      </c>
      <c r="W276" t="str">
        <f t="shared" si="227"/>
        <v>bug</v>
      </c>
      <c r="X276" t="str">
        <f>IF(F276 = 0, "", F276)</f>
        <v>flying</v>
      </c>
      <c r="Y276" t="s">
        <v>39</v>
      </c>
      <c r="Z276" t="s">
        <v>8</v>
      </c>
      <c r="AA276" t="s">
        <v>638</v>
      </c>
      <c r="AB276">
        <f t="shared" si="226"/>
        <v>3</v>
      </c>
      <c r="AC276" t="s">
        <v>640</v>
      </c>
      <c r="AD276" t="str">
        <f>VLOOKUP(AC276,moves!A:B,2,FALSE)</f>
        <v>bug</v>
      </c>
      <c r="AE276">
        <f>VLOOKUP(AC276,moves!A:D,4,FALSE)</f>
        <v>4</v>
      </c>
      <c r="AF276" t="str">
        <f>IF(VLOOKUP(AC276,moves!A:F,5,FALSE)=0, "", VLOOKUP(AC276,moves!A:F,5,FALSE))</f>
        <v/>
      </c>
      <c r="AG276" t="str">
        <f>VLOOKUP(AC276,moves!A:F,6,FALSE)</f>
        <v>[critical_hit]s deal +1 damage.</v>
      </c>
      <c r="AH276">
        <v>0</v>
      </c>
      <c r="AI276">
        <v>0</v>
      </c>
      <c r="AJ276" t="str" cm="1">
        <f t="array" ref="AJ276">_xlfn.IFS(AH276=1, "starter", AI276=1, "legendary",V276&lt; 13, "weak",V276&lt; 17, "moderate", TRUE, "strong")</f>
        <v>strong</v>
      </c>
      <c r="AL276">
        <v>1</v>
      </c>
      <c r="AM276">
        <v>0</v>
      </c>
    </row>
    <row r="277" spans="1:39" x14ac:dyDescent="0.25">
      <c r="A277">
        <v>212</v>
      </c>
      <c r="B277" t="s">
        <v>638</v>
      </c>
      <c r="C277" t="str">
        <f t="shared" ref="C277:C308" si="228">B277</f>
        <v>Scizor</v>
      </c>
      <c r="E277" t="s">
        <v>7</v>
      </c>
      <c r="F277" t="s">
        <v>39</v>
      </c>
      <c r="G277">
        <v>70</v>
      </c>
      <c r="H277">
        <v>130</v>
      </c>
      <c r="I277">
        <v>100</v>
      </c>
      <c r="J277">
        <v>55</v>
      </c>
      <c r="K277">
        <v>80</v>
      </c>
      <c r="L277">
        <v>65</v>
      </c>
      <c r="M277" t="s">
        <v>639</v>
      </c>
      <c r="N277" t="s">
        <v>298</v>
      </c>
      <c r="O277" t="s">
        <v>299</v>
      </c>
      <c r="P277">
        <f t="shared" si="212"/>
        <v>9.65</v>
      </c>
      <c r="Q277">
        <f t="shared" si="213"/>
        <v>8.1999999999999993</v>
      </c>
      <c r="R277">
        <v>0</v>
      </c>
      <c r="S277">
        <v>1</v>
      </c>
      <c r="T277">
        <f t="shared" si="214"/>
        <v>10</v>
      </c>
      <c r="U277">
        <f t="shared" si="215"/>
        <v>9</v>
      </c>
      <c r="V277">
        <f t="shared" si="216"/>
        <v>19</v>
      </c>
      <c r="W277" t="str">
        <f t="shared" si="227"/>
        <v>bug</v>
      </c>
      <c r="X277" t="str">
        <f>IF(F277 = 0, "", F277)</f>
        <v>steel</v>
      </c>
      <c r="Y277" t="s">
        <v>5</v>
      </c>
      <c r="Z277" t="s">
        <v>8</v>
      </c>
      <c r="AB277" t="str">
        <f t="shared" si="226"/>
        <v/>
      </c>
      <c r="AC277" t="s">
        <v>641</v>
      </c>
      <c r="AD277" t="str">
        <f>VLOOKUP(AC277,moves!A:B,2,FALSE)</f>
        <v>steel</v>
      </c>
      <c r="AE277">
        <f>VLOOKUP(AC277,moves!A:D,4,FALSE)</f>
        <v>2</v>
      </c>
      <c r="AF277" t="str">
        <f>IF(VLOOKUP(AC277,moves!A:F,5,FALSE)=0, "", VLOOKUP(AC277,moves!A:F,5,FALSE))</f>
        <v>agile</v>
      </c>
      <c r="AG277" t="str">
        <f>VLOOKUP(AC277,moves!A:F,6,FALSE)</f>
        <v>[status_symbol]s deal -1 damage.</v>
      </c>
      <c r="AH277">
        <v>0</v>
      </c>
      <c r="AI277">
        <v>0</v>
      </c>
      <c r="AJ277" t="str" cm="1">
        <f t="array" ref="AJ277">_xlfn.IFS(AH277=1, "starter", AI277=1, "legendary",V277&lt; 13, "weak",V277&lt; 17, "moderate", TRUE, "strong")</f>
        <v>strong</v>
      </c>
      <c r="AL277">
        <v>2</v>
      </c>
      <c r="AM277">
        <v>0</v>
      </c>
    </row>
    <row r="278" spans="1:39" x14ac:dyDescent="0.25">
      <c r="A278">
        <v>100</v>
      </c>
      <c r="B278" t="s">
        <v>645</v>
      </c>
      <c r="C278" t="str">
        <f t="shared" si="228"/>
        <v>Voltorb</v>
      </c>
      <c r="E278" t="s">
        <v>11</v>
      </c>
      <c r="G278">
        <v>40</v>
      </c>
      <c r="H278">
        <v>30</v>
      </c>
      <c r="I278">
        <v>50</v>
      </c>
      <c r="J278">
        <v>55</v>
      </c>
      <c r="K278">
        <v>55</v>
      </c>
      <c r="L278">
        <v>100</v>
      </c>
      <c r="M278" t="s">
        <v>647</v>
      </c>
      <c r="N278" t="s">
        <v>301</v>
      </c>
      <c r="O278" t="s">
        <v>300</v>
      </c>
      <c r="P278">
        <f t="shared" si="212"/>
        <v>7.05</v>
      </c>
      <c r="Q278">
        <f t="shared" si="213"/>
        <v>4.75</v>
      </c>
      <c r="R278">
        <v>0</v>
      </c>
      <c r="S278">
        <v>0</v>
      </c>
      <c r="T278">
        <f t="shared" si="214"/>
        <v>7</v>
      </c>
      <c r="U278">
        <f t="shared" si="215"/>
        <v>5</v>
      </c>
      <c r="V278">
        <f t="shared" si="216"/>
        <v>12</v>
      </c>
      <c r="W278" t="str">
        <f t="shared" si="227"/>
        <v>electric</v>
      </c>
      <c r="X278" t="s">
        <v>8</v>
      </c>
      <c r="Y278" t="s">
        <v>33</v>
      </c>
      <c r="Z278" t="s">
        <v>39</v>
      </c>
      <c r="AA278" t="s">
        <v>646</v>
      </c>
      <c r="AB278">
        <f t="shared" si="226"/>
        <v>8</v>
      </c>
      <c r="AC278" t="s">
        <v>648</v>
      </c>
      <c r="AD278" t="str">
        <f>VLOOKUP(AC278,moves!A:B,2,FALSE)</f>
        <v>electric</v>
      </c>
      <c r="AE278" t="str">
        <f>VLOOKUP(AC278,moves!A:D,4,FALSE)</f>
        <v/>
      </c>
      <c r="AF278" t="str">
        <f>IF(VLOOKUP(AC278,moves!A:F,5,FALSE)=0, "", VLOOKUP(AC278,moves!A:F,5,FALSE))</f>
        <v>dynamic</v>
      </c>
      <c r="AG278" t="str">
        <f>VLOOKUP(AC278,moves!A:F,6,FALSE)</f>
        <v>Attack Strength is equal to half the Initiative of the user, rounded down.</v>
      </c>
      <c r="AH278">
        <v>0</v>
      </c>
      <c r="AI278">
        <v>0</v>
      </c>
      <c r="AJ278" t="str" cm="1">
        <f t="array" ref="AJ278">_xlfn.IFS(AH278=1, "starter", AI278=1, "legendary",V278&lt; 13, "weak",V278&lt; 17, "moderate", TRUE, "strong")</f>
        <v>weak</v>
      </c>
      <c r="AL278">
        <v>1</v>
      </c>
      <c r="AM278">
        <v>0</v>
      </c>
    </row>
    <row r="279" spans="1:39" x14ac:dyDescent="0.25">
      <c r="A279">
        <v>101</v>
      </c>
      <c r="B279" t="s">
        <v>646</v>
      </c>
      <c r="C279" t="str">
        <f t="shared" si="228"/>
        <v>Electrode</v>
      </c>
      <c r="E279" t="s">
        <v>11</v>
      </c>
      <c r="G279">
        <v>60</v>
      </c>
      <c r="H279">
        <v>50</v>
      </c>
      <c r="I279">
        <v>70</v>
      </c>
      <c r="J279">
        <v>80</v>
      </c>
      <c r="K279">
        <v>80</v>
      </c>
      <c r="L279">
        <v>150</v>
      </c>
      <c r="M279" t="s">
        <v>647</v>
      </c>
      <c r="N279" t="s">
        <v>301</v>
      </c>
      <c r="O279" t="s">
        <v>300</v>
      </c>
      <c r="P279">
        <f t="shared" si="212"/>
        <v>10.5</v>
      </c>
      <c r="Q279">
        <f t="shared" si="213"/>
        <v>6.9</v>
      </c>
      <c r="R279">
        <v>0</v>
      </c>
      <c r="S279">
        <v>0</v>
      </c>
      <c r="T279">
        <f t="shared" si="214"/>
        <v>11</v>
      </c>
      <c r="U279">
        <f t="shared" si="215"/>
        <v>7</v>
      </c>
      <c r="V279">
        <f t="shared" si="216"/>
        <v>18</v>
      </c>
      <c r="W279" t="str">
        <f t="shared" si="227"/>
        <v>electric</v>
      </c>
      <c r="X279" t="s">
        <v>8</v>
      </c>
      <c r="Y279" t="s">
        <v>33</v>
      </c>
      <c r="Z279" t="s">
        <v>39</v>
      </c>
      <c r="AB279" t="str">
        <f t="shared" si="226"/>
        <v/>
      </c>
      <c r="AC279" t="s">
        <v>516</v>
      </c>
      <c r="AD279" t="str">
        <f>VLOOKUP(AC279,moves!A:B,2,FALSE)</f>
        <v>normal</v>
      </c>
      <c r="AE279">
        <f>VLOOKUP(AC279,moves!A:D,4,FALSE)</f>
        <v>8</v>
      </c>
      <c r="AF279" t="str">
        <f>IF(VLOOKUP(AC279,moves!A:F,5,FALSE)=0, "", VLOOKUP(AC279,moves!A:F,5,FALSE))</f>
        <v>surge</v>
      </c>
      <c r="AG279" t="str">
        <f>VLOOKUP(AC279,moves!A:F,6,FALSE)</f>
        <v>The user takes 4 damage.</v>
      </c>
      <c r="AH279">
        <v>0</v>
      </c>
      <c r="AI279">
        <v>0</v>
      </c>
      <c r="AJ279" t="str" cm="1">
        <f t="array" ref="AJ279">_xlfn.IFS(AH279=1, "starter", AI279=1, "legendary",V279&lt; 13, "weak",V279&lt; 17, "moderate", TRUE, "strong")</f>
        <v>strong</v>
      </c>
      <c r="AL279">
        <v>2</v>
      </c>
      <c r="AM279">
        <v>0</v>
      </c>
    </row>
    <row r="280" spans="1:39" x14ac:dyDescent="0.25">
      <c r="A280">
        <v>570</v>
      </c>
      <c r="B280" t="s">
        <v>650</v>
      </c>
      <c r="C280" t="str">
        <f t="shared" si="228"/>
        <v>Zorua</v>
      </c>
      <c r="E280" t="s">
        <v>9</v>
      </c>
      <c r="G280">
        <v>40</v>
      </c>
      <c r="H280">
        <v>65</v>
      </c>
      <c r="I280">
        <v>40</v>
      </c>
      <c r="J280">
        <v>80</v>
      </c>
      <c r="K280">
        <v>40</v>
      </c>
      <c r="L280">
        <v>65</v>
      </c>
      <c r="M280" t="s">
        <v>652</v>
      </c>
      <c r="N280" t="s">
        <v>304</v>
      </c>
      <c r="O280" t="s">
        <v>299</v>
      </c>
      <c r="P280">
        <f t="shared" si="212"/>
        <v>7.25</v>
      </c>
      <c r="Q280">
        <f t="shared" si="213"/>
        <v>4</v>
      </c>
      <c r="R280">
        <v>0</v>
      </c>
      <c r="S280">
        <v>0</v>
      </c>
      <c r="T280">
        <f t="shared" si="214"/>
        <v>7</v>
      </c>
      <c r="U280">
        <f t="shared" si="215"/>
        <v>4</v>
      </c>
      <c r="V280">
        <f t="shared" si="216"/>
        <v>11</v>
      </c>
      <c r="W280" t="str">
        <f t="shared" si="227"/>
        <v>dark</v>
      </c>
      <c r="X280" t="s">
        <v>8</v>
      </c>
      <c r="Y280" t="s">
        <v>42</v>
      </c>
      <c r="Z280" t="s">
        <v>22</v>
      </c>
      <c r="AA280" t="s">
        <v>651</v>
      </c>
      <c r="AB280">
        <f t="shared" si="226"/>
        <v>7</v>
      </c>
      <c r="AC280" t="s">
        <v>803</v>
      </c>
      <c r="AD280" t="str">
        <f>VLOOKUP(AC280,moves!A:B,2,FALSE)</f>
        <v>dark</v>
      </c>
      <c r="AE280">
        <f>VLOOKUP(AC280,moves!A:D,4,FALSE)</f>
        <v>1</v>
      </c>
      <c r="AF280" t="str">
        <f>IF(VLOOKUP(AC280,moves!A:F,5,FALSE)=0, "", VLOOKUP(AC280,moves!A:F,5,FALSE))</f>
        <v>dynamic</v>
      </c>
      <c r="AG280" t="str">
        <f>VLOOKUP(AC280,moves!A:F,6,FALSE)</f>
        <v>Copy the Attack Strength of a Move the target knows.</v>
      </c>
      <c r="AH280">
        <v>0</v>
      </c>
      <c r="AI280">
        <v>0</v>
      </c>
      <c r="AJ280" t="str" cm="1">
        <f t="array" ref="AJ280">_xlfn.IFS(AH280=1, "starter", AI280=1, "legendary",V280&lt; 13, "weak",V280&lt; 17, "moderate", TRUE, "strong")</f>
        <v>weak</v>
      </c>
      <c r="AL280">
        <v>1</v>
      </c>
      <c r="AM280">
        <v>0</v>
      </c>
    </row>
    <row r="281" spans="1:39" x14ac:dyDescent="0.25">
      <c r="A281">
        <v>571</v>
      </c>
      <c r="B281" t="s">
        <v>651</v>
      </c>
      <c r="C281" t="str">
        <f t="shared" si="228"/>
        <v>Zoroark</v>
      </c>
      <c r="E281" t="s">
        <v>9</v>
      </c>
      <c r="G281">
        <v>60</v>
      </c>
      <c r="H281">
        <v>105</v>
      </c>
      <c r="I281">
        <v>60</v>
      </c>
      <c r="J281">
        <v>120</v>
      </c>
      <c r="K281">
        <v>60</v>
      </c>
      <c r="L281">
        <v>105</v>
      </c>
      <c r="M281" t="s">
        <v>653</v>
      </c>
      <c r="N281" t="s">
        <v>304</v>
      </c>
      <c r="O281" t="s">
        <v>299</v>
      </c>
      <c r="P281">
        <f t="shared" si="212"/>
        <v>11.25</v>
      </c>
      <c r="Q281">
        <f t="shared" si="213"/>
        <v>6</v>
      </c>
      <c r="R281">
        <v>0</v>
      </c>
      <c r="S281">
        <v>0</v>
      </c>
      <c r="T281">
        <f t="shared" si="214"/>
        <v>11</v>
      </c>
      <c r="U281">
        <f t="shared" si="215"/>
        <v>6</v>
      </c>
      <c r="V281">
        <f t="shared" si="216"/>
        <v>17</v>
      </c>
      <c r="W281" t="str">
        <f t="shared" si="227"/>
        <v>dark</v>
      </c>
      <c r="X281" t="s">
        <v>8</v>
      </c>
      <c r="Y281" t="s">
        <v>42</v>
      </c>
      <c r="Z281" t="s">
        <v>22</v>
      </c>
      <c r="AB281" t="str">
        <f t="shared" si="226"/>
        <v/>
      </c>
      <c r="AC281" t="s">
        <v>1248</v>
      </c>
      <c r="AD281" t="str">
        <f>VLOOKUP(AC281,moves!A:B,2,FALSE)</f>
        <v>dark</v>
      </c>
      <c r="AE281">
        <f>VLOOKUP(AC281,moves!A:D,4,FALSE)</f>
        <v>4</v>
      </c>
      <c r="AF281" t="str">
        <f>IF(VLOOKUP(AC281,moves!A:F,5,FALSE)=0, "", VLOOKUP(AC281,moves!A:F,5,FALSE))</f>
        <v>switch</v>
      </c>
      <c r="AG281" t="str">
        <f>VLOOKUP(AC281,moves!A:F,6,FALSE)</f>
        <v>This Move can be used from your party, the user is switched in immediately.</v>
      </c>
      <c r="AH281">
        <v>0</v>
      </c>
      <c r="AI281">
        <v>0</v>
      </c>
      <c r="AJ281" t="str" cm="1">
        <f t="array" ref="AJ281">_xlfn.IFS(AH281=1, "starter", AI281=1, "legendary",V281&lt; 13, "weak",V281&lt; 17, "moderate", TRUE, "strong")</f>
        <v>strong</v>
      </c>
      <c r="AL281">
        <v>2</v>
      </c>
      <c r="AM281">
        <v>0</v>
      </c>
    </row>
    <row r="282" spans="1:39" x14ac:dyDescent="0.25">
      <c r="A282">
        <v>627</v>
      </c>
      <c r="B282" t="s">
        <v>654</v>
      </c>
      <c r="C282" t="str">
        <f t="shared" si="228"/>
        <v>Rufflet</v>
      </c>
      <c r="E282" t="s">
        <v>8</v>
      </c>
      <c r="F282" t="s">
        <v>5</v>
      </c>
      <c r="G282">
        <v>70</v>
      </c>
      <c r="H282">
        <v>83</v>
      </c>
      <c r="I282">
        <v>50</v>
      </c>
      <c r="J282">
        <v>37</v>
      </c>
      <c r="K282">
        <v>50</v>
      </c>
      <c r="L282">
        <v>60</v>
      </c>
      <c r="M282" t="s">
        <v>656</v>
      </c>
      <c r="N282" t="s">
        <v>304</v>
      </c>
      <c r="O282" t="s">
        <v>299</v>
      </c>
      <c r="P282">
        <f t="shared" si="212"/>
        <v>6.92</v>
      </c>
      <c r="Q282">
        <f t="shared" si="213"/>
        <v>5.8</v>
      </c>
      <c r="R282">
        <v>0</v>
      </c>
      <c r="S282">
        <v>0</v>
      </c>
      <c r="T282">
        <f t="shared" si="214"/>
        <v>7</v>
      </c>
      <c r="U282">
        <f t="shared" si="215"/>
        <v>6</v>
      </c>
      <c r="V282">
        <f t="shared" si="216"/>
        <v>13</v>
      </c>
      <c r="W282" t="str">
        <f t="shared" si="227"/>
        <v>normal</v>
      </c>
      <c r="X282" t="str">
        <f>IF(F282 = 0, "", F282)</f>
        <v>flying</v>
      </c>
      <c r="Y282" t="s">
        <v>22</v>
      </c>
      <c r="Z282" t="s">
        <v>26</v>
      </c>
      <c r="AA282" t="s">
        <v>655</v>
      </c>
      <c r="AB282">
        <f t="shared" si="226"/>
        <v>9</v>
      </c>
      <c r="AC282" t="s">
        <v>494</v>
      </c>
      <c r="AD282" t="str">
        <f>VLOOKUP(AC282,moves!A:B,2,FALSE)</f>
        <v>flying</v>
      </c>
      <c r="AE282">
        <f>VLOOKUP(AC282,moves!A:D,4,FALSE)</f>
        <v>3</v>
      </c>
      <c r="AF282" t="str">
        <f>IF(VLOOKUP(AC282,moves!A:F,5,FALSE)=0, "", VLOOKUP(AC282,moves!A:F,5,FALSE))</f>
        <v/>
      </c>
      <c r="AG282" t="str">
        <f>VLOOKUP(AC282,moves!A:F,6,FALSE)</f>
        <v>When the target next attacks, remove 1 [regular_hit] from the roll.</v>
      </c>
      <c r="AH282">
        <v>0</v>
      </c>
      <c r="AI282">
        <v>0</v>
      </c>
      <c r="AJ282" t="str" cm="1">
        <f t="array" ref="AJ282">_xlfn.IFS(AH282=1, "starter", AI282=1, "legendary",V282&lt; 13, "weak",V282&lt; 17, "moderate", TRUE, "strong")</f>
        <v>moderate</v>
      </c>
      <c r="AL282">
        <v>1</v>
      </c>
      <c r="AM282">
        <v>0</v>
      </c>
    </row>
    <row r="283" spans="1:39" x14ac:dyDescent="0.25">
      <c r="A283">
        <v>628</v>
      </c>
      <c r="B283" t="s">
        <v>655</v>
      </c>
      <c r="C283" t="str">
        <f t="shared" si="228"/>
        <v>Braviary</v>
      </c>
      <c r="E283" t="s">
        <v>8</v>
      </c>
      <c r="F283" t="s">
        <v>5</v>
      </c>
      <c r="G283">
        <v>100</v>
      </c>
      <c r="H283">
        <v>123</v>
      </c>
      <c r="I283">
        <v>75</v>
      </c>
      <c r="J283">
        <v>57</v>
      </c>
      <c r="K283">
        <v>75</v>
      </c>
      <c r="L283">
        <v>80</v>
      </c>
      <c r="M283" t="s">
        <v>657</v>
      </c>
      <c r="N283" t="s">
        <v>304</v>
      </c>
      <c r="O283" t="s">
        <v>299</v>
      </c>
      <c r="P283">
        <f t="shared" si="212"/>
        <v>9.92</v>
      </c>
      <c r="Q283">
        <f t="shared" si="213"/>
        <v>8.5</v>
      </c>
      <c r="R283">
        <v>0</v>
      </c>
      <c r="S283">
        <v>0</v>
      </c>
      <c r="T283">
        <f t="shared" si="214"/>
        <v>10</v>
      </c>
      <c r="U283">
        <f t="shared" si="215"/>
        <v>9</v>
      </c>
      <c r="V283">
        <f t="shared" si="216"/>
        <v>19</v>
      </c>
      <c r="W283" t="str">
        <f t="shared" si="227"/>
        <v>normal</v>
      </c>
      <c r="X283" t="str">
        <f>IF(F283 = 0, "", F283)</f>
        <v>flying</v>
      </c>
      <c r="Y283" t="s">
        <v>22</v>
      </c>
      <c r="Z283" t="s">
        <v>26</v>
      </c>
      <c r="AB283" t="str">
        <f t="shared" si="226"/>
        <v/>
      </c>
      <c r="AC283" t="s">
        <v>658</v>
      </c>
      <c r="AD283" t="str">
        <f>VLOOKUP(AC283,moves!A:B,2,FALSE)</f>
        <v>flying</v>
      </c>
      <c r="AE283">
        <f>VLOOKUP(AC283,moves!A:D,4,FALSE)</f>
        <v>5</v>
      </c>
      <c r="AF283" t="str">
        <f>IF(VLOOKUP(AC283,moves!A:F,5,FALSE)=0, "", VLOOKUP(AC283,moves!A:F,5,FALSE))</f>
        <v/>
      </c>
      <c r="AG283" t="str">
        <f>VLOOKUP(AC283,moves!A:F,6,FALSE)</f>
        <v>[critical_hit]s deal +2 damage but for each [critical_hit] rolled: The user takes 2 damage.</v>
      </c>
      <c r="AH283">
        <v>0</v>
      </c>
      <c r="AI283">
        <v>0</v>
      </c>
      <c r="AJ283" t="str" cm="1">
        <f t="array" ref="AJ283">_xlfn.IFS(AH283=1, "starter", AI283=1, "legendary",V283&lt; 13, "weak",V283&lt; 17, "moderate", TRUE, "strong")</f>
        <v>strong</v>
      </c>
      <c r="AL283">
        <v>2</v>
      </c>
      <c r="AM283">
        <v>0</v>
      </c>
    </row>
    <row r="284" spans="1:39" x14ac:dyDescent="0.25">
      <c r="A284">
        <v>778</v>
      </c>
      <c r="B284" t="s">
        <v>659</v>
      </c>
      <c r="C284" t="str">
        <f t="shared" si="228"/>
        <v>Mimikyu</v>
      </c>
      <c r="E284" t="s">
        <v>42</v>
      </c>
      <c r="F284" t="s">
        <v>16</v>
      </c>
      <c r="G284">
        <v>55</v>
      </c>
      <c r="H284">
        <v>90</v>
      </c>
      <c r="I284">
        <v>80</v>
      </c>
      <c r="J284">
        <v>50</v>
      </c>
      <c r="K284">
        <v>105</v>
      </c>
      <c r="L284">
        <v>96</v>
      </c>
      <c r="M284" t="s">
        <v>660</v>
      </c>
      <c r="N284" t="s">
        <v>301</v>
      </c>
      <c r="O284" t="s">
        <v>299</v>
      </c>
      <c r="P284">
        <f t="shared" si="212"/>
        <v>8.84</v>
      </c>
      <c r="Q284">
        <f t="shared" si="213"/>
        <v>7.75</v>
      </c>
      <c r="R284">
        <v>0</v>
      </c>
      <c r="S284">
        <v>0</v>
      </c>
      <c r="T284">
        <f t="shared" si="214"/>
        <v>9</v>
      </c>
      <c r="U284">
        <f t="shared" si="215"/>
        <v>8</v>
      </c>
      <c r="V284">
        <f t="shared" si="216"/>
        <v>17</v>
      </c>
      <c r="W284" t="str">
        <f t="shared" si="227"/>
        <v>ghost</v>
      </c>
      <c r="X284" t="str">
        <f>IF(F284 = 0, "", F284)</f>
        <v>fairy</v>
      </c>
      <c r="Y284" t="s">
        <v>2</v>
      </c>
      <c r="Z284" t="s">
        <v>8</v>
      </c>
      <c r="AB284" t="str">
        <f t="shared" si="226"/>
        <v/>
      </c>
      <c r="AC284" t="s">
        <v>1193</v>
      </c>
      <c r="AD284" t="str">
        <f>VLOOKUP(AC284,moves!A:B,2,FALSE)</f>
        <v>ghost</v>
      </c>
      <c r="AE284">
        <f>VLOOKUP(AC284,moves!A:D,4,FALSE)</f>
        <v>4</v>
      </c>
      <c r="AF284" t="str">
        <f>IF(VLOOKUP(AC284,moves!A:F,5,FALSE)=0, "", VLOOKUP(AC284,moves!A:F,5,FALSE))</f>
        <v>surge</v>
      </c>
      <c r="AG284" t="str">
        <f>VLOOKUP(AC284,moves!A:F,6,FALSE)</f>
        <v>When the user is next attacked, take at most 1 damage.</v>
      </c>
      <c r="AH284">
        <v>0</v>
      </c>
      <c r="AI284">
        <v>0</v>
      </c>
      <c r="AJ284" t="str" cm="1">
        <f t="array" ref="AJ284">_xlfn.IFS(AH284=1, "starter", AI284=1, "legendary",V284&lt; 13, "weak",V284&lt; 17, "moderate", TRUE, "strong")</f>
        <v>strong</v>
      </c>
      <c r="AL284">
        <v>1</v>
      </c>
      <c r="AM284">
        <v>0</v>
      </c>
    </row>
    <row r="285" spans="1:39" x14ac:dyDescent="0.25">
      <c r="A285">
        <v>615</v>
      </c>
      <c r="B285" t="s">
        <v>663</v>
      </c>
      <c r="C285" t="str">
        <f t="shared" si="228"/>
        <v>Cryogonal</v>
      </c>
      <c r="E285" t="s">
        <v>14</v>
      </c>
      <c r="G285">
        <v>80</v>
      </c>
      <c r="H285">
        <v>50</v>
      </c>
      <c r="I285">
        <v>50</v>
      </c>
      <c r="J285">
        <v>95</v>
      </c>
      <c r="K285">
        <v>135</v>
      </c>
      <c r="L285">
        <v>105</v>
      </c>
      <c r="M285" t="s">
        <v>662</v>
      </c>
      <c r="N285" t="s">
        <v>301</v>
      </c>
      <c r="O285" t="s">
        <v>299</v>
      </c>
      <c r="P285">
        <f t="shared" si="212"/>
        <v>9.4499999999999993</v>
      </c>
      <c r="Q285">
        <f t="shared" si="213"/>
        <v>8.75</v>
      </c>
      <c r="R285">
        <v>0</v>
      </c>
      <c r="S285">
        <v>0</v>
      </c>
      <c r="T285">
        <f t="shared" si="214"/>
        <v>9</v>
      </c>
      <c r="U285">
        <f t="shared" si="215"/>
        <v>9</v>
      </c>
      <c r="V285">
        <f t="shared" si="216"/>
        <v>18</v>
      </c>
      <c r="W285" t="str">
        <f t="shared" si="227"/>
        <v>ice</v>
      </c>
      <c r="X285" t="s">
        <v>33</v>
      </c>
      <c r="Y285" t="s">
        <v>9</v>
      </c>
      <c r="Z285" t="s">
        <v>2</v>
      </c>
      <c r="AB285" t="str">
        <f t="shared" si="226"/>
        <v/>
      </c>
      <c r="AC285" t="s">
        <v>569</v>
      </c>
      <c r="AD285" t="str">
        <f>VLOOKUP(AC285,moves!A:B,2,FALSE)</f>
        <v>ice</v>
      </c>
      <c r="AE285">
        <f>VLOOKUP(AC285,moves!A:D,4,FALSE)</f>
        <v>6</v>
      </c>
      <c r="AF285" t="str">
        <f>IF(VLOOKUP(AC285,moves!A:F,5,FALSE)=0, "", VLOOKUP(AC285,moves!A:F,5,FALSE))</f>
        <v/>
      </c>
      <c r="AG285" t="str">
        <f>VLOOKUP(AC285,moves!A:F,6,FALSE)</f>
        <v>If the target has 3 or less Health remaining after this attack, the target faints. [status_symbol]s deal -2 damage.</v>
      </c>
      <c r="AH285">
        <v>0</v>
      </c>
      <c r="AI285">
        <v>0</v>
      </c>
      <c r="AJ285" t="str" cm="1">
        <f t="array" ref="AJ285">_xlfn.IFS(AH285=1, "starter", AI285=1, "legendary",V285&lt; 13, "weak",V285&lt; 17, "moderate", TRUE, "strong")</f>
        <v>strong</v>
      </c>
      <c r="AL285">
        <v>1</v>
      </c>
      <c r="AM285">
        <v>0</v>
      </c>
    </row>
    <row r="286" spans="1:39" x14ac:dyDescent="0.25">
      <c r="A286">
        <v>712</v>
      </c>
      <c r="B286" t="s">
        <v>665</v>
      </c>
      <c r="C286" t="str">
        <f t="shared" si="228"/>
        <v>Bergmite</v>
      </c>
      <c r="E286" t="s">
        <v>14</v>
      </c>
      <c r="G286">
        <v>55</v>
      </c>
      <c r="H286">
        <v>69</v>
      </c>
      <c r="I286">
        <v>85</v>
      </c>
      <c r="J286">
        <v>32</v>
      </c>
      <c r="K286">
        <v>35</v>
      </c>
      <c r="L286">
        <v>28</v>
      </c>
      <c r="M286" t="s">
        <v>664</v>
      </c>
      <c r="N286" t="s">
        <v>303</v>
      </c>
      <c r="O286" t="s">
        <v>299</v>
      </c>
      <c r="P286">
        <f t="shared" si="212"/>
        <v>4.8900000000000006</v>
      </c>
      <c r="Q286">
        <f t="shared" si="213"/>
        <v>5.8</v>
      </c>
      <c r="R286">
        <v>0</v>
      </c>
      <c r="S286">
        <v>0</v>
      </c>
      <c r="T286">
        <f t="shared" si="214"/>
        <v>5</v>
      </c>
      <c r="U286">
        <f t="shared" si="215"/>
        <v>6</v>
      </c>
      <c r="V286">
        <f t="shared" si="216"/>
        <v>11</v>
      </c>
      <c r="W286" t="str">
        <f t="shared" si="227"/>
        <v>ice</v>
      </c>
      <c r="X286" t="s">
        <v>8</v>
      </c>
      <c r="Y286" t="s">
        <v>33</v>
      </c>
      <c r="Z286" t="s">
        <v>9</v>
      </c>
      <c r="AA286" t="s">
        <v>666</v>
      </c>
      <c r="AB286">
        <f t="shared" si="226"/>
        <v>8</v>
      </c>
      <c r="AC286" t="s">
        <v>667</v>
      </c>
      <c r="AD286" t="str">
        <f>VLOOKUP(AC286,moves!A:B,2,FALSE)</f>
        <v>ice</v>
      </c>
      <c r="AE286">
        <f>VLOOKUP(AC286,moves!A:D,4,FALSE)</f>
        <v>1</v>
      </c>
      <c r="AF286" t="str">
        <f>IF(VLOOKUP(AC286,moves!A:F,5,FALSE)=0, "", VLOOKUP(AC286,moves!A:F,5,FALSE))</f>
        <v/>
      </c>
      <c r="AG286" t="str">
        <f>VLOOKUP(AC286,moves!A:F,6,FALSE)</f>
        <v>Inflict both the [frozen] and [paralysed] statuses on the target.</v>
      </c>
      <c r="AH286">
        <v>0</v>
      </c>
      <c r="AI286">
        <v>0</v>
      </c>
      <c r="AJ286" t="str" cm="1">
        <f t="array" ref="AJ286">_xlfn.IFS(AH286=1, "starter", AI286=1, "legendary",V286&lt; 13, "weak",V286&lt; 17, "moderate", TRUE, "strong")</f>
        <v>weak</v>
      </c>
      <c r="AL286">
        <v>1</v>
      </c>
      <c r="AM286">
        <v>0</v>
      </c>
    </row>
    <row r="287" spans="1:39" x14ac:dyDescent="0.25">
      <c r="A287">
        <v>713</v>
      </c>
      <c r="B287" t="s">
        <v>666</v>
      </c>
      <c r="C287" t="str">
        <f t="shared" si="228"/>
        <v>Avalugg</v>
      </c>
      <c r="E287" t="s">
        <v>14</v>
      </c>
      <c r="G287">
        <v>95</v>
      </c>
      <c r="H287">
        <v>117</v>
      </c>
      <c r="I287">
        <v>184</v>
      </c>
      <c r="J287">
        <v>44</v>
      </c>
      <c r="K287">
        <v>46</v>
      </c>
      <c r="L287">
        <v>28</v>
      </c>
      <c r="M287" t="s">
        <v>445</v>
      </c>
      <c r="N287" t="s">
        <v>303</v>
      </c>
      <c r="O287" t="s">
        <v>299</v>
      </c>
      <c r="P287">
        <f t="shared" si="212"/>
        <v>7.410000000000001</v>
      </c>
      <c r="Q287">
        <f t="shared" si="213"/>
        <v>10.7</v>
      </c>
      <c r="R287">
        <v>0</v>
      </c>
      <c r="S287">
        <v>0</v>
      </c>
      <c r="T287">
        <f t="shared" si="214"/>
        <v>7</v>
      </c>
      <c r="U287">
        <f t="shared" si="215"/>
        <v>11</v>
      </c>
      <c r="V287">
        <f t="shared" si="216"/>
        <v>18</v>
      </c>
      <c r="W287" t="str">
        <f t="shared" si="227"/>
        <v>ice</v>
      </c>
      <c r="X287" t="s">
        <v>8</v>
      </c>
      <c r="Y287" t="s">
        <v>33</v>
      </c>
      <c r="Z287" t="s">
        <v>9</v>
      </c>
      <c r="AB287" t="str">
        <f t="shared" si="226"/>
        <v/>
      </c>
      <c r="AC287" t="s">
        <v>1079</v>
      </c>
      <c r="AD287" t="str">
        <f>VLOOKUP(AC287,moves!A:B,2,FALSE)</f>
        <v>ice</v>
      </c>
      <c r="AE287">
        <f>VLOOKUP(AC287,moves!A:D,4,FALSE)</f>
        <v>5</v>
      </c>
      <c r="AF287" t="str">
        <f>IF(VLOOKUP(AC287,moves!A:F,5,FALSE)=0, "", VLOOKUP(AC287,moves!A:F,5,FALSE))</f>
        <v/>
      </c>
      <c r="AG287" t="str">
        <f>VLOOKUP(AC287,moves!A:F,6,FALSE)</f>
        <v>[critical_hit]s deal +1 damage but [status_symbol]s deal -1 damage.</v>
      </c>
      <c r="AH287">
        <v>0</v>
      </c>
      <c r="AI287">
        <v>0</v>
      </c>
      <c r="AJ287" t="str" cm="1">
        <f t="array" ref="AJ287">_xlfn.IFS(AH287=1, "starter", AI287=1, "legendary",V287&lt; 13, "weak",V287&lt; 17, "moderate", TRUE, "strong")</f>
        <v>strong</v>
      </c>
      <c r="AL287">
        <v>2</v>
      </c>
      <c r="AM287">
        <v>0</v>
      </c>
    </row>
    <row r="288" spans="1:39" x14ac:dyDescent="0.25">
      <c r="A288">
        <v>781</v>
      </c>
      <c r="B288" t="s">
        <v>671</v>
      </c>
      <c r="C288" t="str">
        <f t="shared" si="228"/>
        <v>Dhelmise</v>
      </c>
      <c r="E288" t="s">
        <v>42</v>
      </c>
      <c r="F288" t="s">
        <v>2</v>
      </c>
      <c r="G288">
        <v>70</v>
      </c>
      <c r="H288">
        <v>131</v>
      </c>
      <c r="I288">
        <v>100</v>
      </c>
      <c r="J288">
        <v>86</v>
      </c>
      <c r="K288">
        <v>90</v>
      </c>
      <c r="L288">
        <v>40</v>
      </c>
      <c r="M288" t="s">
        <v>672</v>
      </c>
      <c r="N288" t="s">
        <v>303</v>
      </c>
      <c r="O288" t="s">
        <v>302</v>
      </c>
      <c r="P288">
        <f t="shared" si="212"/>
        <v>9.01</v>
      </c>
      <c r="Q288">
        <f t="shared" si="213"/>
        <v>8.5</v>
      </c>
      <c r="R288">
        <v>0</v>
      </c>
      <c r="S288">
        <v>0</v>
      </c>
      <c r="T288">
        <f t="shared" si="214"/>
        <v>9</v>
      </c>
      <c r="U288">
        <f t="shared" si="215"/>
        <v>9</v>
      </c>
      <c r="V288">
        <f t="shared" si="216"/>
        <v>18</v>
      </c>
      <c r="W288" t="str">
        <f t="shared" si="227"/>
        <v>ghost</v>
      </c>
      <c r="X288" t="str">
        <f t="shared" ref="X288:X293" si="229">IF(F288 = 0, "", F288)</f>
        <v>grass</v>
      </c>
      <c r="Y288" t="s">
        <v>39</v>
      </c>
      <c r="Z288" t="s">
        <v>8</v>
      </c>
      <c r="AB288" t="str">
        <f t="shared" si="226"/>
        <v/>
      </c>
      <c r="AC288" t="s">
        <v>673</v>
      </c>
      <c r="AD288" t="str">
        <f>VLOOKUP(AC288,moves!A:B,2,FALSE)</f>
        <v>steel</v>
      </c>
      <c r="AE288">
        <f>VLOOKUP(AC288,moves!A:D,4,FALSE)</f>
        <v>3</v>
      </c>
      <c r="AF288" t="str">
        <f>IF(VLOOKUP(AC288,moves!A:F,5,FALSE)=0, "", VLOOKUP(AC288,moves!A:F,5,FALSE))</f>
        <v/>
      </c>
      <c r="AG288" t="str">
        <f>VLOOKUP(AC288,moves!A:F,6,FALSE)</f>
        <v>Inflict the [paralysed] status on the target. Deals 4 extra damage to [water]-Type Pokémon.</v>
      </c>
      <c r="AH288">
        <v>0</v>
      </c>
      <c r="AI288">
        <v>0</v>
      </c>
      <c r="AJ288" t="str" cm="1">
        <f t="array" ref="AJ288">_xlfn.IFS(AH288=1, "starter", AI288=1, "legendary",V288&lt; 13, "weak",V288&lt; 17, "moderate", TRUE, "strong")</f>
        <v>strong</v>
      </c>
      <c r="AL288">
        <v>1</v>
      </c>
      <c r="AM288">
        <v>0</v>
      </c>
    </row>
    <row r="289" spans="1:40" x14ac:dyDescent="0.25">
      <c r="A289">
        <v>776</v>
      </c>
      <c r="B289" t="s">
        <v>676</v>
      </c>
      <c r="C289" t="str">
        <f t="shared" si="228"/>
        <v>Turtonator</v>
      </c>
      <c r="E289" t="s">
        <v>4</v>
      </c>
      <c r="F289" t="s">
        <v>67</v>
      </c>
      <c r="G289">
        <v>60</v>
      </c>
      <c r="H289">
        <v>78</v>
      </c>
      <c r="I289">
        <v>135</v>
      </c>
      <c r="J289">
        <v>91</v>
      </c>
      <c r="K289">
        <v>85</v>
      </c>
      <c r="L289">
        <v>36</v>
      </c>
      <c r="M289" t="s">
        <v>677</v>
      </c>
      <c r="N289" t="s">
        <v>304</v>
      </c>
      <c r="O289" t="s">
        <v>302</v>
      </c>
      <c r="P289">
        <f t="shared" si="212"/>
        <v>6.7700000000000005</v>
      </c>
      <c r="Q289">
        <f t="shared" si="213"/>
        <v>9</v>
      </c>
      <c r="R289">
        <v>0</v>
      </c>
      <c r="S289">
        <v>0</v>
      </c>
      <c r="T289">
        <f t="shared" si="214"/>
        <v>7</v>
      </c>
      <c r="U289">
        <f t="shared" si="215"/>
        <v>9</v>
      </c>
      <c r="V289">
        <f t="shared" si="216"/>
        <v>16</v>
      </c>
      <c r="W289" t="str">
        <f t="shared" si="227"/>
        <v>fire</v>
      </c>
      <c r="X289" t="str">
        <f t="shared" si="229"/>
        <v>dragon</v>
      </c>
      <c r="Y289" t="s">
        <v>8</v>
      </c>
      <c r="Z289" t="s">
        <v>13</v>
      </c>
      <c r="AB289" t="str">
        <f t="shared" si="226"/>
        <v/>
      </c>
      <c r="AC289" t="s">
        <v>675</v>
      </c>
      <c r="AD289" t="str">
        <f>VLOOKUP(AC289,moves!A:B,2,FALSE)</f>
        <v>fire</v>
      </c>
      <c r="AE289">
        <f>VLOOKUP(AC289,moves!A:D,4,FALSE)</f>
        <v>2</v>
      </c>
      <c r="AF289" t="str">
        <f>IF(VLOOKUP(AC289,moves!A:F,5,FALSE)=0, "", VLOOKUP(AC289,moves!A:F,5,FALSE))</f>
        <v/>
      </c>
      <c r="AG289" t="str">
        <f>VLOOKUP(AC289,moves!A:F,6,FALSE)</f>
        <v>When the user is next attacked, the attacker takes 5 damage if any [critical_hit]s are rolled.</v>
      </c>
      <c r="AH289">
        <v>0</v>
      </c>
      <c r="AI289">
        <v>0</v>
      </c>
      <c r="AJ289" t="str" cm="1">
        <f t="array" ref="AJ289">_xlfn.IFS(AH289=1, "starter", AI289=1, "legendary",V289&lt; 13, "weak",V289&lt; 17, "moderate", TRUE, "strong")</f>
        <v>moderate</v>
      </c>
      <c r="AL289">
        <v>1</v>
      </c>
      <c r="AM289">
        <v>0</v>
      </c>
    </row>
    <row r="290" spans="1:40" x14ac:dyDescent="0.25">
      <c r="A290">
        <v>363</v>
      </c>
      <c r="B290" t="s">
        <v>134</v>
      </c>
      <c r="C290" t="str">
        <f t="shared" si="228"/>
        <v>Spheal</v>
      </c>
      <c r="E290" t="s">
        <v>14</v>
      </c>
      <c r="F290" t="s">
        <v>6</v>
      </c>
      <c r="G290">
        <v>70</v>
      </c>
      <c r="H290">
        <v>40</v>
      </c>
      <c r="I290">
        <v>50</v>
      </c>
      <c r="J290">
        <v>55</v>
      </c>
      <c r="K290">
        <v>50</v>
      </c>
      <c r="L290">
        <v>25</v>
      </c>
      <c r="M290" t="s">
        <v>431</v>
      </c>
      <c r="N290" t="s">
        <v>303</v>
      </c>
      <c r="O290" t="s">
        <v>299</v>
      </c>
      <c r="P290">
        <f t="shared" si="212"/>
        <v>4.1500000000000004</v>
      </c>
      <c r="Q290">
        <f t="shared" si="213"/>
        <v>5.8</v>
      </c>
      <c r="R290">
        <v>0</v>
      </c>
      <c r="S290">
        <v>0</v>
      </c>
      <c r="T290">
        <f t="shared" si="214"/>
        <v>4</v>
      </c>
      <c r="U290">
        <f t="shared" si="215"/>
        <v>6</v>
      </c>
      <c r="V290">
        <f t="shared" si="216"/>
        <v>10</v>
      </c>
      <c r="W290" t="str">
        <f t="shared" si="227"/>
        <v>ice</v>
      </c>
      <c r="X290" t="str">
        <f t="shared" si="229"/>
        <v>water</v>
      </c>
      <c r="Y290" t="s">
        <v>33</v>
      </c>
      <c r="Z290" t="s">
        <v>8</v>
      </c>
      <c r="AA290" t="str">
        <f>B291</f>
        <v>Sealeo</v>
      </c>
      <c r="AB290">
        <f t="shared" si="226"/>
        <v>4</v>
      </c>
      <c r="AC290" t="s">
        <v>532</v>
      </c>
      <c r="AD290" t="str">
        <f>VLOOKUP(AC290,moves!A:B,2,FALSE)</f>
        <v>rock</v>
      </c>
      <c r="AE290">
        <f>VLOOKUP(AC290,moves!A:D,4,FALSE)</f>
        <v>3</v>
      </c>
      <c r="AF290" t="str">
        <f>IF(VLOOKUP(AC290,moves!A:F,5,FALSE)=0, "", VLOOKUP(AC290,moves!A:F,5,FALSE))</f>
        <v>dynamic</v>
      </c>
      <c r="AG290" t="str">
        <f>VLOOKUP(AC290,moves!A:F,6,FALSE)</f>
        <v>Each time this attack is used this battle, Attack Strength is increased by 1.</v>
      </c>
      <c r="AH290">
        <v>1</v>
      </c>
      <c r="AI290">
        <v>0</v>
      </c>
      <c r="AJ290" t="str" cm="1">
        <f t="array" ref="AJ290">_xlfn.IFS(AH290=1, "starter", AI290=1, "legendary",V290&lt; 13, "weak",V290&lt; 17, "moderate", TRUE, "strong")</f>
        <v>starter</v>
      </c>
      <c r="AL290">
        <v>1</v>
      </c>
      <c r="AM290">
        <v>0</v>
      </c>
    </row>
    <row r="291" spans="1:40" x14ac:dyDescent="0.25">
      <c r="A291">
        <v>364</v>
      </c>
      <c r="B291" t="s">
        <v>135</v>
      </c>
      <c r="C291" t="str">
        <f t="shared" si="228"/>
        <v>Sealeo</v>
      </c>
      <c r="E291" t="s">
        <v>14</v>
      </c>
      <c r="F291" t="s">
        <v>6</v>
      </c>
      <c r="G291">
        <v>90</v>
      </c>
      <c r="H291">
        <v>60</v>
      </c>
      <c r="I291">
        <v>70</v>
      </c>
      <c r="J291">
        <v>75</v>
      </c>
      <c r="K291">
        <v>70</v>
      </c>
      <c r="L291">
        <v>45</v>
      </c>
      <c r="M291" t="s">
        <v>432</v>
      </c>
      <c r="N291" t="s">
        <v>303</v>
      </c>
      <c r="O291" t="s">
        <v>299</v>
      </c>
      <c r="P291">
        <f t="shared" si="212"/>
        <v>6.15</v>
      </c>
      <c r="Q291">
        <f t="shared" si="213"/>
        <v>7.8</v>
      </c>
      <c r="R291">
        <v>0</v>
      </c>
      <c r="S291">
        <v>0</v>
      </c>
      <c r="T291">
        <f t="shared" si="214"/>
        <v>6</v>
      </c>
      <c r="U291">
        <f t="shared" si="215"/>
        <v>8</v>
      </c>
      <c r="V291">
        <f t="shared" si="216"/>
        <v>14</v>
      </c>
      <c r="W291" t="str">
        <f t="shared" si="227"/>
        <v>ice</v>
      </c>
      <c r="X291" t="str">
        <f t="shared" si="229"/>
        <v>water</v>
      </c>
      <c r="Y291" t="s">
        <v>33</v>
      </c>
      <c r="Z291" t="s">
        <v>8</v>
      </c>
      <c r="AA291" t="str">
        <f>B292</f>
        <v>Walrein</v>
      </c>
      <c r="AB291">
        <f t="shared" si="226"/>
        <v>6</v>
      </c>
      <c r="AC291" t="s">
        <v>576</v>
      </c>
      <c r="AD291" t="str">
        <f>VLOOKUP(AC291,moves!A:B,2,FALSE)</f>
        <v>water</v>
      </c>
      <c r="AE291">
        <f>VLOOKUP(AC291,moves!A:D,4,FALSE)</f>
        <v>4</v>
      </c>
      <c r="AF291" t="str">
        <f>IF(VLOOKUP(AC291,moves!A:F,5,FALSE)=0, "", VLOOKUP(AC291,moves!A:F,5,FALSE))</f>
        <v>dynamic</v>
      </c>
      <c r="AG291" t="str">
        <f>VLOOKUP(AC291,moves!A:F,6,FALSE)</f>
        <v>For each other Surf Move in your party: Attack Strength is increased by 1.</v>
      </c>
      <c r="AH291">
        <v>0</v>
      </c>
      <c r="AI291">
        <v>0</v>
      </c>
      <c r="AJ291" t="str" cm="1">
        <f t="array" ref="AJ291">_xlfn.IFS(AH291=1, "starter", AI291=1, "legendary",V291&lt; 13, "weak",V291&lt; 17, "moderate", TRUE, "strong")</f>
        <v>moderate</v>
      </c>
      <c r="AL291">
        <v>2</v>
      </c>
      <c r="AM291">
        <v>0</v>
      </c>
    </row>
    <row r="292" spans="1:40" x14ac:dyDescent="0.25">
      <c r="A292">
        <v>365</v>
      </c>
      <c r="B292" t="s">
        <v>136</v>
      </c>
      <c r="C292" t="str">
        <f t="shared" si="228"/>
        <v>Walrein</v>
      </c>
      <c r="E292" t="s">
        <v>14</v>
      </c>
      <c r="F292" t="s">
        <v>6</v>
      </c>
      <c r="G292">
        <v>110</v>
      </c>
      <c r="H292">
        <v>80</v>
      </c>
      <c r="I292">
        <v>90</v>
      </c>
      <c r="J292">
        <v>95</v>
      </c>
      <c r="K292">
        <v>90</v>
      </c>
      <c r="L292">
        <v>65</v>
      </c>
      <c r="M292" t="s">
        <v>433</v>
      </c>
      <c r="N292" t="s">
        <v>303</v>
      </c>
      <c r="O292" t="s">
        <v>299</v>
      </c>
      <c r="P292">
        <f t="shared" si="212"/>
        <v>8.15</v>
      </c>
      <c r="Q292">
        <f t="shared" si="213"/>
        <v>9.8000000000000007</v>
      </c>
      <c r="R292">
        <v>0</v>
      </c>
      <c r="S292">
        <v>0</v>
      </c>
      <c r="T292">
        <f t="shared" si="214"/>
        <v>8</v>
      </c>
      <c r="U292">
        <f t="shared" si="215"/>
        <v>10</v>
      </c>
      <c r="V292">
        <f t="shared" si="216"/>
        <v>18</v>
      </c>
      <c r="W292" t="str">
        <f t="shared" si="227"/>
        <v>ice</v>
      </c>
      <c r="X292" t="str">
        <f t="shared" si="229"/>
        <v>water</v>
      </c>
      <c r="Y292" t="s">
        <v>33</v>
      </c>
      <c r="Z292" t="s">
        <v>8</v>
      </c>
      <c r="AB292" t="str">
        <f t="shared" si="226"/>
        <v/>
      </c>
      <c r="AC292" t="s">
        <v>569</v>
      </c>
      <c r="AD292" t="str">
        <f>VLOOKUP(AC292,moves!A:B,2,FALSE)</f>
        <v>ice</v>
      </c>
      <c r="AE292">
        <f>VLOOKUP(AC292,moves!A:D,4,FALSE)</f>
        <v>6</v>
      </c>
      <c r="AF292" t="str">
        <f>IF(VLOOKUP(AC292,moves!A:F,5,FALSE)=0, "", VLOOKUP(AC292,moves!A:F,5,FALSE))</f>
        <v/>
      </c>
      <c r="AG292" t="str">
        <f>VLOOKUP(AC292,moves!A:F,6,FALSE)</f>
        <v>If the target has 3 or less Health remaining after this attack, the target faints. [status_symbol]s deal -2 damage.</v>
      </c>
      <c r="AH292">
        <v>0</v>
      </c>
      <c r="AI292">
        <v>0</v>
      </c>
      <c r="AJ292" t="str" cm="1">
        <f t="array" ref="AJ292">_xlfn.IFS(AH292=1, "starter", AI292=1, "legendary",V292&lt; 13, "weak",V292&lt; 17, "moderate", TRUE, "strong")</f>
        <v>strong</v>
      </c>
      <c r="AL292">
        <v>3</v>
      </c>
      <c r="AM292">
        <v>0</v>
      </c>
      <c r="AN292">
        <v>1</v>
      </c>
    </row>
    <row r="293" spans="1:40" x14ac:dyDescent="0.25">
      <c r="A293" t="s">
        <v>1008</v>
      </c>
      <c r="B293" t="s">
        <v>136</v>
      </c>
      <c r="C293" t="str">
        <f t="shared" si="228"/>
        <v>Walrein</v>
      </c>
      <c r="D293" t="s">
        <v>1004</v>
      </c>
      <c r="E293" t="s">
        <v>14</v>
      </c>
      <c r="F293" t="s">
        <v>6</v>
      </c>
      <c r="G293">
        <v>110</v>
      </c>
      <c r="H293">
        <v>80</v>
      </c>
      <c r="I293">
        <v>90</v>
      </c>
      <c r="J293">
        <v>95</v>
      </c>
      <c r="K293">
        <v>90</v>
      </c>
      <c r="L293">
        <v>65</v>
      </c>
      <c r="M293" t="s">
        <v>433</v>
      </c>
      <c r="O293" t="s">
        <v>777</v>
      </c>
      <c r="P293">
        <f t="shared" ref="P293" si="230">(0.4*L293 + 0.5*MAX(H293,J293) + 0.1*MIN(H293,J293)) / 10</f>
        <v>8.15</v>
      </c>
      <c r="Q293">
        <f t="shared" ref="Q293" si="231">(0.4*G293 + 0.3*I293 + 0.3*K293) / 10</f>
        <v>9.8000000000000007</v>
      </c>
      <c r="R293">
        <v>2</v>
      </c>
      <c r="S293">
        <v>2</v>
      </c>
      <c r="T293">
        <f t="shared" ref="T293" si="232">ROUND(P293,0)+R293</f>
        <v>10</v>
      </c>
      <c r="U293">
        <f t="shared" ref="U293" si="233">ROUND(Q293,0)+S293</f>
        <v>12</v>
      </c>
      <c r="V293">
        <f t="shared" ref="V293" si="234">SUM(ROUND(T293,0),ROUND(U293,0))</f>
        <v>22</v>
      </c>
      <c r="W293" t="str">
        <f t="shared" ref="W293" si="235">E293</f>
        <v>ice</v>
      </c>
      <c r="X293" t="str">
        <f t="shared" si="229"/>
        <v>water</v>
      </c>
      <c r="Y293" t="s">
        <v>33</v>
      </c>
      <c r="Z293" t="s">
        <v>8</v>
      </c>
      <c r="AB293" t="str">
        <f t="shared" si="226"/>
        <v/>
      </c>
      <c r="AC293" t="s">
        <v>569</v>
      </c>
      <c r="AD293" t="str">
        <f>VLOOKUP(AC293,moves!A:B,2,FALSE)</f>
        <v>ice</v>
      </c>
      <c r="AE293">
        <f>VLOOKUP(AC293,moves!A:D,4,FALSE)</f>
        <v>6</v>
      </c>
      <c r="AF293" t="str">
        <f>IF(VLOOKUP(AC293,moves!A:F,5,FALSE)=0, "", VLOOKUP(AC293,moves!A:F,5,FALSE))</f>
        <v/>
      </c>
      <c r="AG293" t="str">
        <f>VLOOKUP(AC293,moves!A:F,6,FALSE)</f>
        <v>If the target has 3 or less Health remaining after this attack, the target faints. [status_symbol]s deal -2 damage.</v>
      </c>
      <c r="AH293">
        <v>0</v>
      </c>
      <c r="AI293">
        <v>1</v>
      </c>
      <c r="AJ293" t="str" cm="1">
        <f t="array" ref="AJ293">_xlfn.IFS(AH293=1, "starter", AI293=1, "legendary",V293&lt; 13, "weak",V293&lt; 17, "moderate", TRUE, "strong")</f>
        <v>legendary</v>
      </c>
      <c r="AL293">
        <v>3</v>
      </c>
      <c r="AM293">
        <v>0</v>
      </c>
      <c r="AN293">
        <v>2</v>
      </c>
    </row>
    <row r="294" spans="1:40" x14ac:dyDescent="0.25">
      <c r="A294">
        <v>137</v>
      </c>
      <c r="B294" t="s">
        <v>746</v>
      </c>
      <c r="C294" t="str">
        <f t="shared" si="228"/>
        <v>Porygon</v>
      </c>
      <c r="E294" t="s">
        <v>8</v>
      </c>
      <c r="G294">
        <v>65</v>
      </c>
      <c r="H294">
        <v>60</v>
      </c>
      <c r="I294">
        <v>70</v>
      </c>
      <c r="J294">
        <v>85</v>
      </c>
      <c r="K294">
        <v>75</v>
      </c>
      <c r="L294">
        <v>40</v>
      </c>
      <c r="M294" t="s">
        <v>592</v>
      </c>
      <c r="O294" t="s">
        <v>549</v>
      </c>
      <c r="P294">
        <f t="shared" si="212"/>
        <v>6.45</v>
      </c>
      <c r="Q294">
        <f t="shared" si="213"/>
        <v>6.95</v>
      </c>
      <c r="R294">
        <v>0</v>
      </c>
      <c r="S294">
        <v>-1</v>
      </c>
      <c r="T294">
        <f>ROUND(P294,0)+R294</f>
        <v>6</v>
      </c>
      <c r="U294">
        <f>ROUND(Q294,0)+S294</f>
        <v>6</v>
      </c>
      <c r="V294">
        <f>SUM(ROUND(T294,0),ROUND(U294,0))</f>
        <v>12</v>
      </c>
      <c r="W294" t="str">
        <f t="shared" si="227"/>
        <v>normal</v>
      </c>
      <c r="X294" t="s">
        <v>11</v>
      </c>
      <c r="Y294" t="s">
        <v>14</v>
      </c>
      <c r="Z294" t="s">
        <v>26</v>
      </c>
      <c r="AA294" t="str">
        <f>B295</f>
        <v>Porygon2</v>
      </c>
      <c r="AB294">
        <f t="shared" si="226"/>
        <v>5</v>
      </c>
      <c r="AC294" t="s">
        <v>747</v>
      </c>
      <c r="AD294" t="str">
        <f>VLOOKUP(AC294,moves!A:B,2,FALSE)</f>
        <v>normal</v>
      </c>
      <c r="AE294">
        <f>VLOOKUP(AC294,moves!A:D,4,FALSE)</f>
        <v>2</v>
      </c>
      <c r="AF294" t="str">
        <f>IF(VLOOKUP(AC294,moves!A:F,5,FALSE)=0, "", VLOOKUP(AC294,moves!A:F,5,FALSE))</f>
        <v>boost</v>
      </c>
      <c r="AG294" t="str">
        <f>VLOOKUP(AC294,moves!A:F,6,FALSE)</f>
        <v>Add 1 [critical_hit] and 1 [status_symbol] to your future attack rolls.</v>
      </c>
      <c r="AH294">
        <v>1</v>
      </c>
      <c r="AI294">
        <v>0</v>
      </c>
      <c r="AJ294" t="str" cm="1">
        <f t="array" ref="AJ294">_xlfn.IFS(AH294=1, "starter", AI294=1, "legendary",V294&lt; 13, "weak",V294&lt; 17, "moderate", TRUE, "strong")</f>
        <v>starter</v>
      </c>
      <c r="AL294">
        <v>1</v>
      </c>
      <c r="AM294">
        <v>0</v>
      </c>
    </row>
    <row r="295" spans="1:40" x14ac:dyDescent="0.25">
      <c r="A295">
        <v>233</v>
      </c>
      <c r="B295" t="s">
        <v>749</v>
      </c>
      <c r="C295" t="str">
        <f t="shared" si="228"/>
        <v>Porygon2</v>
      </c>
      <c r="E295" t="s">
        <v>8</v>
      </c>
      <c r="G295">
        <v>85</v>
      </c>
      <c r="H295">
        <v>80</v>
      </c>
      <c r="I295">
        <v>90</v>
      </c>
      <c r="J295">
        <v>105</v>
      </c>
      <c r="K295">
        <v>95</v>
      </c>
      <c r="L295">
        <v>60</v>
      </c>
      <c r="M295" t="s">
        <v>592</v>
      </c>
      <c r="O295" t="s">
        <v>549</v>
      </c>
      <c r="P295">
        <f t="shared" ref="P295:P306" si="236">(0.4*L295 + 0.5*MAX(H295,J295) + 0.1*MIN(H295,J295)) / 10</f>
        <v>8.4499999999999993</v>
      </c>
      <c r="Q295">
        <f t="shared" ref="Q295:Q306" si="237">(0.4*G295 + 0.3*I295 + 0.3*K295) / 10</f>
        <v>8.9499999999999993</v>
      </c>
      <c r="R295">
        <v>0</v>
      </c>
      <c r="S295">
        <v>-1</v>
      </c>
      <c r="T295">
        <f t="shared" ref="T295:T306" si="238">ROUND(P295,0)+R295</f>
        <v>8</v>
      </c>
      <c r="U295">
        <f t="shared" ref="U295:U306" si="239">ROUND(Q295,0)+S295</f>
        <v>8</v>
      </c>
      <c r="V295">
        <f t="shared" ref="V295:V306" si="240">SUM(ROUND(T295,0),ROUND(U295,0))</f>
        <v>16</v>
      </c>
      <c r="W295" t="str">
        <f>E295</f>
        <v>normal</v>
      </c>
      <c r="X295" t="s">
        <v>11</v>
      </c>
      <c r="Y295" t="s">
        <v>14</v>
      </c>
      <c r="Z295" t="s">
        <v>26</v>
      </c>
      <c r="AA295" t="str">
        <f>B296</f>
        <v>Porygon-Z</v>
      </c>
      <c r="AB295">
        <f t="shared" si="226"/>
        <v>5</v>
      </c>
      <c r="AC295" t="s">
        <v>748</v>
      </c>
      <c r="AD295" t="str">
        <f>VLOOKUP(AC295,moves!A:B,2,FALSE)</f>
        <v>normal</v>
      </c>
      <c r="AE295">
        <f>VLOOKUP(AC295,moves!A:D,4,FALSE)</f>
        <v>3</v>
      </c>
      <c r="AF295" t="str">
        <f>IF(VLOOKUP(AC295,moves!A:F,5,FALSE)=0, "", VLOOKUP(AC295,moves!A:F,5,FALSE))</f>
        <v/>
      </c>
      <c r="AG295" t="str">
        <f>VLOOKUP(AC295,moves!A:F,6,FALSE)</f>
        <v>When the user is next attacked, remove 2 [regular_hit]s from the roll.</v>
      </c>
      <c r="AH295">
        <v>0</v>
      </c>
      <c r="AI295">
        <v>0</v>
      </c>
      <c r="AJ295" t="str" cm="1">
        <f t="array" ref="AJ295">_xlfn.IFS(AH295=1, "starter", AI295=1, "legendary",V295&lt; 13, "weak",V295&lt; 17, "moderate", TRUE, "strong")</f>
        <v>moderate</v>
      </c>
      <c r="AL295">
        <v>2</v>
      </c>
      <c r="AM295">
        <v>0</v>
      </c>
    </row>
    <row r="296" spans="1:40" x14ac:dyDescent="0.25">
      <c r="A296">
        <v>474</v>
      </c>
      <c r="B296" t="s">
        <v>459</v>
      </c>
      <c r="C296" t="str">
        <f t="shared" si="228"/>
        <v>Porygon-Z</v>
      </c>
      <c r="E296" t="s">
        <v>8</v>
      </c>
      <c r="G296">
        <v>85</v>
      </c>
      <c r="H296">
        <v>80</v>
      </c>
      <c r="I296">
        <v>70</v>
      </c>
      <c r="J296">
        <v>135</v>
      </c>
      <c r="K296">
        <v>75</v>
      </c>
      <c r="L296">
        <v>90</v>
      </c>
      <c r="M296" t="s">
        <v>592</v>
      </c>
      <c r="O296" t="s">
        <v>549</v>
      </c>
      <c r="P296">
        <f t="shared" si="236"/>
        <v>11.15</v>
      </c>
      <c r="Q296">
        <f t="shared" si="237"/>
        <v>7.75</v>
      </c>
      <c r="R296">
        <v>0</v>
      </c>
      <c r="S296">
        <v>0</v>
      </c>
      <c r="T296">
        <f t="shared" si="238"/>
        <v>11</v>
      </c>
      <c r="U296">
        <f t="shared" si="239"/>
        <v>8</v>
      </c>
      <c r="V296">
        <f t="shared" si="240"/>
        <v>19</v>
      </c>
      <c r="W296" t="str">
        <f>E296</f>
        <v>normal</v>
      </c>
      <c r="X296" t="s">
        <v>11</v>
      </c>
      <c r="Y296" t="s">
        <v>14</v>
      </c>
      <c r="Z296" t="s">
        <v>26</v>
      </c>
      <c r="AB296" t="str">
        <f t="shared" si="226"/>
        <v/>
      </c>
      <c r="AC296" t="s">
        <v>1017</v>
      </c>
      <c r="AD296" t="str">
        <f>VLOOKUP(AC296,moves!A:B,2,FALSE)</f>
        <v>normal</v>
      </c>
      <c r="AE296">
        <f>VLOOKUP(AC296,moves!A:D,4,FALSE)</f>
        <v>6</v>
      </c>
      <c r="AF296" t="str">
        <f>IF(VLOOKUP(AC296,moves!A:F,5,FALSE)=0, "", VLOOKUP(AC296,moves!A:F,5,FALSE))</f>
        <v>surge</v>
      </c>
      <c r="AG296" t="str">
        <f>VLOOKUP(AC296,moves!A:F,6,FALSE)</f>
        <v>Increase the Battle Fatigue of the user by 1.</v>
      </c>
      <c r="AH296">
        <v>0</v>
      </c>
      <c r="AI296">
        <v>0</v>
      </c>
      <c r="AJ296" t="str" cm="1">
        <f t="array" ref="AJ296">_xlfn.IFS(AH296=1, "starter", AI296=1, "legendary",V296&lt; 13, "weak",V296&lt; 17, "moderate", TRUE, "strong")</f>
        <v>strong</v>
      </c>
      <c r="AL296">
        <v>3</v>
      </c>
      <c r="AM296">
        <v>0</v>
      </c>
      <c r="AN296">
        <v>1</v>
      </c>
    </row>
    <row r="297" spans="1:40" x14ac:dyDescent="0.25">
      <c r="A297" t="s">
        <v>1009</v>
      </c>
      <c r="B297" t="s">
        <v>459</v>
      </c>
      <c r="C297" t="str">
        <f t="shared" si="228"/>
        <v>Porygon-Z</v>
      </c>
      <c r="D297" t="s">
        <v>1004</v>
      </c>
      <c r="E297" t="s">
        <v>8</v>
      </c>
      <c r="G297">
        <v>85</v>
      </c>
      <c r="H297">
        <v>80</v>
      </c>
      <c r="I297">
        <v>70</v>
      </c>
      <c r="J297">
        <v>135</v>
      </c>
      <c r="K297">
        <v>75</v>
      </c>
      <c r="L297">
        <v>90</v>
      </c>
      <c r="M297" t="s">
        <v>592</v>
      </c>
      <c r="O297" t="s">
        <v>777</v>
      </c>
      <c r="P297">
        <f t="shared" ref="P297" si="241">(0.4*L297 + 0.5*MAX(H297,J297) + 0.1*MIN(H297,J297)) / 10</f>
        <v>11.15</v>
      </c>
      <c r="Q297">
        <f t="shared" ref="Q297" si="242">(0.4*G297 + 0.3*I297 + 0.3*K297) / 10</f>
        <v>7.75</v>
      </c>
      <c r="R297">
        <v>2</v>
      </c>
      <c r="S297">
        <v>2</v>
      </c>
      <c r="T297">
        <f t="shared" ref="T297" si="243">ROUND(P297,0)+R297</f>
        <v>13</v>
      </c>
      <c r="U297">
        <f t="shared" ref="U297" si="244">ROUND(Q297,0)+S297</f>
        <v>10</v>
      </c>
      <c r="V297">
        <f t="shared" ref="V297" si="245">SUM(ROUND(T297,0),ROUND(U297,0))</f>
        <v>23</v>
      </c>
      <c r="W297" t="str">
        <f>E297</f>
        <v>normal</v>
      </c>
      <c r="X297" t="s">
        <v>11</v>
      </c>
      <c r="Y297" t="s">
        <v>14</v>
      </c>
      <c r="Z297" t="s">
        <v>26</v>
      </c>
      <c r="AB297" t="str">
        <f t="shared" si="226"/>
        <v/>
      </c>
      <c r="AC297" t="s">
        <v>1017</v>
      </c>
      <c r="AD297" t="str">
        <f>VLOOKUP(AC297,moves!A:B,2,FALSE)</f>
        <v>normal</v>
      </c>
      <c r="AE297">
        <f>VLOOKUP(AC297,moves!A:D,4,FALSE)</f>
        <v>6</v>
      </c>
      <c r="AF297" t="str">
        <f>IF(VLOOKUP(AC297,moves!A:F,5,FALSE)=0, "", VLOOKUP(AC297,moves!A:F,5,FALSE))</f>
        <v>surge</v>
      </c>
      <c r="AG297" t="str">
        <f>VLOOKUP(AC297,moves!A:F,6,FALSE)</f>
        <v>Increase the Battle Fatigue of the user by 1.</v>
      </c>
      <c r="AH297">
        <v>0</v>
      </c>
      <c r="AI297">
        <v>1</v>
      </c>
      <c r="AJ297" t="str" cm="1">
        <f t="array" ref="AJ297">_xlfn.IFS(AH297=1, "starter", AI297=1, "legendary",V297&lt; 13, "weak",V297&lt; 17, "moderate", TRUE, "strong")</f>
        <v>legendary</v>
      </c>
      <c r="AL297">
        <v>3</v>
      </c>
      <c r="AM297">
        <v>0</v>
      </c>
      <c r="AN297">
        <v>2</v>
      </c>
    </row>
    <row r="298" spans="1:40" x14ac:dyDescent="0.25">
      <c r="A298" t="s">
        <v>1189</v>
      </c>
      <c r="B298" t="s">
        <v>1190</v>
      </c>
      <c r="C298" t="str">
        <f t="shared" si="228"/>
        <v>Prototype Zero</v>
      </c>
      <c r="D298" t="s">
        <v>1191</v>
      </c>
      <c r="E298" t="s">
        <v>548</v>
      </c>
      <c r="G298">
        <v>85</v>
      </c>
      <c r="H298">
        <v>80</v>
      </c>
      <c r="I298">
        <v>70</v>
      </c>
      <c r="J298">
        <v>135</v>
      </c>
      <c r="K298">
        <v>75</v>
      </c>
      <c r="L298">
        <v>90</v>
      </c>
      <c r="M298" t="s">
        <v>592</v>
      </c>
      <c r="O298" t="s">
        <v>1146</v>
      </c>
      <c r="P298">
        <f t="shared" ref="P298" si="246">(0.4*L298 + 0.5*MAX(H298,J298) + 0.1*MIN(H298,J298)) / 10</f>
        <v>11.15</v>
      </c>
      <c r="Q298">
        <f t="shared" ref="Q298" si="247">(0.4*G298 + 0.3*I298 + 0.3*K298) / 10</f>
        <v>7.75</v>
      </c>
      <c r="R298">
        <v>-1</v>
      </c>
      <c r="S298">
        <v>3</v>
      </c>
      <c r="T298">
        <f t="shared" ref="T298" si="248">ROUND(P298,0)+R298</f>
        <v>10</v>
      </c>
      <c r="U298">
        <f t="shared" ref="U298" si="249">ROUND(Q298,0)+S298</f>
        <v>11</v>
      </c>
      <c r="V298">
        <f t="shared" ref="V298" si="250">SUM(ROUND(T298,0),ROUND(U298,0))</f>
        <v>21</v>
      </c>
      <c r="W298" t="s">
        <v>7</v>
      </c>
      <c r="X298" t="s">
        <v>11</v>
      </c>
      <c r="Y298" t="s">
        <v>14</v>
      </c>
      <c r="Z298" t="s">
        <v>26</v>
      </c>
      <c r="AB298" t="str">
        <f t="shared" si="226"/>
        <v/>
      </c>
      <c r="AC298" t="s">
        <v>1192</v>
      </c>
      <c r="AD298" t="str">
        <f>VLOOKUP(AC298,moves!A:B,2,FALSE)</f>
        <v>bug</v>
      </c>
      <c r="AE298">
        <f>VLOOKUP(AC298,moves!A:D,4,FALSE)</f>
        <v>0</v>
      </c>
      <c r="AF298" t="str">
        <f>IF(VLOOKUP(AC298,moves!A:F,5,FALSE)=0, "", VLOOKUP(AC298,moves!A:F,5,FALSE))</f>
        <v/>
      </c>
      <c r="AG298" t="str">
        <f>VLOOKUP(AC298,moves!A:F,6,FALSE)</f>
        <v>This Move does not roll the attack dice. Deal damage equal to 6 minus your current Battle Fatigue. Increase your Battle Fatigue by 1.</v>
      </c>
      <c r="AH298">
        <v>0</v>
      </c>
      <c r="AI298">
        <v>1</v>
      </c>
      <c r="AJ298" t="str" cm="1">
        <f t="array" ref="AJ298">_xlfn.IFS(AH298=1, "starter", AI298=1, "legendary",V298&lt; 13, "weak",V298&lt; 17, "moderate", TRUE, "strong")</f>
        <v>legendary</v>
      </c>
      <c r="AL298">
        <v>1</v>
      </c>
      <c r="AM298">
        <v>0</v>
      </c>
    </row>
    <row r="299" spans="1:40" x14ac:dyDescent="0.25">
      <c r="A299">
        <v>46</v>
      </c>
      <c r="B299" t="s">
        <v>750</v>
      </c>
      <c r="C299" t="str">
        <f t="shared" si="228"/>
        <v>Paras</v>
      </c>
      <c r="E299" t="s">
        <v>7</v>
      </c>
      <c r="F299" t="s">
        <v>2</v>
      </c>
      <c r="G299">
        <v>35</v>
      </c>
      <c r="H299">
        <v>70</v>
      </c>
      <c r="I299">
        <v>55</v>
      </c>
      <c r="J299">
        <v>45</v>
      </c>
      <c r="K299">
        <v>55</v>
      </c>
      <c r="L299">
        <v>25</v>
      </c>
      <c r="M299" t="s">
        <v>751</v>
      </c>
      <c r="N299" t="s">
        <v>298</v>
      </c>
      <c r="O299" t="s">
        <v>300</v>
      </c>
      <c r="P299">
        <f t="shared" si="236"/>
        <v>4.95</v>
      </c>
      <c r="Q299">
        <f t="shared" si="237"/>
        <v>4.7</v>
      </c>
      <c r="R299">
        <v>0</v>
      </c>
      <c r="S299">
        <v>0</v>
      </c>
      <c r="T299">
        <f t="shared" si="238"/>
        <v>5</v>
      </c>
      <c r="U299">
        <f t="shared" si="239"/>
        <v>5</v>
      </c>
      <c r="V299">
        <f t="shared" si="240"/>
        <v>10</v>
      </c>
      <c r="W299" t="str">
        <f>E299</f>
        <v>bug</v>
      </c>
      <c r="X299" t="str">
        <f>IF(F299 = 0, "", F299)</f>
        <v>grass</v>
      </c>
      <c r="Y299" t="s">
        <v>3</v>
      </c>
      <c r="Z299" t="s">
        <v>8</v>
      </c>
      <c r="AA299" t="str">
        <f>B300</f>
        <v>Parasect</v>
      </c>
      <c r="AB299">
        <f t="shared" si="226"/>
        <v>4</v>
      </c>
      <c r="AC299" t="s">
        <v>752</v>
      </c>
      <c r="AD299" t="str">
        <f>VLOOKUP(AC299,moves!A:B,2,FALSE)</f>
        <v>grass</v>
      </c>
      <c r="AE299">
        <f>VLOOKUP(AC299,moves!A:D,4,FALSE)</f>
        <v>2</v>
      </c>
      <c r="AF299" t="str">
        <f>IF(VLOOKUP(AC299,moves!A:F,5,FALSE)=0, "", VLOOKUP(AC299,moves!A:F,5,FALSE))</f>
        <v/>
      </c>
      <c r="AG299" t="str">
        <f>VLOOKUP(AC299,moves!A:F,6,FALSE)</f>
        <v>Inflict the [drowsy] status on the target.</v>
      </c>
      <c r="AH299">
        <v>0</v>
      </c>
      <c r="AI299">
        <v>0</v>
      </c>
      <c r="AJ299" t="str" cm="1">
        <f t="array" ref="AJ299">_xlfn.IFS(AH299=1, "starter", AI299=1, "legendary",V299&lt; 13, "weak",V299&lt; 17, "moderate", TRUE, "strong")</f>
        <v>weak</v>
      </c>
      <c r="AL299">
        <v>1</v>
      </c>
      <c r="AM299">
        <v>0</v>
      </c>
    </row>
    <row r="300" spans="1:40" x14ac:dyDescent="0.25">
      <c r="A300">
        <v>47</v>
      </c>
      <c r="B300" t="s">
        <v>753</v>
      </c>
      <c r="C300" t="str">
        <f t="shared" si="228"/>
        <v>Parasect</v>
      </c>
      <c r="E300" t="s">
        <v>7</v>
      </c>
      <c r="F300" t="s">
        <v>2</v>
      </c>
      <c r="G300">
        <v>60</v>
      </c>
      <c r="H300">
        <v>95</v>
      </c>
      <c r="I300">
        <v>80</v>
      </c>
      <c r="J300">
        <v>60</v>
      </c>
      <c r="K300">
        <v>80</v>
      </c>
      <c r="L300">
        <v>30</v>
      </c>
      <c r="M300" t="s">
        <v>751</v>
      </c>
      <c r="N300" t="s">
        <v>298</v>
      </c>
      <c r="O300" t="s">
        <v>300</v>
      </c>
      <c r="P300">
        <f t="shared" si="236"/>
        <v>6.55</v>
      </c>
      <c r="Q300">
        <f t="shared" si="237"/>
        <v>7.2</v>
      </c>
      <c r="R300">
        <v>0</v>
      </c>
      <c r="S300">
        <v>0</v>
      </c>
      <c r="T300">
        <f t="shared" si="238"/>
        <v>7</v>
      </c>
      <c r="U300">
        <f t="shared" si="239"/>
        <v>7</v>
      </c>
      <c r="V300">
        <f t="shared" si="240"/>
        <v>14</v>
      </c>
      <c r="W300" t="str">
        <f t="shared" ref="W300:W306" si="251">E300</f>
        <v>bug</v>
      </c>
      <c r="X300" t="str">
        <f>IF(F300 = 0, "", F300)</f>
        <v>grass</v>
      </c>
      <c r="Y300" t="s">
        <v>3</v>
      </c>
      <c r="Z300" t="s">
        <v>8</v>
      </c>
      <c r="AB300" t="str">
        <f t="shared" si="226"/>
        <v/>
      </c>
      <c r="AC300" t="s">
        <v>640</v>
      </c>
      <c r="AD300" t="str">
        <f>VLOOKUP(AC300,moves!A:B,2,FALSE)</f>
        <v>bug</v>
      </c>
      <c r="AE300">
        <f>VLOOKUP(AC300,moves!A:D,4,FALSE)</f>
        <v>4</v>
      </c>
      <c r="AF300" t="str">
        <f>IF(VLOOKUP(AC300,moves!A:F,5,FALSE)=0, "", VLOOKUP(AC300,moves!A:F,5,FALSE))</f>
        <v/>
      </c>
      <c r="AG300" t="str">
        <f>VLOOKUP(AC300,moves!A:F,6,FALSE)</f>
        <v>[critical_hit]s deal +1 damage.</v>
      </c>
      <c r="AH300">
        <v>0</v>
      </c>
      <c r="AI300">
        <v>0</v>
      </c>
      <c r="AJ300" t="str" cm="1">
        <f t="array" ref="AJ300">_xlfn.IFS(AH300=1, "starter", AI300=1, "legendary",V300&lt; 13, "weak",V300&lt; 17, "moderate", TRUE, "strong")</f>
        <v>moderate</v>
      </c>
      <c r="AL300">
        <v>2</v>
      </c>
      <c r="AM300">
        <v>0</v>
      </c>
    </row>
    <row r="301" spans="1:40" x14ac:dyDescent="0.25">
      <c r="A301">
        <v>704</v>
      </c>
      <c r="B301" t="s">
        <v>755</v>
      </c>
      <c r="C301" t="str">
        <f t="shared" si="228"/>
        <v>Goomy</v>
      </c>
      <c r="E301" t="s">
        <v>67</v>
      </c>
      <c r="G301">
        <v>45</v>
      </c>
      <c r="H301">
        <v>50</v>
      </c>
      <c r="I301">
        <v>35</v>
      </c>
      <c r="J301">
        <v>55</v>
      </c>
      <c r="K301">
        <v>75</v>
      </c>
      <c r="L301">
        <v>40</v>
      </c>
      <c r="M301" t="s">
        <v>756</v>
      </c>
      <c r="N301" t="s">
        <v>298</v>
      </c>
      <c r="O301" t="s">
        <v>302</v>
      </c>
      <c r="P301">
        <f t="shared" si="236"/>
        <v>4.8499999999999996</v>
      </c>
      <c r="Q301">
        <f t="shared" si="237"/>
        <v>5.0999999999999996</v>
      </c>
      <c r="R301">
        <v>0</v>
      </c>
      <c r="S301">
        <v>0</v>
      </c>
      <c r="T301">
        <f t="shared" si="238"/>
        <v>5</v>
      </c>
      <c r="U301">
        <f t="shared" si="239"/>
        <v>5</v>
      </c>
      <c r="V301">
        <f t="shared" si="240"/>
        <v>10</v>
      </c>
      <c r="W301" t="str">
        <f t="shared" si="251"/>
        <v>dragon</v>
      </c>
      <c r="X301" t="s">
        <v>6</v>
      </c>
      <c r="Y301" t="s">
        <v>3</v>
      </c>
      <c r="Z301" t="s">
        <v>39</v>
      </c>
      <c r="AA301" t="str">
        <f>B302</f>
        <v>Sliggoo</v>
      </c>
      <c r="AB301">
        <f t="shared" si="226"/>
        <v>4</v>
      </c>
      <c r="AC301" t="s">
        <v>757</v>
      </c>
      <c r="AD301" t="str">
        <f>VLOOKUP(AC301,moves!A:B,2,FALSE)</f>
        <v>steel</v>
      </c>
      <c r="AE301">
        <f>VLOOKUP(AC301,moves!A:D,4,FALSE)</f>
        <v>1</v>
      </c>
      <c r="AF301" t="str">
        <f>IF(VLOOKUP(AC301,moves!A:F,5,FALSE)=0, "", VLOOKUP(AC301,moves!A:F,5,FALSE))</f>
        <v>switch</v>
      </c>
      <c r="AG301" t="str">
        <f>VLOOKUP(AC301,moves!A:F,6,FALSE)</f>
        <v>When the target next attacks, remove 2 [regular_hit]s from the roll.</v>
      </c>
      <c r="AH301">
        <v>0</v>
      </c>
      <c r="AI301">
        <v>0</v>
      </c>
      <c r="AJ301" t="str" cm="1">
        <f t="array" ref="AJ301">_xlfn.IFS(AH301=1, "starter", AI301=1, "legendary",V301&lt; 13, "weak",V301&lt; 17, "moderate", TRUE, "strong")</f>
        <v>weak</v>
      </c>
      <c r="AL301">
        <v>1</v>
      </c>
      <c r="AM301">
        <v>0</v>
      </c>
    </row>
    <row r="302" spans="1:40" x14ac:dyDescent="0.25">
      <c r="A302">
        <v>705</v>
      </c>
      <c r="B302" t="s">
        <v>759</v>
      </c>
      <c r="C302" t="str">
        <f t="shared" si="228"/>
        <v>Sliggoo</v>
      </c>
      <c r="E302" t="s">
        <v>67</v>
      </c>
      <c r="G302">
        <v>68</v>
      </c>
      <c r="H302">
        <v>75</v>
      </c>
      <c r="I302">
        <v>53</v>
      </c>
      <c r="J302">
        <v>83</v>
      </c>
      <c r="K302">
        <v>113</v>
      </c>
      <c r="L302">
        <v>60</v>
      </c>
      <c r="M302" t="s">
        <v>756</v>
      </c>
      <c r="N302" t="s">
        <v>298</v>
      </c>
      <c r="O302" t="s">
        <v>302</v>
      </c>
      <c r="P302">
        <f t="shared" si="236"/>
        <v>7.3</v>
      </c>
      <c r="Q302">
        <f t="shared" si="237"/>
        <v>7.7</v>
      </c>
      <c r="R302">
        <v>-1</v>
      </c>
      <c r="S302">
        <v>0</v>
      </c>
      <c r="T302">
        <f t="shared" si="238"/>
        <v>6</v>
      </c>
      <c r="U302">
        <f t="shared" si="239"/>
        <v>8</v>
      </c>
      <c r="V302">
        <f t="shared" si="240"/>
        <v>14</v>
      </c>
      <c r="W302" t="str">
        <f t="shared" si="251"/>
        <v>dragon</v>
      </c>
      <c r="X302" t="s">
        <v>6</v>
      </c>
      <c r="Y302" t="s">
        <v>3</v>
      </c>
      <c r="Z302" t="s">
        <v>39</v>
      </c>
      <c r="AA302" t="str">
        <f>B303</f>
        <v>Goodra</v>
      </c>
      <c r="AB302">
        <f t="shared" si="226"/>
        <v>9</v>
      </c>
      <c r="AC302" t="s">
        <v>541</v>
      </c>
      <c r="AD302" t="str">
        <f>VLOOKUP(AC302,moves!A:B,2,FALSE)</f>
        <v>water</v>
      </c>
      <c r="AE302">
        <f>VLOOKUP(AC302,moves!A:D,4,FALSE)</f>
        <v>3</v>
      </c>
      <c r="AF302" t="str">
        <f>IF(VLOOKUP(AC302,moves!A:F,5,FALSE)=0, "", VLOOKUP(AC302,moves!A:F,5,FALSE))</f>
        <v/>
      </c>
      <c r="AG302" t="str">
        <f>VLOOKUP(AC302,moves!A:F,6,FALSE)</f>
        <v>If any [status_symbol]s are rolled: Inflict the [confused] status on the target.</v>
      </c>
      <c r="AH302">
        <v>0</v>
      </c>
      <c r="AI302">
        <v>0</v>
      </c>
      <c r="AJ302" t="str" cm="1">
        <f t="array" ref="AJ302">_xlfn.IFS(AH302=1, "starter", AI302=1, "legendary",V302&lt; 13, "weak",V302&lt; 17, "moderate", TRUE, "strong")</f>
        <v>moderate</v>
      </c>
      <c r="AL302">
        <v>2</v>
      </c>
      <c r="AM302">
        <v>0</v>
      </c>
    </row>
    <row r="303" spans="1:40" x14ac:dyDescent="0.25">
      <c r="A303">
        <v>706</v>
      </c>
      <c r="B303" t="s">
        <v>760</v>
      </c>
      <c r="C303" t="str">
        <f t="shared" si="228"/>
        <v>Goodra</v>
      </c>
      <c r="E303" t="s">
        <v>67</v>
      </c>
      <c r="G303">
        <v>90</v>
      </c>
      <c r="H303">
        <v>100</v>
      </c>
      <c r="I303">
        <v>70</v>
      </c>
      <c r="J303">
        <v>110</v>
      </c>
      <c r="K303">
        <v>150</v>
      </c>
      <c r="L303">
        <v>80</v>
      </c>
      <c r="M303" t="s">
        <v>268</v>
      </c>
      <c r="N303" t="s">
        <v>298</v>
      </c>
      <c r="O303" t="s">
        <v>302</v>
      </c>
      <c r="P303">
        <f t="shared" si="236"/>
        <v>9.6999999999999993</v>
      </c>
      <c r="Q303">
        <f t="shared" si="237"/>
        <v>10.199999999999999</v>
      </c>
      <c r="R303">
        <v>-1</v>
      </c>
      <c r="S303">
        <v>1</v>
      </c>
      <c r="T303">
        <f t="shared" si="238"/>
        <v>9</v>
      </c>
      <c r="U303">
        <f t="shared" si="239"/>
        <v>11</v>
      </c>
      <c r="V303">
        <f t="shared" si="240"/>
        <v>20</v>
      </c>
      <c r="W303" t="str">
        <f t="shared" si="251"/>
        <v>dragon</v>
      </c>
      <c r="X303" t="s">
        <v>6</v>
      </c>
      <c r="Y303" t="s">
        <v>3</v>
      </c>
      <c r="Z303" t="s">
        <v>39</v>
      </c>
      <c r="AB303" t="str">
        <f t="shared" si="226"/>
        <v/>
      </c>
      <c r="AC303" t="s">
        <v>758</v>
      </c>
      <c r="AD303" t="str">
        <f>VLOOKUP(AC303,moves!A:B,2,FALSE)</f>
        <v>dragon</v>
      </c>
      <c r="AE303">
        <f>VLOOKUP(AC303,moves!A:D,4,FALSE)</f>
        <v>4</v>
      </c>
      <c r="AF303" t="str">
        <f>IF(VLOOKUP(AC303,moves!A:F,5,FALSE)=0, "", VLOOKUP(AC303,moves!A:F,5,FALSE))</f>
        <v/>
      </c>
      <c r="AG303" t="str">
        <f>VLOOKUP(AC303,moves!A:F,6,FALSE)</f>
        <v>[status_symbol]s deal +1 damage.</v>
      </c>
      <c r="AH303">
        <v>0</v>
      </c>
      <c r="AI303">
        <v>0</v>
      </c>
      <c r="AJ303" t="str" cm="1">
        <f t="array" ref="AJ303">_xlfn.IFS(AH303=1, "starter", AI303=1, "legendary",V303&lt; 13, "weak",V303&lt; 17, "moderate", TRUE, "strong")</f>
        <v>strong</v>
      </c>
      <c r="AL303">
        <v>3</v>
      </c>
      <c r="AM303">
        <v>0</v>
      </c>
    </row>
    <row r="304" spans="1:40" x14ac:dyDescent="0.25">
      <c r="A304">
        <v>548</v>
      </c>
      <c r="B304" t="s">
        <v>761</v>
      </c>
      <c r="C304" t="str">
        <f t="shared" si="228"/>
        <v>Petilil</v>
      </c>
      <c r="E304" t="s">
        <v>2</v>
      </c>
      <c r="G304">
        <v>45</v>
      </c>
      <c r="H304">
        <v>35</v>
      </c>
      <c r="I304">
        <v>50</v>
      </c>
      <c r="J304">
        <v>70</v>
      </c>
      <c r="K304">
        <v>50</v>
      </c>
      <c r="L304">
        <v>30</v>
      </c>
      <c r="M304" t="s">
        <v>762</v>
      </c>
      <c r="N304" t="s">
        <v>298</v>
      </c>
      <c r="O304" t="s">
        <v>300</v>
      </c>
      <c r="P304">
        <f t="shared" si="236"/>
        <v>5.05</v>
      </c>
      <c r="Q304">
        <f t="shared" si="237"/>
        <v>4.8</v>
      </c>
      <c r="R304">
        <v>0</v>
      </c>
      <c r="S304">
        <v>0</v>
      </c>
      <c r="T304">
        <f t="shared" si="238"/>
        <v>5</v>
      </c>
      <c r="U304">
        <f t="shared" si="239"/>
        <v>5</v>
      </c>
      <c r="V304">
        <f t="shared" si="240"/>
        <v>10</v>
      </c>
      <c r="W304" t="str">
        <f t="shared" si="251"/>
        <v>grass</v>
      </c>
      <c r="X304" t="s">
        <v>8</v>
      </c>
      <c r="Y304" t="s">
        <v>7</v>
      </c>
      <c r="Z304" t="s">
        <v>22</v>
      </c>
      <c r="AA304" t="str">
        <f>B305</f>
        <v>Lilligant</v>
      </c>
      <c r="AB304">
        <f t="shared" si="226"/>
        <v>8</v>
      </c>
      <c r="AC304" t="s">
        <v>765</v>
      </c>
      <c r="AD304" t="str">
        <f>VLOOKUP(AC304,moves!A:B,2,FALSE)</f>
        <v>grass</v>
      </c>
      <c r="AE304">
        <f>VLOOKUP(AC304,moves!A:D,4,FALSE)</f>
        <v>1</v>
      </c>
      <c r="AF304" t="str">
        <f>IF(VLOOKUP(AC304,moves!A:F,5,FALSE)=0, "", VLOOKUP(AC304,moves!A:F,5,FALSE))</f>
        <v>agile</v>
      </c>
      <c r="AG304" t="str">
        <f>VLOOKUP(AC304,moves!A:F,6,FALSE)</f>
        <v>Inflict the [paralysed] status on the target.</v>
      </c>
      <c r="AH304">
        <v>0</v>
      </c>
      <c r="AI304">
        <v>0</v>
      </c>
      <c r="AJ304" t="str" cm="1">
        <f t="array" ref="AJ304">_xlfn.IFS(AH304=1, "starter", AI304=1, "legendary",V304&lt; 13, "weak",V304&lt; 17, "moderate", TRUE, "strong")</f>
        <v>weak</v>
      </c>
      <c r="AL304">
        <v>1</v>
      </c>
      <c r="AM304">
        <v>0</v>
      </c>
    </row>
    <row r="305" spans="1:40" x14ac:dyDescent="0.25">
      <c r="A305">
        <v>549</v>
      </c>
      <c r="B305" t="s">
        <v>763</v>
      </c>
      <c r="C305" t="str">
        <f t="shared" si="228"/>
        <v>Lilligant</v>
      </c>
      <c r="E305" t="s">
        <v>2</v>
      </c>
      <c r="G305">
        <v>70</v>
      </c>
      <c r="H305">
        <v>60</v>
      </c>
      <c r="I305">
        <v>75</v>
      </c>
      <c r="J305">
        <v>110</v>
      </c>
      <c r="K305">
        <v>75</v>
      </c>
      <c r="L305">
        <v>90</v>
      </c>
      <c r="M305" t="s">
        <v>764</v>
      </c>
      <c r="N305" t="s">
        <v>298</v>
      </c>
      <c r="O305" t="s">
        <v>300</v>
      </c>
      <c r="P305">
        <f t="shared" si="236"/>
        <v>9.6999999999999993</v>
      </c>
      <c r="Q305">
        <f t="shared" si="237"/>
        <v>7.3</v>
      </c>
      <c r="R305">
        <v>0</v>
      </c>
      <c r="S305">
        <v>0</v>
      </c>
      <c r="T305">
        <f t="shared" si="238"/>
        <v>10</v>
      </c>
      <c r="U305">
        <f t="shared" si="239"/>
        <v>7</v>
      </c>
      <c r="V305">
        <f t="shared" si="240"/>
        <v>17</v>
      </c>
      <c r="W305" t="str">
        <f t="shared" si="251"/>
        <v>grass</v>
      </c>
      <c r="X305" t="s">
        <v>8</v>
      </c>
      <c r="Y305" t="s">
        <v>7</v>
      </c>
      <c r="Z305" t="s">
        <v>22</v>
      </c>
      <c r="AB305" t="str">
        <f t="shared" si="226"/>
        <v/>
      </c>
      <c r="AC305" t="s">
        <v>594</v>
      </c>
      <c r="AD305" t="str">
        <f>VLOOKUP(AC305,moves!A:B,2,FALSE)</f>
        <v>grass</v>
      </c>
      <c r="AE305">
        <f>VLOOKUP(AC305,moves!A:D,4,FALSE)</f>
        <v>5</v>
      </c>
      <c r="AF305" t="str">
        <f>IF(VLOOKUP(AC305,moves!A:F,5,FALSE)=0, "", VLOOKUP(AC305,moves!A:F,5,FALSE))</f>
        <v/>
      </c>
      <c r="AG305" t="str">
        <f>VLOOKUP(AC305,moves!A:F,6,FALSE)</f>
        <v xml:space="preserve">During this attack and when the user is next attacked, [status_symbol]s deal +1 damage. </v>
      </c>
      <c r="AH305">
        <v>0</v>
      </c>
      <c r="AI305">
        <v>0</v>
      </c>
      <c r="AJ305" t="str" cm="1">
        <f t="array" ref="AJ305">_xlfn.IFS(AH305=1, "starter", AI305=1, "legendary",V305&lt; 13, "weak",V305&lt; 17, "moderate", TRUE, "strong")</f>
        <v>strong</v>
      </c>
      <c r="AL305">
        <v>2</v>
      </c>
      <c r="AM305">
        <v>0</v>
      </c>
    </row>
    <row r="306" spans="1:40" x14ac:dyDescent="0.25">
      <c r="A306">
        <v>211</v>
      </c>
      <c r="B306" t="s">
        <v>785</v>
      </c>
      <c r="C306" t="str">
        <f t="shared" si="228"/>
        <v>Qwilfish</v>
      </c>
      <c r="E306" t="s">
        <v>6</v>
      </c>
      <c r="F306" t="s">
        <v>3</v>
      </c>
      <c r="G306">
        <v>65</v>
      </c>
      <c r="H306">
        <v>95</v>
      </c>
      <c r="I306">
        <v>85</v>
      </c>
      <c r="J306">
        <v>55</v>
      </c>
      <c r="K306">
        <v>55</v>
      </c>
      <c r="L306">
        <v>85</v>
      </c>
      <c r="M306" t="s">
        <v>348</v>
      </c>
      <c r="N306" t="s">
        <v>303</v>
      </c>
      <c r="O306" t="s">
        <v>300</v>
      </c>
      <c r="P306">
        <f t="shared" si="236"/>
        <v>8.6999999999999993</v>
      </c>
      <c r="Q306">
        <f t="shared" si="237"/>
        <v>6.8</v>
      </c>
      <c r="R306">
        <v>0</v>
      </c>
      <c r="S306">
        <v>0</v>
      </c>
      <c r="T306">
        <f t="shared" si="238"/>
        <v>9</v>
      </c>
      <c r="U306">
        <f t="shared" si="239"/>
        <v>7</v>
      </c>
      <c r="V306">
        <f t="shared" si="240"/>
        <v>16</v>
      </c>
      <c r="W306" t="str">
        <f t="shared" si="251"/>
        <v>water</v>
      </c>
      <c r="X306" t="str">
        <f t="shared" ref="X306:X313" si="252">IF(F306 = 0, "", F306)</f>
        <v>poison</v>
      </c>
      <c r="Y306" t="s">
        <v>7</v>
      </c>
      <c r="Z306" t="s">
        <v>9</v>
      </c>
      <c r="AB306" t="str">
        <f t="shared" si="226"/>
        <v/>
      </c>
      <c r="AC306" t="s">
        <v>754</v>
      </c>
      <c r="AD306" t="str">
        <f>VLOOKUP(AC306,moves!A:B,2,FALSE)</f>
        <v>poison</v>
      </c>
      <c r="AE306">
        <f>VLOOKUP(AC306,moves!A:D,4,FALSE)</f>
        <v>3</v>
      </c>
      <c r="AF306" t="str">
        <f>IF(VLOOKUP(AC306,moves!A:F,5,FALSE)=0, "", VLOOKUP(AC306,moves!A:F,5,FALSE))</f>
        <v/>
      </c>
      <c r="AG306" t="str">
        <f>VLOOKUP(AC306,moves!A:F,6,FALSE)</f>
        <v>[regular_hit]s deal +1 damage.</v>
      </c>
      <c r="AH306">
        <v>0</v>
      </c>
      <c r="AI306">
        <v>0</v>
      </c>
      <c r="AJ306" t="str" cm="1">
        <f t="array" ref="AJ306">_xlfn.IFS(AH306=1, "starter", AI306=1, "legendary",V306&lt; 13, "weak",V306&lt; 17, "moderate", TRUE, "strong")</f>
        <v>moderate</v>
      </c>
      <c r="AL306">
        <v>1</v>
      </c>
      <c r="AM306">
        <v>0</v>
      </c>
    </row>
    <row r="307" spans="1:40" x14ac:dyDescent="0.25">
      <c r="A307">
        <v>607</v>
      </c>
      <c r="B307" t="s">
        <v>707</v>
      </c>
      <c r="C307" t="str">
        <f t="shared" si="228"/>
        <v>Litwick</v>
      </c>
      <c r="E307" t="s">
        <v>42</v>
      </c>
      <c r="F307" t="s">
        <v>4</v>
      </c>
      <c r="G307">
        <v>50</v>
      </c>
      <c r="H307">
        <v>30</v>
      </c>
      <c r="I307">
        <v>55</v>
      </c>
      <c r="J307">
        <v>65</v>
      </c>
      <c r="K307">
        <v>55</v>
      </c>
      <c r="L307">
        <v>20</v>
      </c>
      <c r="M307" t="s">
        <v>710</v>
      </c>
      <c r="N307" t="s">
        <v>298</v>
      </c>
      <c r="O307" t="s">
        <v>299</v>
      </c>
      <c r="P307">
        <f t="shared" si="212"/>
        <v>4.3499999999999996</v>
      </c>
      <c r="Q307">
        <f t="shared" si="213"/>
        <v>5.3</v>
      </c>
      <c r="R307">
        <v>1</v>
      </c>
      <c r="S307">
        <v>0</v>
      </c>
      <c r="T307">
        <f t="shared" si="214"/>
        <v>5</v>
      </c>
      <c r="U307">
        <f t="shared" si="215"/>
        <v>5</v>
      </c>
      <c r="V307">
        <f t="shared" si="216"/>
        <v>10</v>
      </c>
      <c r="W307" t="str">
        <f t="shared" si="227"/>
        <v>ghost</v>
      </c>
      <c r="X307" t="str">
        <f t="shared" si="252"/>
        <v>fire</v>
      </c>
      <c r="Y307" t="s">
        <v>26</v>
      </c>
      <c r="Z307" t="s">
        <v>2</v>
      </c>
      <c r="AA307" t="str">
        <f>B308</f>
        <v>Lampent</v>
      </c>
      <c r="AB307">
        <f t="shared" si="226"/>
        <v>4</v>
      </c>
      <c r="AC307" t="s">
        <v>722</v>
      </c>
      <c r="AD307" t="str">
        <f>VLOOKUP(AC307,moves!A:B,2,FALSE)</f>
        <v>fire</v>
      </c>
      <c r="AE307">
        <f>VLOOKUP(AC307,moves!A:D,4,FALSE)</f>
        <v>1</v>
      </c>
      <c r="AF307" t="str">
        <f>IF(VLOOKUP(AC307,moves!A:F,5,FALSE)=0, "", VLOOKUP(AC307,moves!A:F,5,FALSE))</f>
        <v>agile</v>
      </c>
      <c r="AG307" t="str">
        <f>VLOOKUP(AC307,moves!A:F,6,FALSE)</f>
        <v>Inflict the [burned] status on the target.</v>
      </c>
      <c r="AH307">
        <v>1</v>
      </c>
      <c r="AI307">
        <v>0</v>
      </c>
      <c r="AJ307" t="str" cm="1">
        <f t="array" ref="AJ307">_xlfn.IFS(AH307=1, "starter", AI307=1, "legendary",V307&lt; 13, "weak",V307&lt; 17, "moderate", TRUE, "strong")</f>
        <v>starter</v>
      </c>
      <c r="AL307">
        <v>1</v>
      </c>
      <c r="AM307">
        <v>0</v>
      </c>
    </row>
    <row r="308" spans="1:40" x14ac:dyDescent="0.25">
      <c r="A308">
        <v>608</v>
      </c>
      <c r="B308" t="s">
        <v>708</v>
      </c>
      <c r="C308" t="str">
        <f t="shared" si="228"/>
        <v>Lampent</v>
      </c>
      <c r="E308" t="s">
        <v>42</v>
      </c>
      <c r="F308" t="s">
        <v>4</v>
      </c>
      <c r="G308">
        <v>60</v>
      </c>
      <c r="H308">
        <v>40</v>
      </c>
      <c r="I308">
        <v>60</v>
      </c>
      <c r="J308">
        <v>95</v>
      </c>
      <c r="K308">
        <v>60</v>
      </c>
      <c r="L308">
        <v>55</v>
      </c>
      <c r="M308" t="s">
        <v>711</v>
      </c>
      <c r="N308" t="s">
        <v>298</v>
      </c>
      <c r="O308" t="s">
        <v>299</v>
      </c>
      <c r="P308">
        <f t="shared" ref="P308:P415" si="253">(0.4*L308 + 0.5*MAX(H308,J308) + 0.1*MIN(H308,J308)) / 10</f>
        <v>7.35</v>
      </c>
      <c r="Q308">
        <f t="shared" ref="Q308:Q415" si="254">(0.4*G308 + 0.3*I308 + 0.3*K308) / 10</f>
        <v>6</v>
      </c>
      <c r="R308">
        <v>1</v>
      </c>
      <c r="S308">
        <v>0</v>
      </c>
      <c r="T308">
        <f t="shared" ref="T308:T415" si="255">ROUND(P308,0)+R308</f>
        <v>8</v>
      </c>
      <c r="U308">
        <f t="shared" ref="U308:U415" si="256">ROUND(Q308,0)+S308</f>
        <v>6</v>
      </c>
      <c r="V308">
        <f t="shared" si="216"/>
        <v>14</v>
      </c>
      <c r="W308" t="str">
        <f t="shared" si="227"/>
        <v>ghost</v>
      </c>
      <c r="X308" t="str">
        <f t="shared" si="252"/>
        <v>fire</v>
      </c>
      <c r="Y308" t="s">
        <v>26</v>
      </c>
      <c r="Z308" t="s">
        <v>2</v>
      </c>
      <c r="AA308" t="str">
        <f>B309</f>
        <v>Chandelure</v>
      </c>
      <c r="AB308">
        <f t="shared" si="226"/>
        <v>6</v>
      </c>
      <c r="AC308" t="s">
        <v>501</v>
      </c>
      <c r="AD308" t="str">
        <f>VLOOKUP(AC308,moves!A:B,2,FALSE)</f>
        <v>ghost</v>
      </c>
      <c r="AE308">
        <f>VLOOKUP(AC308,moves!A:D,4,FALSE)</f>
        <v>3</v>
      </c>
      <c r="AF308" t="str">
        <f>IF(VLOOKUP(AC308,moves!A:F,5,FALSE)=0, "", VLOOKUP(AC308,moves!A:F,5,FALSE))</f>
        <v/>
      </c>
      <c r="AG308" t="str">
        <f>VLOOKUP(AC308,moves!A:F,6,FALSE)</f>
        <v>For each status effect on the target: Deal 1 extra damage.</v>
      </c>
      <c r="AH308">
        <v>0</v>
      </c>
      <c r="AI308">
        <v>0</v>
      </c>
      <c r="AJ308" t="str" cm="1">
        <f t="array" ref="AJ308">_xlfn.IFS(AH308=1, "starter", AI308=1, "legendary",V308&lt; 13, "weak",V308&lt; 17, "moderate", TRUE, "strong")</f>
        <v>moderate</v>
      </c>
      <c r="AL308">
        <v>2</v>
      </c>
      <c r="AM308">
        <v>0</v>
      </c>
    </row>
    <row r="309" spans="1:40" x14ac:dyDescent="0.25">
      <c r="A309">
        <v>609</v>
      </c>
      <c r="B309" t="s">
        <v>709</v>
      </c>
      <c r="C309" t="str">
        <f t="shared" ref="C309:C338" si="257">B309</f>
        <v>Chandelure</v>
      </c>
      <c r="E309" t="s">
        <v>42</v>
      </c>
      <c r="F309" t="s">
        <v>4</v>
      </c>
      <c r="G309">
        <v>60</v>
      </c>
      <c r="H309">
        <v>55</v>
      </c>
      <c r="I309">
        <v>90</v>
      </c>
      <c r="J309">
        <v>145</v>
      </c>
      <c r="K309">
        <v>90</v>
      </c>
      <c r="L309">
        <v>80</v>
      </c>
      <c r="M309" t="s">
        <v>712</v>
      </c>
      <c r="N309" t="s">
        <v>298</v>
      </c>
      <c r="O309" t="s">
        <v>299</v>
      </c>
      <c r="P309">
        <f t="shared" si="253"/>
        <v>11</v>
      </c>
      <c r="Q309">
        <f t="shared" si="254"/>
        <v>7.8</v>
      </c>
      <c r="R309">
        <v>0</v>
      </c>
      <c r="S309">
        <v>-1</v>
      </c>
      <c r="T309">
        <f t="shared" si="255"/>
        <v>11</v>
      </c>
      <c r="U309">
        <f t="shared" si="256"/>
        <v>7</v>
      </c>
      <c r="V309">
        <f t="shared" si="216"/>
        <v>18</v>
      </c>
      <c r="W309" t="str">
        <f t="shared" si="227"/>
        <v>ghost</v>
      </c>
      <c r="X309" t="str">
        <f t="shared" si="252"/>
        <v>fire</v>
      </c>
      <c r="Y309" t="s">
        <v>26</v>
      </c>
      <c r="Z309" t="s">
        <v>2</v>
      </c>
      <c r="AB309" t="str">
        <f t="shared" si="226"/>
        <v/>
      </c>
      <c r="AC309" t="s">
        <v>723</v>
      </c>
      <c r="AD309" t="str">
        <f>VLOOKUP(AC309,moves!A:B,2,FALSE)</f>
        <v>fire</v>
      </c>
      <c r="AE309">
        <f>VLOOKUP(AC309,moves!A:D,4,FALSE)</f>
        <v>5</v>
      </c>
      <c r="AF309" t="str">
        <f>IF(VLOOKUP(AC309,moves!A:F,5,FALSE)=0, "", VLOOKUP(AC309,moves!A:F,5,FALSE))</f>
        <v/>
      </c>
      <c r="AG309" t="str">
        <f>VLOOKUP(AC309,moves!A:F,6,FALSE)</f>
        <v>Inflict the [burned] status on the target. [status_symbol]s deal -1 damage.</v>
      </c>
      <c r="AH309">
        <v>0</v>
      </c>
      <c r="AI309">
        <v>0</v>
      </c>
      <c r="AJ309" t="str" cm="1">
        <f t="array" ref="AJ309">_xlfn.IFS(AH309=1, "starter", AI309=1, "legendary",V309&lt; 13, "weak",V309&lt; 17, "moderate", TRUE, "strong")</f>
        <v>strong</v>
      </c>
      <c r="AL309">
        <v>3</v>
      </c>
      <c r="AM309">
        <v>0</v>
      </c>
      <c r="AN309">
        <v>1</v>
      </c>
    </row>
    <row r="310" spans="1:40" x14ac:dyDescent="0.25">
      <c r="A310" t="s">
        <v>1010</v>
      </c>
      <c r="B310" t="s">
        <v>709</v>
      </c>
      <c r="C310" t="str">
        <f t="shared" si="257"/>
        <v>Chandelure</v>
      </c>
      <c r="D310" t="s">
        <v>1004</v>
      </c>
      <c r="E310" t="s">
        <v>42</v>
      </c>
      <c r="F310" t="s">
        <v>4</v>
      </c>
      <c r="G310">
        <v>60</v>
      </c>
      <c r="H310">
        <v>55</v>
      </c>
      <c r="I310">
        <v>90</v>
      </c>
      <c r="J310">
        <v>145</v>
      </c>
      <c r="K310">
        <v>90</v>
      </c>
      <c r="L310">
        <v>80</v>
      </c>
      <c r="M310" t="s">
        <v>712</v>
      </c>
      <c r="O310" t="s">
        <v>777</v>
      </c>
      <c r="P310">
        <f t="shared" ref="P310" si="258">(0.4*L310 + 0.5*MAX(H310,J310) + 0.1*MIN(H310,J310)) / 10</f>
        <v>11</v>
      </c>
      <c r="Q310">
        <f t="shared" ref="Q310" si="259">(0.4*G310 + 0.3*I310 + 0.3*K310) / 10</f>
        <v>7.8</v>
      </c>
      <c r="R310">
        <v>2</v>
      </c>
      <c r="S310">
        <v>1</v>
      </c>
      <c r="T310">
        <f t="shared" ref="T310" si="260">ROUND(P310,0)+R310</f>
        <v>13</v>
      </c>
      <c r="U310">
        <f t="shared" ref="U310" si="261">ROUND(Q310,0)+S310</f>
        <v>9</v>
      </c>
      <c r="V310">
        <f t="shared" ref="V310" si="262">SUM(ROUND(T310,0),ROUND(U310,0))</f>
        <v>22</v>
      </c>
      <c r="W310" t="str">
        <f t="shared" ref="W310" si="263">E310</f>
        <v>ghost</v>
      </c>
      <c r="X310" t="str">
        <f t="shared" ref="X310" si="264">IF(F310 = 0, "", F310)</f>
        <v>fire</v>
      </c>
      <c r="Y310" t="s">
        <v>26</v>
      </c>
      <c r="Z310" t="s">
        <v>2</v>
      </c>
      <c r="AB310" t="str">
        <f t="shared" si="226"/>
        <v/>
      </c>
      <c r="AC310" t="s">
        <v>723</v>
      </c>
      <c r="AD310" t="str">
        <f>VLOOKUP(AC310,moves!A:B,2,FALSE)</f>
        <v>fire</v>
      </c>
      <c r="AE310">
        <f>VLOOKUP(AC310,moves!A:D,4,FALSE)</f>
        <v>5</v>
      </c>
      <c r="AF310" t="str">
        <f>IF(VLOOKUP(AC310,moves!A:F,5,FALSE)=0, "", VLOOKUP(AC310,moves!A:F,5,FALSE))</f>
        <v/>
      </c>
      <c r="AG310" t="str">
        <f>VLOOKUP(AC310,moves!A:F,6,FALSE)</f>
        <v>Inflict the [burned] status on the target. [status_symbol]s deal -1 damage.</v>
      </c>
      <c r="AH310">
        <v>0</v>
      </c>
      <c r="AI310">
        <v>1</v>
      </c>
      <c r="AJ310" t="str" cm="1">
        <f t="array" ref="AJ310">_xlfn.IFS(AH310=1, "starter", AI310=1, "legendary",V310&lt; 13, "weak",V310&lt; 17, "moderate", TRUE, "strong")</f>
        <v>legendary</v>
      </c>
      <c r="AL310">
        <v>3</v>
      </c>
      <c r="AM310">
        <v>0</v>
      </c>
      <c r="AN310">
        <v>2</v>
      </c>
    </row>
    <row r="311" spans="1:40" x14ac:dyDescent="0.25">
      <c r="A311">
        <v>722</v>
      </c>
      <c r="B311" t="s">
        <v>726</v>
      </c>
      <c r="C311" t="str">
        <f t="shared" si="257"/>
        <v>Rowlet</v>
      </c>
      <c r="E311" t="s">
        <v>2</v>
      </c>
      <c r="F311" t="s">
        <v>5</v>
      </c>
      <c r="G311">
        <v>68</v>
      </c>
      <c r="H311">
        <v>55</v>
      </c>
      <c r="I311">
        <v>55</v>
      </c>
      <c r="J311">
        <v>50</v>
      </c>
      <c r="K311">
        <v>50</v>
      </c>
      <c r="L311">
        <v>42</v>
      </c>
      <c r="M311" t="s">
        <v>727</v>
      </c>
      <c r="N311" t="s">
        <v>298</v>
      </c>
      <c r="O311" t="s">
        <v>300</v>
      </c>
      <c r="P311">
        <f t="shared" si="253"/>
        <v>4.93</v>
      </c>
      <c r="Q311">
        <f t="shared" si="254"/>
        <v>5.87</v>
      </c>
      <c r="R311">
        <v>0</v>
      </c>
      <c r="S311">
        <v>-1</v>
      </c>
      <c r="T311">
        <f t="shared" si="255"/>
        <v>5</v>
      </c>
      <c r="U311">
        <f t="shared" si="256"/>
        <v>5</v>
      </c>
      <c r="V311">
        <f t="shared" si="216"/>
        <v>10</v>
      </c>
      <c r="W311" t="str">
        <f t="shared" si="227"/>
        <v>grass</v>
      </c>
      <c r="X311" t="str">
        <f t="shared" si="252"/>
        <v>flying</v>
      </c>
      <c r="Y311" t="s">
        <v>42</v>
      </c>
      <c r="Z311" t="s">
        <v>8</v>
      </c>
      <c r="AA311" t="str">
        <f>B312</f>
        <v>Dartrix</v>
      </c>
      <c r="AB311">
        <f t="shared" si="226"/>
        <v>4</v>
      </c>
      <c r="AC311" t="s">
        <v>728</v>
      </c>
      <c r="AD311" t="str">
        <f>VLOOKUP(AC311,moves!A:B,2,FALSE)</f>
        <v>flying</v>
      </c>
      <c r="AE311">
        <f>VLOOKUP(AC311,moves!A:D,4,FALSE)</f>
        <v>2</v>
      </c>
      <c r="AF311" t="str">
        <f>IF(VLOOKUP(AC311,moves!A:F,5,FALSE)=0, "", VLOOKUP(AC311,moves!A:F,5,FALSE))</f>
        <v/>
      </c>
      <c r="AG311" t="str">
        <f>VLOOKUP(AC311,moves!A:F,6,FALSE)</f>
        <v>When the target is next attacked, add 1 [critical_hit] to the roll.</v>
      </c>
      <c r="AH311">
        <v>1</v>
      </c>
      <c r="AI311">
        <v>0</v>
      </c>
      <c r="AJ311" t="str" cm="1">
        <f t="array" ref="AJ311">_xlfn.IFS(AH311=1, "starter", AI311=1, "legendary",V311&lt; 13, "weak",V311&lt; 17, "moderate", TRUE, "strong")</f>
        <v>starter</v>
      </c>
      <c r="AL311">
        <v>1</v>
      </c>
      <c r="AM311">
        <v>0</v>
      </c>
    </row>
    <row r="312" spans="1:40" x14ac:dyDescent="0.25">
      <c r="A312">
        <v>723</v>
      </c>
      <c r="B312" t="s">
        <v>786</v>
      </c>
      <c r="C312" t="str">
        <f t="shared" si="257"/>
        <v>Dartrix</v>
      </c>
      <c r="E312" t="s">
        <v>2</v>
      </c>
      <c r="F312" t="s">
        <v>5</v>
      </c>
      <c r="G312">
        <v>78</v>
      </c>
      <c r="H312">
        <v>75</v>
      </c>
      <c r="I312">
        <v>75</v>
      </c>
      <c r="J312">
        <v>70</v>
      </c>
      <c r="K312">
        <v>70</v>
      </c>
      <c r="L312">
        <v>52</v>
      </c>
      <c r="M312" t="s">
        <v>731</v>
      </c>
      <c r="N312" t="s">
        <v>298</v>
      </c>
      <c r="O312" t="s">
        <v>300</v>
      </c>
      <c r="P312">
        <f>(0.4*L312 + 0.5*MAX(H312,J312) + 0.1*MIN(H312,J312)) / 10</f>
        <v>6.5299999999999994</v>
      </c>
      <c r="Q312">
        <f>(0.4*G312 + 0.3*I312 + 0.3*K312) / 10</f>
        <v>7.4700000000000006</v>
      </c>
      <c r="R312">
        <v>0</v>
      </c>
      <c r="S312">
        <v>0</v>
      </c>
      <c r="T312">
        <f t="shared" si="255"/>
        <v>7</v>
      </c>
      <c r="U312">
        <f t="shared" si="256"/>
        <v>7</v>
      </c>
      <c r="V312">
        <f>SUM(ROUND(T312,0),ROUND(U312,0))</f>
        <v>14</v>
      </c>
      <c r="W312" t="str">
        <f t="shared" si="227"/>
        <v>grass</v>
      </c>
      <c r="X312" t="str">
        <f t="shared" si="252"/>
        <v>flying</v>
      </c>
      <c r="Y312" t="s">
        <v>42</v>
      </c>
      <c r="Z312" t="s">
        <v>8</v>
      </c>
      <c r="AA312" t="str">
        <f>B313</f>
        <v>Decidueye</v>
      </c>
      <c r="AB312">
        <f t="shared" si="226"/>
        <v>6</v>
      </c>
      <c r="AC312" t="s">
        <v>729</v>
      </c>
      <c r="AD312" t="str">
        <f>VLOOKUP(AC312,moves!A:B,2,FALSE)</f>
        <v>grass</v>
      </c>
      <c r="AE312">
        <f>VLOOKUP(AC312,moves!A:D,4,FALSE)</f>
        <v>4</v>
      </c>
      <c r="AF312" t="str">
        <f>IF(VLOOKUP(AC312,moves!A:F,5,FALSE)=0, "", VLOOKUP(AC312,moves!A:F,5,FALSE))</f>
        <v/>
      </c>
      <c r="AG312" t="str">
        <f>VLOOKUP(AC312,moves!A:F,6,FALSE)</f>
        <v>[critical_hit]s deal +1 damage.</v>
      </c>
      <c r="AH312">
        <v>0</v>
      </c>
      <c r="AI312">
        <v>0</v>
      </c>
      <c r="AJ312" t="str" cm="1">
        <f t="array" ref="AJ312">_xlfn.IFS(AH312=1, "starter", AI312=1, "legendary",V312&lt; 13, "weak",V312&lt; 17, "moderate", TRUE, "strong")</f>
        <v>moderate</v>
      </c>
      <c r="AL312">
        <v>2</v>
      </c>
      <c r="AM312">
        <v>0</v>
      </c>
    </row>
    <row r="313" spans="1:40" x14ac:dyDescent="0.25">
      <c r="A313">
        <v>724</v>
      </c>
      <c r="B313" t="s">
        <v>730</v>
      </c>
      <c r="C313" t="str">
        <f t="shared" si="257"/>
        <v>Decidueye</v>
      </c>
      <c r="E313" t="s">
        <v>2</v>
      </c>
      <c r="F313" t="s">
        <v>42</v>
      </c>
      <c r="G313">
        <v>78</v>
      </c>
      <c r="H313">
        <v>107</v>
      </c>
      <c r="I313">
        <v>75</v>
      </c>
      <c r="J313">
        <v>100</v>
      </c>
      <c r="K313">
        <v>100</v>
      </c>
      <c r="L313">
        <v>70</v>
      </c>
      <c r="M313" t="s">
        <v>732</v>
      </c>
      <c r="N313" t="s">
        <v>298</v>
      </c>
      <c r="O313" t="s">
        <v>300</v>
      </c>
      <c r="P313">
        <f>(0.4*L313 + 0.5*MAX(H313,J313) + 0.1*MIN(H313,J313)) / 10</f>
        <v>9.15</v>
      </c>
      <c r="Q313">
        <f>(0.4*G313 + 0.3*I313 + 0.3*K313) / 10</f>
        <v>8.370000000000001</v>
      </c>
      <c r="R313">
        <v>0</v>
      </c>
      <c r="S313">
        <v>1</v>
      </c>
      <c r="T313">
        <f t="shared" si="255"/>
        <v>9</v>
      </c>
      <c r="U313">
        <f t="shared" si="256"/>
        <v>9</v>
      </c>
      <c r="V313">
        <f>SUM(ROUND(T313,0),ROUND(U313,0))</f>
        <v>18</v>
      </c>
      <c r="W313" t="str">
        <f t="shared" si="227"/>
        <v>grass</v>
      </c>
      <c r="X313" t="str">
        <f t="shared" si="252"/>
        <v>ghost</v>
      </c>
      <c r="Y313" t="s">
        <v>5</v>
      </c>
      <c r="Z313" t="s">
        <v>22</v>
      </c>
      <c r="AB313" t="str">
        <f t="shared" si="226"/>
        <v/>
      </c>
      <c r="AC313" t="s">
        <v>733</v>
      </c>
      <c r="AD313" t="str">
        <f>VLOOKUP(AC313,moves!A:B,2,FALSE)</f>
        <v>ghost</v>
      </c>
      <c r="AE313">
        <f>VLOOKUP(AC313,moves!A:D,4,FALSE)</f>
        <v>4</v>
      </c>
      <c r="AF313" t="str">
        <f>IF(VLOOKUP(AC313,moves!A:F,5,FALSE)=0, "", VLOOKUP(AC313,moves!A:F,5,FALSE))</f>
        <v/>
      </c>
      <c r="AG313" t="str">
        <f>VLOOKUP(AC313,moves!A:F,6,FALSE)</f>
        <v>Inflict the [paralysed] status on the target and another Pokémon in the target party.</v>
      </c>
      <c r="AH313">
        <v>0</v>
      </c>
      <c r="AI313">
        <v>0</v>
      </c>
      <c r="AJ313" t="str" cm="1">
        <f t="array" ref="AJ313">_xlfn.IFS(AH313=1, "starter", AI313=1, "legendary",V313&lt; 13, "weak",V313&lt; 17, "moderate", TRUE, "strong")</f>
        <v>strong</v>
      </c>
      <c r="AL313">
        <v>3</v>
      </c>
      <c r="AM313">
        <v>0</v>
      </c>
      <c r="AN313">
        <v>1</v>
      </c>
    </row>
    <row r="314" spans="1:40" x14ac:dyDescent="0.25">
      <c r="A314" t="s">
        <v>1011</v>
      </c>
      <c r="B314" t="s">
        <v>730</v>
      </c>
      <c r="C314" t="str">
        <f t="shared" si="257"/>
        <v>Decidueye</v>
      </c>
      <c r="D314" t="s">
        <v>1004</v>
      </c>
      <c r="E314" t="s">
        <v>2</v>
      </c>
      <c r="F314" t="s">
        <v>42</v>
      </c>
      <c r="G314">
        <v>78</v>
      </c>
      <c r="H314">
        <v>107</v>
      </c>
      <c r="I314">
        <v>75</v>
      </c>
      <c r="J314">
        <v>100</v>
      </c>
      <c r="K314">
        <v>100</v>
      </c>
      <c r="L314">
        <v>70</v>
      </c>
      <c r="M314" t="s">
        <v>732</v>
      </c>
      <c r="O314" t="s">
        <v>777</v>
      </c>
      <c r="P314">
        <f>(0.4*L314 + 0.5*MAX(H314,J314) + 0.1*MIN(H314,J314)) / 10</f>
        <v>9.15</v>
      </c>
      <c r="Q314">
        <f>(0.4*G314 + 0.3*I314 + 0.3*K314) / 10</f>
        <v>8.370000000000001</v>
      </c>
      <c r="R314">
        <v>2</v>
      </c>
      <c r="S314">
        <v>3</v>
      </c>
      <c r="T314">
        <f t="shared" ref="T314" si="265">ROUND(P314,0)+R314</f>
        <v>11</v>
      </c>
      <c r="U314">
        <f t="shared" ref="U314" si="266">ROUND(Q314,0)+S314</f>
        <v>11</v>
      </c>
      <c r="V314">
        <f>SUM(ROUND(T314,0),ROUND(U314,0))</f>
        <v>22</v>
      </c>
      <c r="W314" t="str">
        <f t="shared" ref="W314" si="267">E314</f>
        <v>grass</v>
      </c>
      <c r="X314" t="str">
        <f t="shared" ref="X314" si="268">IF(F314 = 0, "", F314)</f>
        <v>ghost</v>
      </c>
      <c r="Y314" t="s">
        <v>5</v>
      </c>
      <c r="Z314" t="s">
        <v>22</v>
      </c>
      <c r="AB314" t="str">
        <f t="shared" si="226"/>
        <v/>
      </c>
      <c r="AC314" t="s">
        <v>733</v>
      </c>
      <c r="AD314" t="str">
        <f>VLOOKUP(AC314,moves!A:B,2,FALSE)</f>
        <v>ghost</v>
      </c>
      <c r="AE314">
        <f>VLOOKUP(AC314,moves!A:D,4,FALSE)</f>
        <v>4</v>
      </c>
      <c r="AF314" t="str">
        <f>IF(VLOOKUP(AC314,moves!A:F,5,FALSE)=0, "", VLOOKUP(AC314,moves!A:F,5,FALSE))</f>
        <v/>
      </c>
      <c r="AG314" t="str">
        <f>VLOOKUP(AC314,moves!A:F,6,FALSE)</f>
        <v>Inflict the [paralysed] status on the target and another Pokémon in the target party.</v>
      </c>
      <c r="AH314">
        <v>0</v>
      </c>
      <c r="AI314">
        <v>1</v>
      </c>
      <c r="AJ314" t="str" cm="1">
        <f t="array" ref="AJ314">_xlfn.IFS(AH314=1, "starter", AI314=1, "legendary",V314&lt; 13, "weak",V314&lt; 17, "moderate", TRUE, "strong")</f>
        <v>legendary</v>
      </c>
      <c r="AL314">
        <v>3</v>
      </c>
      <c r="AM314">
        <v>0</v>
      </c>
      <c r="AN314">
        <v>2</v>
      </c>
    </row>
    <row r="315" spans="1:40" x14ac:dyDescent="0.25">
      <c r="A315">
        <v>155</v>
      </c>
      <c r="B315" t="s">
        <v>716</v>
      </c>
      <c r="C315" t="str">
        <f t="shared" si="257"/>
        <v>Cyndaquil</v>
      </c>
      <c r="E315" t="s">
        <v>4</v>
      </c>
      <c r="G315">
        <v>39</v>
      </c>
      <c r="H315">
        <v>52</v>
      </c>
      <c r="I315">
        <v>43</v>
      </c>
      <c r="J315">
        <v>60</v>
      </c>
      <c r="K315">
        <v>50</v>
      </c>
      <c r="L315">
        <v>65</v>
      </c>
      <c r="M315" t="s">
        <v>717</v>
      </c>
      <c r="N315" t="s">
        <v>304</v>
      </c>
      <c r="O315" t="s">
        <v>302</v>
      </c>
      <c r="P315">
        <f t="shared" si="253"/>
        <v>6.12</v>
      </c>
      <c r="Q315">
        <f t="shared" si="254"/>
        <v>4.3499999999999996</v>
      </c>
      <c r="R315">
        <v>0</v>
      </c>
      <c r="S315">
        <v>0</v>
      </c>
      <c r="T315">
        <f t="shared" si="255"/>
        <v>6</v>
      </c>
      <c r="U315">
        <f t="shared" si="256"/>
        <v>4</v>
      </c>
      <c r="V315">
        <f t="shared" si="216"/>
        <v>10</v>
      </c>
      <c r="W315" t="str">
        <f t="shared" si="227"/>
        <v>fire</v>
      </c>
      <c r="X315" t="s">
        <v>13</v>
      </c>
      <c r="Y315" t="s">
        <v>22</v>
      </c>
      <c r="Z315" t="s">
        <v>8</v>
      </c>
      <c r="AA315" t="str">
        <f>B316</f>
        <v>Quilava</v>
      </c>
      <c r="AB315">
        <f t="shared" si="226"/>
        <v>4</v>
      </c>
      <c r="AC315" t="s">
        <v>720</v>
      </c>
      <c r="AD315" t="str">
        <f>VLOOKUP(AC315,moves!A:B,2,FALSE)</f>
        <v>fire</v>
      </c>
      <c r="AE315">
        <f>VLOOKUP(AC315,moves!A:D,4,FALSE)</f>
        <v>3</v>
      </c>
      <c r="AF315" t="str">
        <f>IF(VLOOKUP(AC315,moves!A:F,5,FALSE)=0, "", VLOOKUP(AC315,moves!A:F,5,FALSE))</f>
        <v>switch</v>
      </c>
      <c r="AG315" t="str">
        <f>VLOOKUP(AC315,moves!A:F,6,FALSE)</f>
        <v>When the target next attacks, remove 1 [regular_hit] from the roll.</v>
      </c>
      <c r="AH315">
        <v>1</v>
      </c>
      <c r="AI315">
        <v>0</v>
      </c>
      <c r="AJ315" t="str" cm="1">
        <f t="array" ref="AJ315">_xlfn.IFS(AH315=1, "starter", AI315=1, "legendary",V315&lt; 13, "weak",V315&lt; 17, "moderate", TRUE, "strong")</f>
        <v>starter</v>
      </c>
      <c r="AL315">
        <v>1</v>
      </c>
      <c r="AM315">
        <v>0</v>
      </c>
    </row>
    <row r="316" spans="1:40" x14ac:dyDescent="0.25">
      <c r="A316">
        <v>156</v>
      </c>
      <c r="B316" t="s">
        <v>718</v>
      </c>
      <c r="C316" t="str">
        <f t="shared" si="257"/>
        <v>Quilava</v>
      </c>
      <c r="E316" t="s">
        <v>4</v>
      </c>
      <c r="G316">
        <v>58</v>
      </c>
      <c r="H316">
        <v>64</v>
      </c>
      <c r="I316">
        <v>58</v>
      </c>
      <c r="J316">
        <v>80</v>
      </c>
      <c r="K316">
        <v>65</v>
      </c>
      <c r="L316">
        <v>80</v>
      </c>
      <c r="M316" t="s">
        <v>719</v>
      </c>
      <c r="N316" t="s">
        <v>304</v>
      </c>
      <c r="O316" t="s">
        <v>302</v>
      </c>
      <c r="P316">
        <f t="shared" si="253"/>
        <v>7.8400000000000007</v>
      </c>
      <c r="Q316">
        <f t="shared" si="254"/>
        <v>6.01</v>
      </c>
      <c r="R316">
        <v>0</v>
      </c>
      <c r="S316">
        <v>0</v>
      </c>
      <c r="T316">
        <f t="shared" si="255"/>
        <v>8</v>
      </c>
      <c r="U316">
        <f t="shared" si="256"/>
        <v>6</v>
      </c>
      <c r="V316">
        <f t="shared" si="216"/>
        <v>14</v>
      </c>
      <c r="W316" t="str">
        <f t="shared" si="227"/>
        <v>fire</v>
      </c>
      <c r="X316" t="s">
        <v>13</v>
      </c>
      <c r="Y316" t="s">
        <v>22</v>
      </c>
      <c r="Z316" t="s">
        <v>8</v>
      </c>
      <c r="AA316" t="str">
        <f>B317</f>
        <v>Typhlosion</v>
      </c>
      <c r="AB316">
        <f t="shared" si="226"/>
        <v>6</v>
      </c>
      <c r="AC316" t="s">
        <v>1111</v>
      </c>
      <c r="AD316" t="str">
        <f>VLOOKUP(AC316,moves!A:B,2,FALSE)</f>
        <v>normal</v>
      </c>
      <c r="AE316">
        <f>VLOOKUP(AC316,moves!A:D,4,FALSE)</f>
        <v>3</v>
      </c>
      <c r="AF316" t="str">
        <f>IF(VLOOKUP(AC316,moves!A:F,5,FALSE)=0, "", VLOOKUP(AC316,moves!A:F,5,FALSE))</f>
        <v/>
      </c>
      <c r="AG316" t="str">
        <f>VLOOKUP(AC316,moves!A:F,6,FALSE)</f>
        <v>[status_symbol]s deal +1 damage.</v>
      </c>
      <c r="AH316">
        <v>0</v>
      </c>
      <c r="AI316">
        <v>0</v>
      </c>
      <c r="AJ316" t="str" cm="1">
        <f t="array" ref="AJ316">_xlfn.IFS(AH316=1, "starter", AI316=1, "legendary",V316&lt; 13, "weak",V316&lt; 17, "moderate", TRUE, "strong")</f>
        <v>moderate</v>
      </c>
      <c r="AL316">
        <v>2</v>
      </c>
      <c r="AM316">
        <v>0</v>
      </c>
    </row>
    <row r="317" spans="1:40" x14ac:dyDescent="0.25">
      <c r="A317">
        <v>157</v>
      </c>
      <c r="B317" t="s">
        <v>724</v>
      </c>
      <c r="C317" t="str">
        <f t="shared" si="257"/>
        <v>Typhlosion</v>
      </c>
      <c r="E317" t="s">
        <v>4</v>
      </c>
      <c r="G317">
        <v>78</v>
      </c>
      <c r="H317">
        <v>84</v>
      </c>
      <c r="I317">
        <v>78</v>
      </c>
      <c r="J317">
        <v>109</v>
      </c>
      <c r="K317">
        <v>85</v>
      </c>
      <c r="L317">
        <v>100</v>
      </c>
      <c r="M317" t="s">
        <v>719</v>
      </c>
      <c r="N317" t="s">
        <v>304</v>
      </c>
      <c r="O317" t="s">
        <v>302</v>
      </c>
      <c r="P317">
        <f t="shared" ref="P317:P368" si="269">(0.4*L317 + 0.5*MAX(H317,J317) + 0.1*MIN(H317,J317)) / 10</f>
        <v>10.290000000000001</v>
      </c>
      <c r="Q317">
        <f t="shared" ref="Q317:Q368" si="270">(0.4*G317 + 0.3*I317 + 0.3*K317) / 10</f>
        <v>8.01</v>
      </c>
      <c r="R317">
        <v>0</v>
      </c>
      <c r="S317">
        <v>0</v>
      </c>
      <c r="T317">
        <f t="shared" si="255"/>
        <v>10</v>
      </c>
      <c r="U317">
        <f t="shared" si="256"/>
        <v>8</v>
      </c>
      <c r="V317">
        <f t="shared" ref="V317:V368" si="271">SUM(ROUND(T317,0),ROUND(U317,0))</f>
        <v>18</v>
      </c>
      <c r="W317" t="str">
        <f t="shared" si="227"/>
        <v>fire</v>
      </c>
      <c r="X317" t="s">
        <v>13</v>
      </c>
      <c r="Y317" t="s">
        <v>22</v>
      </c>
      <c r="Z317" t="s">
        <v>42</v>
      </c>
      <c r="AB317" t="str">
        <f t="shared" si="226"/>
        <v/>
      </c>
      <c r="AC317" t="s">
        <v>725</v>
      </c>
      <c r="AD317" t="str">
        <f>VLOOKUP(AC317,moves!A:B,2,FALSE)</f>
        <v>fire</v>
      </c>
      <c r="AE317" t="str">
        <f>VLOOKUP(AC317,moves!A:D,4,FALSE)</f>
        <v/>
      </c>
      <c r="AF317" t="str">
        <f>IF(VLOOKUP(AC317,moves!A:F,5,FALSE)=0, "", VLOOKUP(AC317,moves!A:F,5,FALSE))</f>
        <v>dynamic</v>
      </c>
      <c r="AG317" t="str">
        <f>VLOOKUP(AC317,moves!A:F,6,FALSE)</f>
        <v>Attack Strength is equal to the current Health of the user.</v>
      </c>
      <c r="AH317">
        <v>0</v>
      </c>
      <c r="AI317">
        <v>0</v>
      </c>
      <c r="AJ317" t="str" cm="1">
        <f t="array" ref="AJ317">_xlfn.IFS(AH317=1, "starter", AI317=1, "legendary",V317&lt; 13, "weak",V317&lt; 17, "moderate", TRUE, "strong")</f>
        <v>strong</v>
      </c>
      <c r="AL317">
        <v>3</v>
      </c>
      <c r="AM317">
        <v>0</v>
      </c>
      <c r="AN317">
        <v>1</v>
      </c>
    </row>
    <row r="318" spans="1:40" x14ac:dyDescent="0.25">
      <c r="A318" t="s">
        <v>1012</v>
      </c>
      <c r="B318" t="s">
        <v>724</v>
      </c>
      <c r="C318" t="str">
        <f t="shared" si="257"/>
        <v>Typhlosion</v>
      </c>
      <c r="D318" t="s">
        <v>1004</v>
      </c>
      <c r="E318" t="s">
        <v>4</v>
      </c>
      <c r="G318">
        <v>78</v>
      </c>
      <c r="H318">
        <v>84</v>
      </c>
      <c r="I318">
        <v>78</v>
      </c>
      <c r="J318">
        <v>109</v>
      </c>
      <c r="K318">
        <v>85</v>
      </c>
      <c r="L318">
        <v>100</v>
      </c>
      <c r="M318" t="s">
        <v>719</v>
      </c>
      <c r="O318" t="s">
        <v>777</v>
      </c>
      <c r="P318">
        <f t="shared" ref="P318" si="272">(0.4*L318 + 0.5*MAX(H318,J318) + 0.1*MIN(H318,J318)) / 10</f>
        <v>10.290000000000001</v>
      </c>
      <c r="Q318">
        <f t="shared" ref="Q318" si="273">(0.4*G318 + 0.3*I318 + 0.3*K318) / 10</f>
        <v>8.01</v>
      </c>
      <c r="R318">
        <v>2</v>
      </c>
      <c r="S318">
        <v>2</v>
      </c>
      <c r="T318">
        <f t="shared" ref="T318" si="274">ROUND(P318,0)+R318</f>
        <v>12</v>
      </c>
      <c r="U318">
        <f t="shared" ref="U318" si="275">ROUND(Q318,0)+S318</f>
        <v>10</v>
      </c>
      <c r="V318">
        <f t="shared" ref="V318" si="276">SUM(ROUND(T318,0),ROUND(U318,0))</f>
        <v>22</v>
      </c>
      <c r="W318" t="str">
        <f t="shared" ref="W318" si="277">E318</f>
        <v>fire</v>
      </c>
      <c r="X318" t="s">
        <v>13</v>
      </c>
      <c r="Y318" t="s">
        <v>22</v>
      </c>
      <c r="Z318" t="s">
        <v>42</v>
      </c>
      <c r="AB318" t="str">
        <f t="shared" si="226"/>
        <v/>
      </c>
      <c r="AC318" t="s">
        <v>725</v>
      </c>
      <c r="AD318" t="str">
        <f>VLOOKUP(AC318,moves!A:B,2,FALSE)</f>
        <v>fire</v>
      </c>
      <c r="AE318" t="str">
        <f>VLOOKUP(AC318,moves!A:D,4,FALSE)</f>
        <v/>
      </c>
      <c r="AF318" t="str">
        <f>IF(VLOOKUP(AC318,moves!A:F,5,FALSE)=0, "", VLOOKUP(AC318,moves!A:F,5,FALSE))</f>
        <v>dynamic</v>
      </c>
      <c r="AG318" t="str">
        <f>VLOOKUP(AC318,moves!A:F,6,FALSE)</f>
        <v>Attack Strength is equal to the current Health of the user.</v>
      </c>
      <c r="AH318">
        <v>0</v>
      </c>
      <c r="AI318">
        <v>1</v>
      </c>
      <c r="AJ318" t="str" cm="1">
        <f t="array" ref="AJ318">_xlfn.IFS(AH318=1, "starter", AI318=1, "legendary",V318&lt; 13, "weak",V318&lt; 17, "moderate", TRUE, "strong")</f>
        <v>legendary</v>
      </c>
      <c r="AL318">
        <v>3</v>
      </c>
      <c r="AM318">
        <v>0</v>
      </c>
      <c r="AN318">
        <v>2</v>
      </c>
    </row>
    <row r="319" spans="1:40" x14ac:dyDescent="0.25">
      <c r="A319">
        <v>501</v>
      </c>
      <c r="B319" t="s">
        <v>734</v>
      </c>
      <c r="C319" t="str">
        <f t="shared" si="257"/>
        <v>Oshawott</v>
      </c>
      <c r="E319" t="s">
        <v>6</v>
      </c>
      <c r="G319">
        <v>55</v>
      </c>
      <c r="H319">
        <v>55</v>
      </c>
      <c r="I319">
        <v>45</v>
      </c>
      <c r="J319">
        <v>63</v>
      </c>
      <c r="K319">
        <v>45</v>
      </c>
      <c r="L319">
        <v>45</v>
      </c>
      <c r="M319" t="s">
        <v>735</v>
      </c>
      <c r="N319" t="s">
        <v>303</v>
      </c>
      <c r="O319" t="s">
        <v>299</v>
      </c>
      <c r="P319">
        <f t="shared" si="269"/>
        <v>5.5</v>
      </c>
      <c r="Q319">
        <f t="shared" si="270"/>
        <v>4.9000000000000004</v>
      </c>
      <c r="R319">
        <v>-1</v>
      </c>
      <c r="S319">
        <v>0</v>
      </c>
      <c r="T319">
        <f t="shared" si="255"/>
        <v>5</v>
      </c>
      <c r="U319">
        <f t="shared" si="256"/>
        <v>5</v>
      </c>
      <c r="V319">
        <f t="shared" si="271"/>
        <v>10</v>
      </c>
      <c r="W319" t="str">
        <f t="shared" si="227"/>
        <v>water</v>
      </c>
      <c r="X319" t="s">
        <v>7</v>
      </c>
      <c r="Y319" t="s">
        <v>14</v>
      </c>
      <c r="Z319" t="s">
        <v>8</v>
      </c>
      <c r="AA319" t="str">
        <f>B320</f>
        <v>Dewott</v>
      </c>
      <c r="AB319">
        <f t="shared" si="226"/>
        <v>4</v>
      </c>
      <c r="AC319" t="s">
        <v>740</v>
      </c>
      <c r="AD319" t="str">
        <f>VLOOKUP(AC319,moves!A:B,2,FALSE)</f>
        <v>water</v>
      </c>
      <c r="AE319">
        <f>VLOOKUP(AC319,moves!A:D,4,FALSE)</f>
        <v>3</v>
      </c>
      <c r="AF319" t="str">
        <f>IF(VLOOKUP(AC319,moves!A:F,5,FALSE)=0, "", VLOOKUP(AC319,moves!A:F,5,FALSE))</f>
        <v/>
      </c>
      <c r="AG319" t="str">
        <f>VLOOKUP(AC319,moves!A:F,6,FALSE)</f>
        <v>[critical_hit]s deal +1 damage.</v>
      </c>
      <c r="AH319">
        <v>1</v>
      </c>
      <c r="AI319">
        <v>0</v>
      </c>
      <c r="AJ319" t="str" cm="1">
        <f t="array" ref="AJ319">_xlfn.IFS(AH319=1, "starter", AI319=1, "legendary",V319&lt; 13, "weak",V319&lt; 17, "moderate", TRUE, "strong")</f>
        <v>starter</v>
      </c>
      <c r="AL319">
        <v>1</v>
      </c>
      <c r="AM319">
        <v>0</v>
      </c>
    </row>
    <row r="320" spans="1:40" x14ac:dyDescent="0.25">
      <c r="A320">
        <v>502</v>
      </c>
      <c r="B320" t="s">
        <v>736</v>
      </c>
      <c r="C320" t="str">
        <f t="shared" si="257"/>
        <v>Dewott</v>
      </c>
      <c r="E320" t="s">
        <v>6</v>
      </c>
      <c r="G320">
        <v>75</v>
      </c>
      <c r="H320">
        <v>75</v>
      </c>
      <c r="I320">
        <v>60</v>
      </c>
      <c r="J320">
        <v>83</v>
      </c>
      <c r="K320">
        <v>60</v>
      </c>
      <c r="L320">
        <v>60</v>
      </c>
      <c r="M320" t="s">
        <v>737</v>
      </c>
      <c r="N320" t="s">
        <v>303</v>
      </c>
      <c r="O320" t="s">
        <v>299</v>
      </c>
      <c r="P320">
        <f t="shared" si="269"/>
        <v>7.3</v>
      </c>
      <c r="Q320">
        <f t="shared" si="270"/>
        <v>6.6</v>
      </c>
      <c r="R320">
        <v>0</v>
      </c>
      <c r="S320">
        <v>0</v>
      </c>
      <c r="T320">
        <f t="shared" si="255"/>
        <v>7</v>
      </c>
      <c r="U320">
        <f t="shared" si="256"/>
        <v>7</v>
      </c>
      <c r="V320">
        <f t="shared" si="271"/>
        <v>14</v>
      </c>
      <c r="W320" t="str">
        <f t="shared" si="227"/>
        <v>water</v>
      </c>
      <c r="X320" t="s">
        <v>7</v>
      </c>
      <c r="Y320" t="s">
        <v>14</v>
      </c>
      <c r="Z320" t="s">
        <v>8</v>
      </c>
      <c r="AA320" t="str">
        <f>B321</f>
        <v>Samurott</v>
      </c>
      <c r="AB320">
        <f t="shared" si="226"/>
        <v>6</v>
      </c>
      <c r="AC320" t="s">
        <v>635</v>
      </c>
      <c r="AD320" t="str">
        <f>VLOOKUP(AC320,moves!A:B,2,FALSE)</f>
        <v>water</v>
      </c>
      <c r="AE320">
        <f>VLOOKUP(AC320,moves!A:D,4,FALSE)</f>
        <v>2</v>
      </c>
      <c r="AF320" t="str">
        <f>IF(VLOOKUP(AC320,moves!A:F,5,FALSE)=0, "", VLOOKUP(AC320,moves!A:F,5,FALSE))</f>
        <v>agile</v>
      </c>
      <c r="AG320" t="str">
        <f>VLOOKUP(AC320,moves!A:F,6,FALSE)</f>
        <v>[status_symbol]s deal -1 damage.</v>
      </c>
      <c r="AH320">
        <v>0</v>
      </c>
      <c r="AI320">
        <v>0</v>
      </c>
      <c r="AJ320" t="str" cm="1">
        <f t="array" ref="AJ320">_xlfn.IFS(AH320=1, "starter", AI320=1, "legendary",V320&lt; 13, "weak",V320&lt; 17, "moderate", TRUE, "strong")</f>
        <v>moderate</v>
      </c>
      <c r="AL320">
        <v>2</v>
      </c>
      <c r="AM320">
        <v>0</v>
      </c>
    </row>
    <row r="321" spans="1:40" x14ac:dyDescent="0.25">
      <c r="A321">
        <v>503</v>
      </c>
      <c r="B321" t="s">
        <v>739</v>
      </c>
      <c r="C321" t="str">
        <f t="shared" si="257"/>
        <v>Samurott</v>
      </c>
      <c r="E321" t="s">
        <v>6</v>
      </c>
      <c r="G321">
        <v>90</v>
      </c>
      <c r="H321">
        <v>108</v>
      </c>
      <c r="I321">
        <v>80</v>
      </c>
      <c r="J321">
        <v>100</v>
      </c>
      <c r="K321">
        <v>65</v>
      </c>
      <c r="L321">
        <v>85</v>
      </c>
      <c r="M321" t="s">
        <v>738</v>
      </c>
      <c r="N321" t="s">
        <v>303</v>
      </c>
      <c r="O321" t="s">
        <v>299</v>
      </c>
      <c r="P321">
        <f t="shared" si="269"/>
        <v>9.8000000000000007</v>
      </c>
      <c r="Q321">
        <f t="shared" si="270"/>
        <v>7.95</v>
      </c>
      <c r="R321">
        <v>0</v>
      </c>
      <c r="S321">
        <v>0</v>
      </c>
      <c r="T321">
        <f t="shared" si="255"/>
        <v>10</v>
      </c>
      <c r="U321">
        <f t="shared" si="256"/>
        <v>8</v>
      </c>
      <c r="V321">
        <f t="shared" si="271"/>
        <v>18</v>
      </c>
      <c r="W321" t="str">
        <f t="shared" si="227"/>
        <v>water</v>
      </c>
      <c r="X321" t="s">
        <v>7</v>
      </c>
      <c r="Y321" t="s">
        <v>14</v>
      </c>
      <c r="Z321" t="s">
        <v>9</v>
      </c>
      <c r="AB321" t="str">
        <f t="shared" si="226"/>
        <v/>
      </c>
      <c r="AC321" t="s">
        <v>497</v>
      </c>
      <c r="AD321" t="str">
        <f>VLOOKUP(AC321,moves!A:B,2,FALSE)</f>
        <v>bug</v>
      </c>
      <c r="AE321">
        <f>VLOOKUP(AC321,moves!A:D,4,FALSE)</f>
        <v>5</v>
      </c>
      <c r="AF321" t="str">
        <f>IF(VLOOKUP(AC321,moves!A:F,5,FALSE)=0, "", VLOOKUP(AC321,moves!A:F,5,FALSE))</f>
        <v/>
      </c>
      <c r="AG321" t="str">
        <f>VLOOKUP(AC321,moves!A:F,6,FALSE)</f>
        <v>[critical_hit]s deal +1 damage but [status_symbol]s deal -1 damage.</v>
      </c>
      <c r="AH321">
        <v>0</v>
      </c>
      <c r="AI321">
        <v>0</v>
      </c>
      <c r="AJ321" t="str" cm="1">
        <f t="array" ref="AJ321">_xlfn.IFS(AH321=1, "starter", AI321=1, "legendary",V321&lt; 13, "weak",V321&lt; 17, "moderate", TRUE, "strong")</f>
        <v>strong</v>
      </c>
      <c r="AL321">
        <v>3</v>
      </c>
      <c r="AM321">
        <v>0</v>
      </c>
      <c r="AN321">
        <v>1</v>
      </c>
    </row>
    <row r="322" spans="1:40" x14ac:dyDescent="0.25">
      <c r="A322" t="s">
        <v>1013</v>
      </c>
      <c r="B322" t="s">
        <v>739</v>
      </c>
      <c r="C322" t="str">
        <f t="shared" si="257"/>
        <v>Samurott</v>
      </c>
      <c r="D322" t="s">
        <v>1004</v>
      </c>
      <c r="E322" t="s">
        <v>6</v>
      </c>
      <c r="G322">
        <v>90</v>
      </c>
      <c r="H322">
        <v>108</v>
      </c>
      <c r="I322">
        <v>80</v>
      </c>
      <c r="J322">
        <v>100</v>
      </c>
      <c r="K322">
        <v>65</v>
      </c>
      <c r="L322">
        <v>85</v>
      </c>
      <c r="M322" t="s">
        <v>738</v>
      </c>
      <c r="O322" t="s">
        <v>777</v>
      </c>
      <c r="P322">
        <f t="shared" ref="P322" si="278">(0.4*L322 + 0.5*MAX(H322,J322) + 0.1*MIN(H322,J322)) / 10</f>
        <v>9.8000000000000007</v>
      </c>
      <c r="Q322">
        <f t="shared" ref="Q322" si="279">(0.4*G322 + 0.3*I322 + 0.3*K322) / 10</f>
        <v>7.95</v>
      </c>
      <c r="R322">
        <v>2</v>
      </c>
      <c r="S322">
        <v>2</v>
      </c>
      <c r="T322">
        <f t="shared" ref="T322" si="280">ROUND(P322,0)+R322</f>
        <v>12</v>
      </c>
      <c r="U322">
        <f t="shared" ref="U322" si="281">ROUND(Q322,0)+S322</f>
        <v>10</v>
      </c>
      <c r="V322">
        <f t="shared" ref="V322" si="282">SUM(ROUND(T322,0),ROUND(U322,0))</f>
        <v>22</v>
      </c>
      <c r="W322" t="str">
        <f t="shared" ref="W322" si="283">E322</f>
        <v>water</v>
      </c>
      <c r="X322" t="s">
        <v>7</v>
      </c>
      <c r="Y322" t="s">
        <v>14</v>
      </c>
      <c r="Z322" t="s">
        <v>9</v>
      </c>
      <c r="AB322" t="str">
        <f t="shared" si="226"/>
        <v/>
      </c>
      <c r="AC322" t="s">
        <v>497</v>
      </c>
      <c r="AD322" t="str">
        <f>VLOOKUP(AC322,moves!A:B,2,FALSE)</f>
        <v>bug</v>
      </c>
      <c r="AE322">
        <f>VLOOKUP(AC322,moves!A:D,4,FALSE)</f>
        <v>5</v>
      </c>
      <c r="AF322" t="str">
        <f>IF(VLOOKUP(AC322,moves!A:F,5,FALSE)=0, "", VLOOKUP(AC322,moves!A:F,5,FALSE))</f>
        <v/>
      </c>
      <c r="AG322" t="str">
        <f>VLOOKUP(AC322,moves!A:F,6,FALSE)</f>
        <v>[critical_hit]s deal +1 damage but [status_symbol]s deal -1 damage.</v>
      </c>
      <c r="AH322">
        <v>0</v>
      </c>
      <c r="AI322">
        <v>1</v>
      </c>
      <c r="AJ322" t="str" cm="1">
        <f t="array" ref="AJ322">_xlfn.IFS(AH322=1, "starter", AI322=1, "legendary",V322&lt; 13, "weak",V322&lt; 17, "moderate", TRUE, "strong")</f>
        <v>legendary</v>
      </c>
      <c r="AL322">
        <v>3</v>
      </c>
      <c r="AM322">
        <v>0</v>
      </c>
      <c r="AN322">
        <v>2</v>
      </c>
    </row>
    <row r="323" spans="1:40" x14ac:dyDescent="0.25">
      <c r="A323">
        <v>803</v>
      </c>
      <c r="B323" t="s">
        <v>778</v>
      </c>
      <c r="C323" t="str">
        <f t="shared" si="257"/>
        <v>Poipole</v>
      </c>
      <c r="E323" t="s">
        <v>3</v>
      </c>
      <c r="G323">
        <v>67</v>
      </c>
      <c r="H323">
        <v>73</v>
      </c>
      <c r="I323">
        <v>67</v>
      </c>
      <c r="J323">
        <v>73</v>
      </c>
      <c r="K323">
        <v>67</v>
      </c>
      <c r="L323">
        <v>73</v>
      </c>
      <c r="M323" t="s">
        <v>779</v>
      </c>
      <c r="O323" t="s">
        <v>549</v>
      </c>
      <c r="P323">
        <f t="shared" si="269"/>
        <v>7.3</v>
      </c>
      <c r="Q323">
        <f t="shared" si="270"/>
        <v>6.7</v>
      </c>
      <c r="R323">
        <v>0</v>
      </c>
      <c r="S323">
        <v>-2</v>
      </c>
      <c r="T323">
        <f t="shared" si="255"/>
        <v>7</v>
      </c>
      <c r="U323">
        <f t="shared" si="256"/>
        <v>5</v>
      </c>
      <c r="V323">
        <f t="shared" si="271"/>
        <v>12</v>
      </c>
      <c r="W323" t="str">
        <f t="shared" si="227"/>
        <v>poison</v>
      </c>
      <c r="X323" t="s">
        <v>8</v>
      </c>
      <c r="Y323" t="s">
        <v>7</v>
      </c>
      <c r="Z323" t="s">
        <v>5</v>
      </c>
      <c r="AA323" t="str">
        <f>B324</f>
        <v>Naganadel</v>
      </c>
      <c r="AB323">
        <f t="shared" si="226"/>
        <v>9</v>
      </c>
      <c r="AC323" t="s">
        <v>493</v>
      </c>
      <c r="AD323" t="str">
        <f>VLOOKUP(AC323,moves!A:B,2,FALSE)</f>
        <v>poison</v>
      </c>
      <c r="AE323">
        <f>VLOOKUP(AC323,moves!A:D,4,FALSE)</f>
        <v>1</v>
      </c>
      <c r="AF323" t="str">
        <f>IF(VLOOKUP(AC323,moves!A:F,5,FALSE)=0, "", VLOOKUP(AC323,moves!A:F,5,FALSE))</f>
        <v>agile</v>
      </c>
      <c r="AG323" t="str">
        <f>VLOOKUP(AC323,moves!A:F,6,FALSE)</f>
        <v>Inflict the [poisoned] status on the target.</v>
      </c>
      <c r="AH323">
        <v>1</v>
      </c>
      <c r="AI323">
        <v>0</v>
      </c>
      <c r="AJ323" t="str" cm="1">
        <f t="array" ref="AJ323">_xlfn.IFS(AH323=1, "starter", AI323=1, "legendary",V323&lt; 13, "weak",V323&lt; 17, "moderate", TRUE, "strong")</f>
        <v>starter</v>
      </c>
      <c r="AL323">
        <v>1</v>
      </c>
      <c r="AM323">
        <v>0</v>
      </c>
    </row>
    <row r="324" spans="1:40" x14ac:dyDescent="0.25">
      <c r="A324">
        <v>804</v>
      </c>
      <c r="B324" t="s">
        <v>780</v>
      </c>
      <c r="C324" t="str">
        <f t="shared" si="257"/>
        <v>Naganadel</v>
      </c>
      <c r="E324" t="s">
        <v>3</v>
      </c>
      <c r="F324" t="s">
        <v>67</v>
      </c>
      <c r="G324">
        <v>73</v>
      </c>
      <c r="H324">
        <v>73</v>
      </c>
      <c r="I324">
        <v>73</v>
      </c>
      <c r="J324">
        <v>127</v>
      </c>
      <c r="K324">
        <v>73</v>
      </c>
      <c r="L324">
        <v>121</v>
      </c>
      <c r="M324" t="s">
        <v>779</v>
      </c>
      <c r="O324" t="s">
        <v>549</v>
      </c>
      <c r="P324">
        <f t="shared" si="269"/>
        <v>11.92</v>
      </c>
      <c r="Q324">
        <f t="shared" si="270"/>
        <v>7.3</v>
      </c>
      <c r="R324">
        <v>0</v>
      </c>
      <c r="S324">
        <v>0</v>
      </c>
      <c r="T324">
        <f t="shared" si="255"/>
        <v>12</v>
      </c>
      <c r="U324">
        <f t="shared" si="256"/>
        <v>7</v>
      </c>
      <c r="V324">
        <f t="shared" si="271"/>
        <v>19</v>
      </c>
      <c r="W324" t="str">
        <f t="shared" si="227"/>
        <v>poison</v>
      </c>
      <c r="X324" t="str">
        <f>IF(F324 = 0, "", F324)</f>
        <v>dragon</v>
      </c>
      <c r="Y324" t="s">
        <v>7</v>
      </c>
      <c r="Z324" t="s">
        <v>5</v>
      </c>
      <c r="AB324" t="str">
        <f t="shared" si="226"/>
        <v/>
      </c>
      <c r="AC324" t="s">
        <v>758</v>
      </c>
      <c r="AD324" t="str">
        <f>VLOOKUP(AC324,moves!A:B,2,FALSE)</f>
        <v>dragon</v>
      </c>
      <c r="AE324">
        <f>VLOOKUP(AC324,moves!A:D,4,FALSE)</f>
        <v>4</v>
      </c>
      <c r="AF324" t="str">
        <f>IF(VLOOKUP(AC324,moves!A:F,5,FALSE)=0, "", VLOOKUP(AC324,moves!A:F,5,FALSE))</f>
        <v/>
      </c>
      <c r="AG324" t="str">
        <f>VLOOKUP(AC324,moves!A:F,6,FALSE)</f>
        <v>[status_symbol]s deal +1 damage.</v>
      </c>
      <c r="AH324">
        <v>0</v>
      </c>
      <c r="AI324">
        <v>0</v>
      </c>
      <c r="AJ324" t="str" cm="1">
        <f t="array" ref="AJ324">_xlfn.IFS(AH324=1, "starter", AI324=1, "legendary",V324&lt; 13, "weak",V324&lt; 17, "moderate", TRUE, "strong")</f>
        <v>strong</v>
      </c>
      <c r="AL324">
        <v>2</v>
      </c>
      <c r="AM324">
        <v>0</v>
      </c>
      <c r="AN324">
        <v>1</v>
      </c>
    </row>
    <row r="325" spans="1:40" x14ac:dyDescent="0.25">
      <c r="A325" t="s">
        <v>1014</v>
      </c>
      <c r="B325" t="s">
        <v>780</v>
      </c>
      <c r="C325" t="str">
        <f t="shared" si="257"/>
        <v>Naganadel</v>
      </c>
      <c r="D325" t="s">
        <v>1004</v>
      </c>
      <c r="E325" t="s">
        <v>3</v>
      </c>
      <c r="F325" t="s">
        <v>67</v>
      </c>
      <c r="G325">
        <v>73</v>
      </c>
      <c r="H325">
        <v>73</v>
      </c>
      <c r="I325">
        <v>73</v>
      </c>
      <c r="J325">
        <v>127</v>
      </c>
      <c r="K325">
        <v>73</v>
      </c>
      <c r="L325">
        <v>121</v>
      </c>
      <c r="M325" t="s">
        <v>779</v>
      </c>
      <c r="O325" t="s">
        <v>777</v>
      </c>
      <c r="P325">
        <f t="shared" ref="P325" si="284">(0.4*L325 + 0.5*MAX(H325,J325) + 0.1*MIN(H325,J325)) / 10</f>
        <v>11.92</v>
      </c>
      <c r="Q325">
        <f t="shared" ref="Q325" si="285">(0.4*G325 + 0.3*I325 + 0.3*K325) / 10</f>
        <v>7.3</v>
      </c>
      <c r="R325">
        <v>2</v>
      </c>
      <c r="S325">
        <v>2</v>
      </c>
      <c r="T325">
        <f t="shared" ref="T325" si="286">ROUND(P325,0)+R325</f>
        <v>14</v>
      </c>
      <c r="U325">
        <f t="shared" ref="U325" si="287">ROUND(Q325,0)+S325</f>
        <v>9</v>
      </c>
      <c r="V325">
        <f t="shared" ref="V325" si="288">SUM(ROUND(T325,0),ROUND(U325,0))</f>
        <v>23</v>
      </c>
      <c r="W325" t="str">
        <f t="shared" ref="W325" si="289">E325</f>
        <v>poison</v>
      </c>
      <c r="X325" t="str">
        <f>IF(F325 = 0, "", F325)</f>
        <v>dragon</v>
      </c>
      <c r="Y325" t="s">
        <v>7</v>
      </c>
      <c r="Z325" t="s">
        <v>5</v>
      </c>
      <c r="AB325" t="str">
        <f t="shared" si="226"/>
        <v/>
      </c>
      <c r="AC325" t="s">
        <v>758</v>
      </c>
      <c r="AD325" t="str">
        <f>VLOOKUP(AC325,moves!A:B,2,FALSE)</f>
        <v>dragon</v>
      </c>
      <c r="AE325">
        <f>VLOOKUP(AC325,moves!A:D,4,FALSE)</f>
        <v>4</v>
      </c>
      <c r="AF325" t="str">
        <f>IF(VLOOKUP(AC325,moves!A:F,5,FALSE)=0, "", VLOOKUP(AC325,moves!A:F,5,FALSE))</f>
        <v/>
      </c>
      <c r="AG325" t="str">
        <f>VLOOKUP(AC325,moves!A:F,6,FALSE)</f>
        <v>[status_symbol]s deal +1 damage.</v>
      </c>
      <c r="AH325">
        <v>0</v>
      </c>
      <c r="AI325">
        <v>1</v>
      </c>
      <c r="AJ325" t="str" cm="1">
        <f t="array" ref="AJ325">_xlfn.IFS(AH325=1, "starter", AI325=1, "legendary",V325&lt; 13, "weak",V325&lt; 17, "moderate", TRUE, "strong")</f>
        <v>legendary</v>
      </c>
      <c r="AL325">
        <v>2</v>
      </c>
      <c r="AM325">
        <v>0</v>
      </c>
      <c r="AN325">
        <v>2</v>
      </c>
    </row>
    <row r="326" spans="1:40" x14ac:dyDescent="0.25">
      <c r="A326">
        <v>686</v>
      </c>
      <c r="B326" t="s">
        <v>808</v>
      </c>
      <c r="C326" t="str">
        <f t="shared" si="257"/>
        <v>Inkay</v>
      </c>
      <c r="E326" t="s">
        <v>9</v>
      </c>
      <c r="F326" t="s">
        <v>26</v>
      </c>
      <c r="G326">
        <v>53</v>
      </c>
      <c r="H326">
        <v>54</v>
      </c>
      <c r="I326">
        <v>53</v>
      </c>
      <c r="J326">
        <v>37</v>
      </c>
      <c r="K326">
        <v>46</v>
      </c>
      <c r="L326">
        <v>45</v>
      </c>
      <c r="M326" t="s">
        <v>809</v>
      </c>
      <c r="N326" t="s">
        <v>303</v>
      </c>
      <c r="O326" t="s">
        <v>299</v>
      </c>
      <c r="P326">
        <f t="shared" si="269"/>
        <v>4.87</v>
      </c>
      <c r="Q326">
        <f t="shared" si="270"/>
        <v>5.09</v>
      </c>
      <c r="R326">
        <v>0</v>
      </c>
      <c r="S326">
        <v>0</v>
      </c>
      <c r="T326">
        <f t="shared" si="255"/>
        <v>5</v>
      </c>
      <c r="U326">
        <f t="shared" si="256"/>
        <v>5</v>
      </c>
      <c r="V326">
        <f t="shared" si="271"/>
        <v>10</v>
      </c>
      <c r="W326" t="str">
        <f t="shared" si="227"/>
        <v>dark</v>
      </c>
      <c r="X326" t="str">
        <f>IF(F326 = 0, "", F326)</f>
        <v>psychic</v>
      </c>
      <c r="Y326" t="s">
        <v>22</v>
      </c>
      <c r="Z326" t="s">
        <v>5</v>
      </c>
      <c r="AA326" t="str">
        <f>B327</f>
        <v>Malamar</v>
      </c>
      <c r="AB326">
        <f t="shared" si="226"/>
        <v>6</v>
      </c>
      <c r="AC326" t="s">
        <v>812</v>
      </c>
      <c r="AD326" t="str">
        <f>VLOOKUP(AC326,moves!A:B,2,FALSE)</f>
        <v>dark</v>
      </c>
      <c r="AE326">
        <f>VLOOKUP(AC326,moves!A:D,4,FALSE)</f>
        <v>1</v>
      </c>
      <c r="AF326" t="str">
        <f>IF(VLOOKUP(AC326,moves!A:F,5,FALSE)=0, "", VLOOKUP(AC326,moves!A:F,5,FALSE))</f>
        <v/>
      </c>
      <c r="AG326" t="str">
        <f>VLOOKUP(AC326,moves!A:F,6,FALSE)</f>
        <v>Inflict both the [drowsy] and [confused] statuses on the target.</v>
      </c>
      <c r="AH326">
        <v>0</v>
      </c>
      <c r="AI326">
        <v>0</v>
      </c>
      <c r="AJ326" t="str" cm="1">
        <f t="array" ref="AJ326">_xlfn.IFS(AH326=1, "starter", AI326=1, "legendary",V326&lt; 13, "weak",V326&lt; 17, "moderate", TRUE, "strong")</f>
        <v>weak</v>
      </c>
      <c r="AL326">
        <v>1</v>
      </c>
      <c r="AM326">
        <v>0</v>
      </c>
    </row>
    <row r="327" spans="1:40" x14ac:dyDescent="0.25">
      <c r="A327">
        <v>687</v>
      </c>
      <c r="B327" t="s">
        <v>810</v>
      </c>
      <c r="C327" t="str">
        <f t="shared" si="257"/>
        <v>Malamar</v>
      </c>
      <c r="E327" t="s">
        <v>9</v>
      </c>
      <c r="F327" t="s">
        <v>26</v>
      </c>
      <c r="G327">
        <v>86</v>
      </c>
      <c r="H327">
        <v>92</v>
      </c>
      <c r="I327">
        <v>88</v>
      </c>
      <c r="J327">
        <v>68</v>
      </c>
      <c r="K327">
        <v>75</v>
      </c>
      <c r="L327">
        <v>73</v>
      </c>
      <c r="M327" t="s">
        <v>811</v>
      </c>
      <c r="N327" t="s">
        <v>303</v>
      </c>
      <c r="O327" t="s">
        <v>299</v>
      </c>
      <c r="P327">
        <f t="shared" si="269"/>
        <v>8.1999999999999993</v>
      </c>
      <c r="Q327">
        <f t="shared" si="270"/>
        <v>8.33</v>
      </c>
      <c r="R327">
        <v>0</v>
      </c>
      <c r="S327">
        <v>0</v>
      </c>
      <c r="T327">
        <f t="shared" si="255"/>
        <v>8</v>
      </c>
      <c r="U327">
        <f t="shared" si="256"/>
        <v>8</v>
      </c>
      <c r="V327">
        <f t="shared" si="271"/>
        <v>16</v>
      </c>
      <c r="W327" t="str">
        <f t="shared" ref="W327:W334" si="290">E327</f>
        <v>dark</v>
      </c>
      <c r="X327" t="str">
        <f>IF(F327 = 0, "", F327)</f>
        <v>psychic</v>
      </c>
      <c r="Y327" t="s">
        <v>22</v>
      </c>
      <c r="Z327" t="s">
        <v>5</v>
      </c>
      <c r="AB327" t="str">
        <f t="shared" si="226"/>
        <v/>
      </c>
      <c r="AC327" t="s">
        <v>813</v>
      </c>
      <c r="AD327" t="str">
        <f>VLOOKUP(AC327,moves!A:B,2,FALSE)</f>
        <v>psychic</v>
      </c>
      <c r="AE327">
        <f>VLOOKUP(AC327,moves!A:D,4,FALSE)</f>
        <v>4</v>
      </c>
      <c r="AF327" t="str">
        <f>IF(VLOOKUP(AC327,moves!A:F,5,FALSE)=0, "", VLOOKUP(AC327,moves!A:F,5,FALSE))</f>
        <v/>
      </c>
      <c r="AG327" t="str">
        <f>VLOOKUP(AC327,moves!A:F,6,FALSE)</f>
        <v>[critical_hit]s deal +1 damage.</v>
      </c>
      <c r="AH327">
        <v>0</v>
      </c>
      <c r="AI327">
        <v>0</v>
      </c>
      <c r="AJ327" t="str" cm="1">
        <f t="array" ref="AJ327">_xlfn.IFS(AH327=1, "starter", AI327=1, "legendary",V327&lt; 13, "weak",V327&lt; 17, "moderate", TRUE, "strong")</f>
        <v>moderate</v>
      </c>
      <c r="AL327">
        <v>2</v>
      </c>
      <c r="AM327">
        <v>0</v>
      </c>
    </row>
    <row r="328" spans="1:40" x14ac:dyDescent="0.25">
      <c r="A328">
        <v>602</v>
      </c>
      <c r="B328" t="s">
        <v>814</v>
      </c>
      <c r="C328" t="str">
        <f t="shared" si="257"/>
        <v>Tynamo</v>
      </c>
      <c r="E328" t="s">
        <v>11</v>
      </c>
      <c r="G328">
        <v>35</v>
      </c>
      <c r="H328">
        <v>55</v>
      </c>
      <c r="I328">
        <v>40</v>
      </c>
      <c r="J328">
        <v>45</v>
      </c>
      <c r="K328">
        <v>40</v>
      </c>
      <c r="L328">
        <v>60</v>
      </c>
      <c r="M328" t="s">
        <v>817</v>
      </c>
      <c r="N328" t="s">
        <v>303</v>
      </c>
      <c r="O328" t="s">
        <v>300</v>
      </c>
      <c r="P328">
        <f t="shared" si="269"/>
        <v>5.6</v>
      </c>
      <c r="Q328">
        <f t="shared" si="270"/>
        <v>3.8</v>
      </c>
      <c r="R328">
        <v>0</v>
      </c>
      <c r="S328">
        <v>0</v>
      </c>
      <c r="T328">
        <f t="shared" ref="T328:T336" si="291">ROUND(P328,0)+R328</f>
        <v>6</v>
      </c>
      <c r="U328">
        <f t="shared" ref="U328:U336" si="292">ROUND(Q328,0)+S328</f>
        <v>4</v>
      </c>
      <c r="V328">
        <f t="shared" ref="V328:V336" si="293">SUM(ROUND(T328,0),ROUND(U328,0))</f>
        <v>10</v>
      </c>
      <c r="W328" t="str">
        <f t="shared" si="290"/>
        <v>electric</v>
      </c>
      <c r="X328" t="s">
        <v>3</v>
      </c>
      <c r="Y328" t="s">
        <v>8</v>
      </c>
      <c r="Z328" t="s">
        <v>9</v>
      </c>
      <c r="AA328" t="str">
        <f>B329</f>
        <v>Eelektrik</v>
      </c>
      <c r="AB328">
        <f t="shared" si="226"/>
        <v>4</v>
      </c>
      <c r="AC328" t="s">
        <v>818</v>
      </c>
      <c r="AD328" t="str">
        <f>VLOOKUP(AC328,moves!A:B,2,FALSE)</f>
        <v>electric</v>
      </c>
      <c r="AE328">
        <f>VLOOKUP(AC328,moves!A:D,4,FALSE)</f>
        <v>2</v>
      </c>
      <c r="AF328" t="str">
        <f>IF(VLOOKUP(AC328,moves!A:F,5,FALSE)=0, "", VLOOKUP(AC328,moves!A:F,5,FALSE))</f>
        <v/>
      </c>
      <c r="AG328" t="str">
        <f>VLOOKUP(AC328,moves!A:F,6,FALSE)</f>
        <v>When the target is next attacked, add 1 [critical_hit] to the roll.</v>
      </c>
      <c r="AH328">
        <v>0</v>
      </c>
      <c r="AI328">
        <v>0</v>
      </c>
      <c r="AJ328" t="str" cm="1">
        <f t="array" ref="AJ328">_xlfn.IFS(AH328=1, "starter", AI328=1, "legendary",V328&lt; 13, "weak",V328&lt; 17, "moderate", TRUE, "strong")</f>
        <v>weak</v>
      </c>
      <c r="AL328">
        <v>1</v>
      </c>
      <c r="AM328">
        <v>0</v>
      </c>
    </row>
    <row r="329" spans="1:40" x14ac:dyDescent="0.25">
      <c r="A329">
        <v>603</v>
      </c>
      <c r="B329" t="s">
        <v>815</v>
      </c>
      <c r="C329" t="str">
        <f t="shared" si="257"/>
        <v>Eelektrik</v>
      </c>
      <c r="E329" t="s">
        <v>11</v>
      </c>
      <c r="G329">
        <v>65</v>
      </c>
      <c r="H329">
        <v>85</v>
      </c>
      <c r="I329">
        <v>70</v>
      </c>
      <c r="J329">
        <v>75</v>
      </c>
      <c r="K329">
        <v>70</v>
      </c>
      <c r="L329">
        <v>40</v>
      </c>
      <c r="M329" t="s">
        <v>817</v>
      </c>
      <c r="N329" t="s">
        <v>303</v>
      </c>
      <c r="O329" t="s">
        <v>300</v>
      </c>
      <c r="P329">
        <f t="shared" si="269"/>
        <v>6.6</v>
      </c>
      <c r="Q329">
        <f t="shared" si="270"/>
        <v>6.8</v>
      </c>
      <c r="R329">
        <v>0</v>
      </c>
      <c r="S329">
        <v>0</v>
      </c>
      <c r="T329">
        <f t="shared" si="291"/>
        <v>7</v>
      </c>
      <c r="U329">
        <f t="shared" si="292"/>
        <v>7</v>
      </c>
      <c r="V329">
        <f t="shared" si="293"/>
        <v>14</v>
      </c>
      <c r="W329" t="str">
        <f t="shared" si="290"/>
        <v>electric</v>
      </c>
      <c r="X329" t="s">
        <v>3</v>
      </c>
      <c r="Y329" t="s">
        <v>8</v>
      </c>
      <c r="Z329" t="s">
        <v>9</v>
      </c>
      <c r="AA329" t="str">
        <f>B330</f>
        <v>Eelektross</v>
      </c>
      <c r="AB329">
        <f t="shared" si="226"/>
        <v>5</v>
      </c>
      <c r="AC329" t="s">
        <v>820</v>
      </c>
      <c r="AD329" t="str">
        <f>VLOOKUP(AC329,moves!A:B,2,FALSE)</f>
        <v>poison</v>
      </c>
      <c r="AE329">
        <f>VLOOKUP(AC329,moves!A:D,4,FALSE)</f>
        <v>1</v>
      </c>
      <c r="AF329" t="str">
        <f>IF(VLOOKUP(AC329,moves!A:F,5,FALSE)=0, "", VLOOKUP(AC329,moves!A:F,5,FALSE))</f>
        <v/>
      </c>
      <c r="AG329" t="str">
        <f>VLOOKUP(AC329,moves!A:F,6,FALSE)</f>
        <v>Inflict both the [poisoned] and [paralysed] statuses on the target.</v>
      </c>
      <c r="AH329">
        <v>0</v>
      </c>
      <c r="AI329">
        <v>0</v>
      </c>
      <c r="AJ329" t="str" cm="1">
        <f t="array" ref="AJ329">_xlfn.IFS(AH329=1, "starter", AI329=1, "legendary",V329&lt; 13, "weak",V329&lt; 17, "moderate", TRUE, "strong")</f>
        <v>moderate</v>
      </c>
      <c r="AL329">
        <v>2</v>
      </c>
      <c r="AM329">
        <v>0</v>
      </c>
    </row>
    <row r="330" spans="1:40" x14ac:dyDescent="0.25">
      <c r="A330">
        <v>604</v>
      </c>
      <c r="B330" t="s">
        <v>816</v>
      </c>
      <c r="C330" t="str">
        <f t="shared" si="257"/>
        <v>Eelektross</v>
      </c>
      <c r="E330" t="s">
        <v>11</v>
      </c>
      <c r="G330">
        <v>85</v>
      </c>
      <c r="H330">
        <v>115</v>
      </c>
      <c r="I330">
        <v>80</v>
      </c>
      <c r="J330">
        <v>105</v>
      </c>
      <c r="K330">
        <v>80</v>
      </c>
      <c r="L330">
        <v>50</v>
      </c>
      <c r="M330" t="s">
        <v>817</v>
      </c>
      <c r="N330" t="s">
        <v>303</v>
      </c>
      <c r="O330" t="s">
        <v>300</v>
      </c>
      <c r="P330">
        <f t="shared" si="269"/>
        <v>8.8000000000000007</v>
      </c>
      <c r="Q330">
        <f t="shared" si="270"/>
        <v>8.1999999999999993</v>
      </c>
      <c r="R330">
        <v>0</v>
      </c>
      <c r="S330">
        <v>0</v>
      </c>
      <c r="T330">
        <f t="shared" si="291"/>
        <v>9</v>
      </c>
      <c r="U330">
        <f t="shared" si="292"/>
        <v>8</v>
      </c>
      <c r="V330">
        <f t="shared" si="293"/>
        <v>17</v>
      </c>
      <c r="W330" t="str">
        <f t="shared" si="290"/>
        <v>electric</v>
      </c>
      <c r="X330" t="s">
        <v>3</v>
      </c>
      <c r="Y330" t="s">
        <v>8</v>
      </c>
      <c r="Z330" t="s">
        <v>9</v>
      </c>
      <c r="AB330" t="str">
        <f t="shared" si="226"/>
        <v/>
      </c>
      <c r="AC330" t="s">
        <v>819</v>
      </c>
      <c r="AD330" t="str">
        <f>VLOOKUP(AC330,moves!A:B,2,FALSE)</f>
        <v>electric</v>
      </c>
      <c r="AE330">
        <f>VLOOKUP(AC330,moves!A:D,4,FALSE)</f>
        <v>4</v>
      </c>
      <c r="AF330" t="str">
        <f>IF(VLOOKUP(AC330,moves!A:F,5,FALSE)=0, "", VLOOKUP(AC330,moves!A:F,5,FALSE))</f>
        <v/>
      </c>
      <c r="AG330" t="str">
        <f>VLOOKUP(AC330,moves!A:F,6,FALSE)</f>
        <v>For each status effect on the target: Deal 1 extra damage.</v>
      </c>
      <c r="AH330">
        <v>0</v>
      </c>
      <c r="AI330">
        <v>0</v>
      </c>
      <c r="AJ330" t="str" cm="1">
        <f t="array" ref="AJ330">_xlfn.IFS(AH330=1, "starter", AI330=1, "legendary",V330&lt; 13, "weak",V330&lt; 17, "moderate", TRUE, "strong")</f>
        <v>strong</v>
      </c>
      <c r="AL330">
        <v>3</v>
      </c>
      <c r="AM330">
        <v>0</v>
      </c>
    </row>
    <row r="331" spans="1:40" x14ac:dyDescent="0.25">
      <c r="A331">
        <v>690</v>
      </c>
      <c r="B331" t="s">
        <v>1032</v>
      </c>
      <c r="C331" t="str">
        <f t="shared" si="257"/>
        <v>Skrelp</v>
      </c>
      <c r="E331" t="s">
        <v>3</v>
      </c>
      <c r="F331" t="s">
        <v>6</v>
      </c>
      <c r="G331">
        <v>50</v>
      </c>
      <c r="H331">
        <v>60</v>
      </c>
      <c r="I331">
        <v>60</v>
      </c>
      <c r="J331">
        <v>60</v>
      </c>
      <c r="K331">
        <v>60</v>
      </c>
      <c r="L331">
        <v>30</v>
      </c>
      <c r="M331" t="s">
        <v>1034</v>
      </c>
      <c r="N331" t="s">
        <v>303</v>
      </c>
      <c r="O331" t="s">
        <v>302</v>
      </c>
      <c r="P331">
        <f t="shared" si="269"/>
        <v>4.8</v>
      </c>
      <c r="Q331">
        <f t="shared" si="270"/>
        <v>5.6</v>
      </c>
      <c r="R331">
        <v>0</v>
      </c>
      <c r="S331">
        <v>0</v>
      </c>
      <c r="T331">
        <f t="shared" si="291"/>
        <v>5</v>
      </c>
      <c r="U331">
        <f t="shared" si="292"/>
        <v>6</v>
      </c>
      <c r="V331">
        <f t="shared" si="293"/>
        <v>11</v>
      </c>
      <c r="W331" t="str">
        <f t="shared" si="290"/>
        <v>poison</v>
      </c>
      <c r="X331" t="s">
        <v>6</v>
      </c>
      <c r="Y331" t="s">
        <v>67</v>
      </c>
      <c r="Z331" t="s">
        <v>11</v>
      </c>
      <c r="AA331" t="str">
        <f>B332</f>
        <v>Dragalge</v>
      </c>
      <c r="AB331">
        <f t="shared" si="226"/>
        <v>6</v>
      </c>
      <c r="AC331" t="s">
        <v>1035</v>
      </c>
      <c r="AD331" t="str">
        <f>VLOOKUP(AC331,moves!A:B,2,FALSE)</f>
        <v>poison</v>
      </c>
      <c r="AE331">
        <f>VLOOKUP(AC331,moves!A:D,4,FALSE)</f>
        <v>2</v>
      </c>
      <c r="AF331" t="str">
        <f>IF(VLOOKUP(AC331,moves!A:F,5,FALSE)=0, "", VLOOKUP(AC331,moves!A:F,5,FALSE))</f>
        <v/>
      </c>
      <c r="AG331" t="str">
        <f>VLOOKUP(AC331,moves!A:F,6,FALSE)</f>
        <v>Inflict the [poisoned] status on the target. [critical_hit]s deal +1 damage.</v>
      </c>
      <c r="AH331">
        <v>0</v>
      </c>
      <c r="AI331">
        <v>0</v>
      </c>
      <c r="AJ331" t="str" cm="1">
        <f t="array" ref="AJ331">_xlfn.IFS(AH331=1, "starter", AI331=1, "legendary",V331&lt; 13, "weak",V331&lt; 17, "moderate", TRUE, "strong")</f>
        <v>weak</v>
      </c>
      <c r="AL331">
        <v>1</v>
      </c>
      <c r="AM331">
        <v>0</v>
      </c>
    </row>
    <row r="332" spans="1:40" x14ac:dyDescent="0.25">
      <c r="A332">
        <v>691</v>
      </c>
      <c r="B332" t="s">
        <v>1033</v>
      </c>
      <c r="C332" t="str">
        <f t="shared" si="257"/>
        <v>Dragalge</v>
      </c>
      <c r="E332" t="s">
        <v>3</v>
      </c>
      <c r="F332" t="s">
        <v>67</v>
      </c>
      <c r="G332">
        <v>65</v>
      </c>
      <c r="H332">
        <v>75</v>
      </c>
      <c r="I332">
        <v>90</v>
      </c>
      <c r="J332">
        <v>97</v>
      </c>
      <c r="K332">
        <v>123</v>
      </c>
      <c r="L332">
        <v>44</v>
      </c>
      <c r="M332" t="s">
        <v>1034</v>
      </c>
      <c r="N332" t="s">
        <v>303</v>
      </c>
      <c r="O332" t="s">
        <v>302</v>
      </c>
      <c r="P332">
        <f t="shared" si="269"/>
        <v>7.3599999999999994</v>
      </c>
      <c r="Q332">
        <f t="shared" si="270"/>
        <v>8.99</v>
      </c>
      <c r="R332">
        <v>0</v>
      </c>
      <c r="S332">
        <v>0</v>
      </c>
      <c r="T332">
        <f t="shared" si="291"/>
        <v>7</v>
      </c>
      <c r="U332">
        <f t="shared" si="292"/>
        <v>9</v>
      </c>
      <c r="V332">
        <f t="shared" si="293"/>
        <v>16</v>
      </c>
      <c r="W332" t="str">
        <f t="shared" si="290"/>
        <v>poison</v>
      </c>
      <c r="X332" t="s">
        <v>6</v>
      </c>
      <c r="Y332" t="s">
        <v>67</v>
      </c>
      <c r="Z332" t="s">
        <v>11</v>
      </c>
      <c r="AB332" t="str">
        <f t="shared" ref="AB332:AB385" si="294">IF(ISBLANK(AA332), "", ROUND(( (V333-6)*(V333-7) - (V332-6)*(V332-7) )/15, 0) + 1)</f>
        <v/>
      </c>
      <c r="AC332" t="s">
        <v>758</v>
      </c>
      <c r="AD332" t="str">
        <f>VLOOKUP(AC332,moves!A:B,2,FALSE)</f>
        <v>dragon</v>
      </c>
      <c r="AE332">
        <f>VLOOKUP(AC332,moves!A:D,4,FALSE)</f>
        <v>4</v>
      </c>
      <c r="AF332" t="str">
        <f>IF(VLOOKUP(AC332,moves!A:F,5,FALSE)=0, "", VLOOKUP(AC332,moves!A:F,5,FALSE))</f>
        <v/>
      </c>
      <c r="AG332" t="str">
        <f>VLOOKUP(AC332,moves!A:F,6,FALSE)</f>
        <v>[status_symbol]s deal +1 damage.</v>
      </c>
      <c r="AH332">
        <v>0</v>
      </c>
      <c r="AI332">
        <v>0</v>
      </c>
      <c r="AJ332" t="str" cm="1">
        <f t="array" ref="AJ332">_xlfn.IFS(AH332=1, "starter", AI332=1, "legendary",V332&lt; 13, "weak",V332&lt; 17, "moderate", TRUE, "strong")</f>
        <v>moderate</v>
      </c>
      <c r="AL332">
        <v>2</v>
      </c>
      <c r="AM332">
        <v>0</v>
      </c>
    </row>
    <row r="333" spans="1:40" x14ac:dyDescent="0.25">
      <c r="A333">
        <v>605</v>
      </c>
      <c r="B333" t="s">
        <v>821</v>
      </c>
      <c r="C333" t="str">
        <f t="shared" si="257"/>
        <v>Elgyem</v>
      </c>
      <c r="E333" t="s">
        <v>26</v>
      </c>
      <c r="G333">
        <v>55</v>
      </c>
      <c r="H333">
        <v>55</v>
      </c>
      <c r="I333">
        <v>55</v>
      </c>
      <c r="J333">
        <v>85</v>
      </c>
      <c r="K333">
        <v>55</v>
      </c>
      <c r="L333">
        <v>30</v>
      </c>
      <c r="M333" t="s">
        <v>823</v>
      </c>
      <c r="O333" t="s">
        <v>549</v>
      </c>
      <c r="P333">
        <f t="shared" si="269"/>
        <v>6</v>
      </c>
      <c r="Q333">
        <f t="shared" si="270"/>
        <v>5.5</v>
      </c>
      <c r="R333">
        <v>0</v>
      </c>
      <c r="S333">
        <v>0</v>
      </c>
      <c r="T333">
        <f t="shared" si="291"/>
        <v>6</v>
      </c>
      <c r="U333">
        <f t="shared" si="292"/>
        <v>6</v>
      </c>
      <c r="V333">
        <f t="shared" si="293"/>
        <v>12</v>
      </c>
      <c r="W333" t="str">
        <f t="shared" si="290"/>
        <v>psychic</v>
      </c>
      <c r="X333" t="s">
        <v>8</v>
      </c>
      <c r="Y333" t="s">
        <v>11</v>
      </c>
      <c r="Z333" t="s">
        <v>42</v>
      </c>
      <c r="AA333" t="str">
        <f>B334</f>
        <v>Beheeyem</v>
      </c>
      <c r="AB333">
        <f t="shared" si="294"/>
        <v>6</v>
      </c>
      <c r="AC333" t="s">
        <v>824</v>
      </c>
      <c r="AD333" t="str">
        <f>VLOOKUP(AC333,moves!A:B,2,FALSE)</f>
        <v>psychic</v>
      </c>
      <c r="AE333">
        <f>VLOOKUP(AC333,moves!A:D,4,FALSE)</f>
        <v>2</v>
      </c>
      <c r="AF333" t="str">
        <f>IF(VLOOKUP(AC333,moves!A:F,5,FALSE)=0, "", VLOOKUP(AC333,moves!A:F,5,FALSE))</f>
        <v/>
      </c>
      <c r="AG333" t="str">
        <f>VLOOKUP(AC333,moves!A:F,6,FALSE)</f>
        <v>Inflict the [paralysed] status on the target.</v>
      </c>
      <c r="AH333">
        <v>0</v>
      </c>
      <c r="AI333">
        <v>0</v>
      </c>
      <c r="AJ333" t="str" cm="1">
        <f t="array" ref="AJ333">_xlfn.IFS(AH333=1, "starter", AI333=1, "legendary",V333&lt; 13, "weak",V333&lt; 17, "moderate", TRUE, "strong")</f>
        <v>weak</v>
      </c>
      <c r="AL333">
        <v>1</v>
      </c>
      <c r="AM333">
        <v>0</v>
      </c>
    </row>
    <row r="334" spans="1:40" x14ac:dyDescent="0.25">
      <c r="A334">
        <v>606</v>
      </c>
      <c r="B334" t="s">
        <v>822</v>
      </c>
      <c r="C334" t="str">
        <f t="shared" si="257"/>
        <v>Beheeyem</v>
      </c>
      <c r="E334" t="s">
        <v>26</v>
      </c>
      <c r="G334">
        <v>75</v>
      </c>
      <c r="H334">
        <v>75</v>
      </c>
      <c r="I334">
        <v>75</v>
      </c>
      <c r="J334">
        <v>125</v>
      </c>
      <c r="K334">
        <v>95</v>
      </c>
      <c r="L334">
        <v>40</v>
      </c>
      <c r="M334" t="s">
        <v>823</v>
      </c>
      <c r="O334" t="s">
        <v>549</v>
      </c>
      <c r="P334">
        <f t="shared" si="269"/>
        <v>8.6</v>
      </c>
      <c r="Q334">
        <f t="shared" si="270"/>
        <v>8.1</v>
      </c>
      <c r="R334">
        <v>0</v>
      </c>
      <c r="S334">
        <v>0</v>
      </c>
      <c r="T334">
        <f t="shared" si="291"/>
        <v>9</v>
      </c>
      <c r="U334">
        <f t="shared" si="292"/>
        <v>8</v>
      </c>
      <c r="V334">
        <f t="shared" si="293"/>
        <v>17</v>
      </c>
      <c r="W334" t="str">
        <f t="shared" si="290"/>
        <v>psychic</v>
      </c>
      <c r="X334" t="s">
        <v>8</v>
      </c>
      <c r="Y334" t="s">
        <v>11</v>
      </c>
      <c r="Z334" t="s">
        <v>42</v>
      </c>
      <c r="AB334" t="str">
        <f t="shared" si="294"/>
        <v/>
      </c>
      <c r="AC334" t="s">
        <v>825</v>
      </c>
      <c r="AD334" t="str">
        <f>VLOOKUP(AC334,moves!A:B,2,FALSE)</f>
        <v>psychic</v>
      </c>
      <c r="AE334">
        <f>VLOOKUP(AC334,moves!A:D,4,FALSE)</f>
        <v>7</v>
      </c>
      <c r="AF334" t="str">
        <f>IF(VLOOKUP(AC334,moves!A:F,5,FALSE)=0, "", VLOOKUP(AC334,moves!A:F,5,FALSE))</f>
        <v>dynamic</v>
      </c>
      <c r="AG334" t="str">
        <f>VLOOKUP(AC334,moves!A:F,6,FALSE)</f>
        <v>Guess the result of each attack dice. After rolling, deal -1 damage for each incorrect dice.</v>
      </c>
      <c r="AH334">
        <v>0</v>
      </c>
      <c r="AI334">
        <v>0</v>
      </c>
      <c r="AJ334" t="str" cm="1">
        <f t="array" ref="AJ334">_xlfn.IFS(AH334=1, "starter", AI334=1, "legendary",V334&lt; 13, "weak",V334&lt; 17, "moderate", TRUE, "strong")</f>
        <v>strong</v>
      </c>
      <c r="AL334">
        <v>2</v>
      </c>
      <c r="AM334">
        <v>0</v>
      </c>
    </row>
    <row r="335" spans="1:40" x14ac:dyDescent="0.25">
      <c r="A335">
        <v>755</v>
      </c>
      <c r="B335" t="s">
        <v>826</v>
      </c>
      <c r="C335" t="str">
        <f t="shared" si="257"/>
        <v>Morelull</v>
      </c>
      <c r="E335" t="s">
        <v>2</v>
      </c>
      <c r="F335" t="s">
        <v>16</v>
      </c>
      <c r="G335">
        <v>40</v>
      </c>
      <c r="H335">
        <v>35</v>
      </c>
      <c r="I335">
        <v>55</v>
      </c>
      <c r="J335">
        <v>65</v>
      </c>
      <c r="K335">
        <v>75</v>
      </c>
      <c r="L335">
        <v>15</v>
      </c>
      <c r="M335" t="s">
        <v>827</v>
      </c>
      <c r="N335" t="s">
        <v>298</v>
      </c>
      <c r="O335" t="s">
        <v>299</v>
      </c>
      <c r="P335">
        <f t="shared" si="269"/>
        <v>4.2</v>
      </c>
      <c r="Q335">
        <f t="shared" si="270"/>
        <v>5.5</v>
      </c>
      <c r="R335">
        <v>0</v>
      </c>
      <c r="S335">
        <v>0</v>
      </c>
      <c r="T335">
        <f t="shared" si="291"/>
        <v>4</v>
      </c>
      <c r="U335">
        <f t="shared" si="292"/>
        <v>6</v>
      </c>
      <c r="V335">
        <f t="shared" si="293"/>
        <v>10</v>
      </c>
      <c r="W335" t="str">
        <f t="shared" si="227"/>
        <v>grass</v>
      </c>
      <c r="X335" t="str">
        <f t="shared" ref="X335:X368" si="295">IF(F335 = 0, "", F335)</f>
        <v>fairy</v>
      </c>
      <c r="Y335" t="s">
        <v>26</v>
      </c>
      <c r="Z335" t="s">
        <v>42</v>
      </c>
      <c r="AA335" t="str">
        <f>B336</f>
        <v>Shiinotic</v>
      </c>
      <c r="AB335">
        <f t="shared" si="294"/>
        <v>4</v>
      </c>
      <c r="AC335" t="s">
        <v>752</v>
      </c>
      <c r="AD335" t="str">
        <f>VLOOKUP(AC335,moves!A:B,2,FALSE)</f>
        <v>grass</v>
      </c>
      <c r="AE335">
        <f>VLOOKUP(AC335,moves!A:D,4,FALSE)</f>
        <v>2</v>
      </c>
      <c r="AF335" t="str">
        <f>IF(VLOOKUP(AC335,moves!A:F,5,FALSE)=0, "", VLOOKUP(AC335,moves!A:F,5,FALSE))</f>
        <v/>
      </c>
      <c r="AG335" t="str">
        <f>VLOOKUP(AC335,moves!A:F,6,FALSE)</f>
        <v>Inflict the [drowsy] status on the target.</v>
      </c>
      <c r="AH335">
        <v>0</v>
      </c>
      <c r="AI335">
        <v>0</v>
      </c>
      <c r="AJ335" t="str" cm="1">
        <f t="array" ref="AJ335">_xlfn.IFS(AH335=1, "starter", AI335=1, "legendary",V335&lt; 13, "weak",V335&lt; 17, "moderate", TRUE, "strong")</f>
        <v>weak</v>
      </c>
      <c r="AL335">
        <v>1</v>
      </c>
      <c r="AM335">
        <v>0</v>
      </c>
    </row>
    <row r="336" spans="1:40" x14ac:dyDescent="0.25">
      <c r="A336">
        <v>756</v>
      </c>
      <c r="B336" t="s">
        <v>828</v>
      </c>
      <c r="C336" t="str">
        <f t="shared" si="257"/>
        <v>Shiinotic</v>
      </c>
      <c r="E336" t="s">
        <v>2</v>
      </c>
      <c r="F336" t="s">
        <v>16</v>
      </c>
      <c r="G336">
        <v>60</v>
      </c>
      <c r="H336">
        <v>45</v>
      </c>
      <c r="I336">
        <v>80</v>
      </c>
      <c r="J336">
        <v>90</v>
      </c>
      <c r="K336">
        <v>100</v>
      </c>
      <c r="L336">
        <v>30</v>
      </c>
      <c r="M336" t="s">
        <v>827</v>
      </c>
      <c r="N336" t="s">
        <v>298</v>
      </c>
      <c r="O336" t="s">
        <v>299</v>
      </c>
      <c r="P336">
        <f t="shared" si="269"/>
        <v>6.15</v>
      </c>
      <c r="Q336">
        <f t="shared" si="270"/>
        <v>7.8</v>
      </c>
      <c r="R336">
        <v>0</v>
      </c>
      <c r="S336">
        <v>0</v>
      </c>
      <c r="T336">
        <f t="shared" si="291"/>
        <v>6</v>
      </c>
      <c r="U336">
        <f t="shared" si="292"/>
        <v>8</v>
      </c>
      <c r="V336">
        <f t="shared" si="293"/>
        <v>14</v>
      </c>
      <c r="W336" t="str">
        <f t="shared" si="227"/>
        <v>grass</v>
      </c>
      <c r="X336" t="str">
        <f t="shared" si="295"/>
        <v>fairy</v>
      </c>
      <c r="Y336" t="s">
        <v>26</v>
      </c>
      <c r="Z336" t="s">
        <v>42</v>
      </c>
      <c r="AB336" t="str">
        <f t="shared" si="294"/>
        <v/>
      </c>
      <c r="AC336" t="s">
        <v>829</v>
      </c>
      <c r="AD336" t="str">
        <f>VLOOKUP(AC336,moves!A:B,2,FALSE)</f>
        <v>fairy</v>
      </c>
      <c r="AE336">
        <f>VLOOKUP(AC336,moves!A:D,4,FALSE)</f>
        <v>2</v>
      </c>
      <c r="AF336" t="str">
        <f>IF(VLOOKUP(AC336,moves!A:F,5,FALSE)=0, "", VLOOKUP(AC336,moves!A:F,5,FALSE))</f>
        <v>boost</v>
      </c>
      <c r="AG336" t="str">
        <f>VLOOKUP(AC336,moves!A:F,6,FALSE)</f>
        <v>Heal 2 damage at the end of your turns.</v>
      </c>
      <c r="AH336">
        <v>0</v>
      </c>
      <c r="AI336">
        <v>0</v>
      </c>
      <c r="AJ336" t="str" cm="1">
        <f t="array" ref="AJ336">_xlfn.IFS(AH336=1, "starter", AI336=1, "legendary",V336&lt; 13, "weak",V336&lt; 17, "moderate", TRUE, "strong")</f>
        <v>moderate</v>
      </c>
      <c r="AL336">
        <v>2</v>
      </c>
      <c r="AM336">
        <v>0</v>
      </c>
    </row>
    <row r="337" spans="1:40" x14ac:dyDescent="0.25">
      <c r="A337">
        <v>679</v>
      </c>
      <c r="B337" t="s">
        <v>958</v>
      </c>
      <c r="C337" t="str">
        <f t="shared" si="257"/>
        <v>Honedge</v>
      </c>
      <c r="E337" t="s">
        <v>39</v>
      </c>
      <c r="F337" t="s">
        <v>42</v>
      </c>
      <c r="G337">
        <v>45</v>
      </c>
      <c r="H337">
        <v>80</v>
      </c>
      <c r="I337">
        <v>100</v>
      </c>
      <c r="J337">
        <v>35</v>
      </c>
      <c r="K337">
        <v>37</v>
      </c>
      <c r="L337">
        <v>28</v>
      </c>
      <c r="M337" t="s">
        <v>959</v>
      </c>
      <c r="N337" t="s">
        <v>301</v>
      </c>
      <c r="O337" t="s">
        <v>299</v>
      </c>
      <c r="P337">
        <f t="shared" si="269"/>
        <v>5.4700000000000006</v>
      </c>
      <c r="Q337">
        <f t="shared" si="270"/>
        <v>5.91</v>
      </c>
      <c r="R337">
        <v>0</v>
      </c>
      <c r="S337">
        <v>0</v>
      </c>
      <c r="T337">
        <f t="shared" ref="T337" si="296">ROUND(P337,0)+R337</f>
        <v>5</v>
      </c>
      <c r="U337">
        <f t="shared" ref="U337" si="297">ROUND(Q337,0)+S337</f>
        <v>6</v>
      </c>
      <c r="V337">
        <f t="shared" ref="V337" si="298">SUM(ROUND(T337,0),ROUND(U337,0))</f>
        <v>11</v>
      </c>
      <c r="W337" t="str">
        <f t="shared" si="227"/>
        <v>steel</v>
      </c>
      <c r="X337" t="str">
        <f t="shared" si="295"/>
        <v>ghost</v>
      </c>
      <c r="Y337" t="s">
        <v>22</v>
      </c>
      <c r="Z337" t="s">
        <v>9</v>
      </c>
      <c r="AA337" t="str">
        <f>B338</f>
        <v>Doublade</v>
      </c>
      <c r="AB337">
        <f t="shared" si="294"/>
        <v>4</v>
      </c>
      <c r="AC337" t="s">
        <v>807</v>
      </c>
      <c r="AD337" t="str">
        <f>VLOOKUP(AC337,moves!A:B,2,FALSE)</f>
        <v>ghost</v>
      </c>
      <c r="AE337">
        <f>VLOOKUP(AC337,moves!A:D,4,FALSE)</f>
        <v>2</v>
      </c>
      <c r="AF337" t="str">
        <f>IF(VLOOKUP(AC337,moves!A:F,5,FALSE)=0, "", VLOOKUP(AC337,moves!A:F,5,FALSE))</f>
        <v>agile</v>
      </c>
      <c r="AG337" t="str">
        <f>VLOOKUP(AC337,moves!A:F,6,FALSE)</f>
        <v>[status_symbol]s deal -1 damage.</v>
      </c>
      <c r="AH337">
        <v>0</v>
      </c>
      <c r="AI337">
        <v>0</v>
      </c>
      <c r="AJ337" t="str" cm="1">
        <f t="array" ref="AJ337">_xlfn.IFS(AH337=1, "starter", AI337=1, "legendary",V337&lt; 13, "weak",V337&lt; 17, "moderate", TRUE, "strong")</f>
        <v>weak</v>
      </c>
      <c r="AL337">
        <v>1</v>
      </c>
      <c r="AM337">
        <v>0</v>
      </c>
    </row>
    <row r="338" spans="1:40" x14ac:dyDescent="0.25">
      <c r="A338">
        <v>680</v>
      </c>
      <c r="B338" t="s">
        <v>960</v>
      </c>
      <c r="C338" t="str">
        <f t="shared" si="257"/>
        <v>Doublade</v>
      </c>
      <c r="E338" t="s">
        <v>39</v>
      </c>
      <c r="F338" t="s">
        <v>42</v>
      </c>
      <c r="G338">
        <v>59</v>
      </c>
      <c r="H338">
        <v>110</v>
      </c>
      <c r="I338">
        <v>150</v>
      </c>
      <c r="J338">
        <v>45</v>
      </c>
      <c r="K338">
        <v>49</v>
      </c>
      <c r="L338">
        <v>35</v>
      </c>
      <c r="M338" t="s">
        <v>959</v>
      </c>
      <c r="N338" t="s">
        <v>301</v>
      </c>
      <c r="O338" t="s">
        <v>299</v>
      </c>
      <c r="P338">
        <f t="shared" ref="P338" si="299">(0.4*L338 + 0.5*MAX(H338,J338) + 0.1*MIN(H338,J338)) / 10</f>
        <v>7.35</v>
      </c>
      <c r="Q338">
        <f t="shared" ref="Q338" si="300">(0.4*G338 + 0.3*I338 + 0.3*K338) / 10</f>
        <v>8.33</v>
      </c>
      <c r="R338">
        <v>0</v>
      </c>
      <c r="S338">
        <v>0</v>
      </c>
      <c r="T338">
        <f t="shared" ref="T338" si="301">ROUND(P338,0)+R338</f>
        <v>7</v>
      </c>
      <c r="U338">
        <f t="shared" ref="U338" si="302">ROUND(Q338,0)+S338</f>
        <v>8</v>
      </c>
      <c r="V338">
        <f t="shared" ref="V338" si="303">SUM(ROUND(T338,0),ROUND(U338,0))</f>
        <v>15</v>
      </c>
      <c r="W338" t="str">
        <f t="shared" ref="W338" si="304">E338</f>
        <v>steel</v>
      </c>
      <c r="X338" t="str">
        <f t="shared" si="295"/>
        <v>ghost</v>
      </c>
      <c r="Y338" t="s">
        <v>22</v>
      </c>
      <c r="Z338" t="s">
        <v>9</v>
      </c>
      <c r="AA338" t="str">
        <f>B339</f>
        <v>Aegislash</v>
      </c>
      <c r="AB338">
        <f t="shared" si="294"/>
        <v>7</v>
      </c>
      <c r="AC338" t="s">
        <v>963</v>
      </c>
      <c r="AD338" t="str">
        <f>VLOOKUP(AC338,moves!A:B,2,FALSE)</f>
        <v>fighting</v>
      </c>
      <c r="AE338">
        <f>VLOOKUP(AC338,moves!A:D,4,FALSE)</f>
        <v>4</v>
      </c>
      <c r="AF338" t="str">
        <f>IF(VLOOKUP(AC338,moves!A:F,5,FALSE)=0, "", VLOOKUP(AC338,moves!A:F,5,FALSE))</f>
        <v/>
      </c>
      <c r="AG338" t="str">
        <f>VLOOKUP(AC338,moves!A:F,6,FALSE)</f>
        <v>The dice rolled by this attack cannot be replaced or removed by any effect.</v>
      </c>
      <c r="AH338">
        <v>0</v>
      </c>
      <c r="AI338">
        <v>0</v>
      </c>
      <c r="AJ338" t="str" cm="1">
        <f t="array" ref="AJ338">_xlfn.IFS(AH338=1, "starter", AI338=1, "legendary",V338&lt; 13, "weak",V338&lt; 17, "moderate", TRUE, "strong")</f>
        <v>moderate</v>
      </c>
      <c r="AL338">
        <v>2</v>
      </c>
      <c r="AM338">
        <v>0</v>
      </c>
    </row>
    <row r="339" spans="1:40" x14ac:dyDescent="0.25">
      <c r="A339">
        <v>681</v>
      </c>
      <c r="B339" t="s">
        <v>961</v>
      </c>
      <c r="C339" t="s">
        <v>961</v>
      </c>
      <c r="D339" t="s">
        <v>997</v>
      </c>
      <c r="E339" t="s">
        <v>39</v>
      </c>
      <c r="F339" t="s">
        <v>42</v>
      </c>
      <c r="G339">
        <v>60</v>
      </c>
      <c r="H339">
        <v>50</v>
      </c>
      <c r="I339">
        <v>140</v>
      </c>
      <c r="J339">
        <v>50</v>
      </c>
      <c r="K339">
        <v>140</v>
      </c>
      <c r="L339">
        <v>60</v>
      </c>
      <c r="M339" t="s">
        <v>962</v>
      </c>
      <c r="N339" t="s">
        <v>301</v>
      </c>
      <c r="O339" t="s">
        <v>299</v>
      </c>
      <c r="P339">
        <f t="shared" ref="P339" si="305">(0.4*L339 + 0.5*MAX(H339,J339) + 0.1*MIN(H339,J339)) / 10</f>
        <v>5.4</v>
      </c>
      <c r="Q339">
        <f t="shared" ref="Q339" si="306">(0.4*G339 + 0.3*I339 + 0.3*K339) / 10</f>
        <v>10.8</v>
      </c>
      <c r="R339">
        <v>3</v>
      </c>
      <c r="S339">
        <v>0</v>
      </c>
      <c r="T339">
        <f t="shared" ref="T339" si="307">ROUND(P339,0)+R339</f>
        <v>8</v>
      </c>
      <c r="U339">
        <f t="shared" ref="U339" si="308">ROUND(Q339,0)+S339</f>
        <v>11</v>
      </c>
      <c r="V339">
        <f t="shared" ref="V339" si="309">SUM(ROUND(T339,0),ROUND(U339,0))</f>
        <v>19</v>
      </c>
      <c r="W339" t="str">
        <f t="shared" ref="W339" si="310">E339</f>
        <v>steel</v>
      </c>
      <c r="X339" t="str">
        <f t="shared" si="295"/>
        <v>ghost</v>
      </c>
      <c r="Y339" t="s">
        <v>22</v>
      </c>
      <c r="Z339" t="s">
        <v>9</v>
      </c>
      <c r="AB339" t="str">
        <f t="shared" si="294"/>
        <v/>
      </c>
      <c r="AC339" t="s">
        <v>967</v>
      </c>
      <c r="AD339" t="str">
        <f>VLOOKUP(AC339,moves!A:B,2,FALSE)</f>
        <v>steel</v>
      </c>
      <c r="AE339">
        <f>VLOOKUP(AC339,moves!A:D,4,FALSE)</f>
        <v>1</v>
      </c>
      <c r="AF339" t="str">
        <f>IF(VLOOKUP(AC339,moves!A:F,5,FALSE)=0, "", VLOOKUP(AC339,moves!A:F,5,FALSE))</f>
        <v>transform</v>
      </c>
      <c r="AG339" t="str">
        <f>VLOOKUP(AC339,moves!A:F,6,FALSE)</f>
        <v>When the user is next attacked, remove all [regular_hit]s from the roll.</v>
      </c>
      <c r="AH339">
        <v>0</v>
      </c>
      <c r="AI339">
        <v>0</v>
      </c>
      <c r="AJ339" t="str" cm="1">
        <f t="array" ref="AJ339">_xlfn.IFS(AH339=1, "starter", AI339=1, "legendary",V339&lt; 13, "weak",V339&lt; 17, "moderate", TRUE, "strong")</f>
        <v>strong</v>
      </c>
      <c r="AL339">
        <v>3</v>
      </c>
      <c r="AM339">
        <v>0</v>
      </c>
      <c r="AN339">
        <v>1</v>
      </c>
    </row>
    <row r="340" spans="1:40" x14ac:dyDescent="0.25">
      <c r="A340" t="s">
        <v>964</v>
      </c>
      <c r="B340" t="s">
        <v>961</v>
      </c>
      <c r="C340" t="s">
        <v>965</v>
      </c>
      <c r="D340" t="s">
        <v>998</v>
      </c>
      <c r="E340" t="s">
        <v>39</v>
      </c>
      <c r="F340" t="s">
        <v>42</v>
      </c>
      <c r="G340">
        <v>60</v>
      </c>
      <c r="H340">
        <v>140</v>
      </c>
      <c r="I340">
        <v>50</v>
      </c>
      <c r="J340">
        <v>140</v>
      </c>
      <c r="K340">
        <v>50</v>
      </c>
      <c r="L340">
        <v>60</v>
      </c>
      <c r="M340" t="s">
        <v>962</v>
      </c>
      <c r="N340" t="s">
        <v>301</v>
      </c>
      <c r="O340" t="s">
        <v>299</v>
      </c>
      <c r="P340">
        <f t="shared" ref="P340:P344" si="311">(0.4*L340 + 0.5*MAX(H340,J340) + 0.1*MIN(H340,J340)) / 10</f>
        <v>10.8</v>
      </c>
      <c r="Q340">
        <f t="shared" ref="Q340:Q344" si="312">(0.4*G340 + 0.3*I340 + 0.3*K340) / 10</f>
        <v>5.4</v>
      </c>
      <c r="R340">
        <v>0</v>
      </c>
      <c r="S340">
        <v>3</v>
      </c>
      <c r="T340">
        <f t="shared" ref="T340:T344" si="313">ROUND(P340,0)+R340</f>
        <v>11</v>
      </c>
      <c r="U340">
        <f t="shared" ref="U340:U344" si="314">ROUND(Q340,0)+S340</f>
        <v>8</v>
      </c>
      <c r="V340">
        <f t="shared" ref="V340:V344" si="315">SUM(ROUND(T340,0),ROUND(U340,0))</f>
        <v>19</v>
      </c>
      <c r="W340" t="str">
        <f t="shared" ref="W340:W344" si="316">E340</f>
        <v>steel</v>
      </c>
      <c r="X340" t="str">
        <f t="shared" si="295"/>
        <v>ghost</v>
      </c>
      <c r="Y340" t="s">
        <v>22</v>
      </c>
      <c r="Z340" t="s">
        <v>9</v>
      </c>
      <c r="AB340" t="str">
        <f t="shared" si="294"/>
        <v/>
      </c>
      <c r="AC340" t="s">
        <v>966</v>
      </c>
      <c r="AD340" t="str">
        <f>VLOOKUP(AC340,moves!A:B,2,FALSE)</f>
        <v>steel</v>
      </c>
      <c r="AE340">
        <f>VLOOKUP(AC340,moves!A:D,4,FALSE)</f>
        <v>5</v>
      </c>
      <c r="AF340" t="str">
        <f>IF(VLOOKUP(AC340,moves!A:F,5,FALSE)=0, "", VLOOKUP(AC340,moves!A:F,5,FALSE))</f>
        <v>transform</v>
      </c>
      <c r="AG340" t="str">
        <f>VLOOKUP(AC340,moves!A:F,6,FALSE)</f>
        <v>[critical_hit]s deal +1 damage.</v>
      </c>
      <c r="AH340">
        <v>0</v>
      </c>
      <c r="AI340">
        <v>0</v>
      </c>
      <c r="AJ340" t="str" cm="1">
        <f t="array" ref="AJ340">_xlfn.IFS(AH340=1, "starter", AI340=1, "legendary",V340&lt; 13, "weak",V340&lt; 17, "moderate", TRUE, "strong")</f>
        <v>strong</v>
      </c>
      <c r="AL340">
        <v>3</v>
      </c>
      <c r="AM340">
        <v>0</v>
      </c>
      <c r="AN340">
        <v>2</v>
      </c>
    </row>
    <row r="341" spans="1:40" x14ac:dyDescent="0.25">
      <c r="A341">
        <v>554</v>
      </c>
      <c r="B341" t="s">
        <v>1020</v>
      </c>
      <c r="C341" t="str">
        <f>B341</f>
        <v>Darumaka</v>
      </c>
      <c r="E341" t="s">
        <v>4</v>
      </c>
      <c r="G341">
        <v>70</v>
      </c>
      <c r="H341">
        <v>90</v>
      </c>
      <c r="I341">
        <v>45</v>
      </c>
      <c r="J341">
        <v>15</v>
      </c>
      <c r="K341">
        <v>45</v>
      </c>
      <c r="L341">
        <v>50</v>
      </c>
      <c r="M341" t="s">
        <v>1021</v>
      </c>
      <c r="N341" t="s">
        <v>301</v>
      </c>
      <c r="O341" t="s">
        <v>302</v>
      </c>
      <c r="P341">
        <f t="shared" si="311"/>
        <v>6.65</v>
      </c>
      <c r="Q341">
        <f t="shared" si="312"/>
        <v>5.5</v>
      </c>
      <c r="R341">
        <v>0</v>
      </c>
      <c r="S341">
        <v>0</v>
      </c>
      <c r="T341">
        <f t="shared" si="313"/>
        <v>7</v>
      </c>
      <c r="U341">
        <f t="shared" si="314"/>
        <v>6</v>
      </c>
      <c r="V341">
        <f t="shared" si="315"/>
        <v>13</v>
      </c>
      <c r="W341" t="str">
        <f t="shared" si="316"/>
        <v>fire</v>
      </c>
      <c r="X341" t="s">
        <v>8</v>
      </c>
      <c r="Y341" t="s">
        <v>22</v>
      </c>
      <c r="Z341" t="s">
        <v>14</v>
      </c>
      <c r="AA341" t="str">
        <f>B342</f>
        <v>Darmanitan</v>
      </c>
      <c r="AB341">
        <f t="shared" si="294"/>
        <v>9</v>
      </c>
      <c r="AC341" t="s">
        <v>1028</v>
      </c>
      <c r="AD341" t="str">
        <f>VLOOKUP(AC341,moves!A:B,2,FALSE)</f>
        <v>normal</v>
      </c>
      <c r="AE341">
        <f>VLOOKUP(AC341,moves!A:D,4,FALSE)</f>
        <v>3</v>
      </c>
      <c r="AF341" t="str">
        <f>IF(VLOOKUP(AC341,moves!A:F,5,FALSE)=0, "", VLOOKUP(AC341,moves!A:F,5,FALSE))</f>
        <v/>
      </c>
      <c r="AG341" t="str">
        <f>VLOOKUP(AC341,moves!A:F,6,FALSE)</f>
        <v>[status_symbol]s deal +1 damage. Heal any [drowsy] status effects from the user and the target.</v>
      </c>
      <c r="AH341">
        <v>0</v>
      </c>
      <c r="AI341">
        <v>0</v>
      </c>
      <c r="AJ341" t="str" cm="1">
        <f t="array" ref="AJ341">_xlfn.IFS(AH341=1, "starter", AI341=1, "legendary",V341&lt; 13, "weak",V341&lt; 17, "moderate", TRUE, "strong")</f>
        <v>moderate</v>
      </c>
      <c r="AL341">
        <v>1</v>
      </c>
      <c r="AM341">
        <v>0</v>
      </c>
    </row>
    <row r="342" spans="1:40" x14ac:dyDescent="0.25">
      <c r="A342">
        <v>555</v>
      </c>
      <c r="B342" t="s">
        <v>1022</v>
      </c>
      <c r="C342" t="str">
        <f>B342</f>
        <v>Darmanitan</v>
      </c>
      <c r="D342" t="s">
        <v>1026</v>
      </c>
      <c r="E342" t="s">
        <v>4</v>
      </c>
      <c r="G342">
        <v>105</v>
      </c>
      <c r="H342">
        <v>140</v>
      </c>
      <c r="I342">
        <v>55</v>
      </c>
      <c r="J342">
        <v>30</v>
      </c>
      <c r="K342">
        <v>55</v>
      </c>
      <c r="L342">
        <v>95</v>
      </c>
      <c r="M342" t="s">
        <v>1024</v>
      </c>
      <c r="N342" t="s">
        <v>301</v>
      </c>
      <c r="O342" t="s">
        <v>302</v>
      </c>
      <c r="P342">
        <f t="shared" si="311"/>
        <v>11.1</v>
      </c>
      <c r="Q342">
        <f t="shared" si="312"/>
        <v>7.5</v>
      </c>
      <c r="R342">
        <v>0</v>
      </c>
      <c r="S342">
        <v>0</v>
      </c>
      <c r="T342">
        <f t="shared" si="313"/>
        <v>11</v>
      </c>
      <c r="U342">
        <f t="shared" si="314"/>
        <v>8</v>
      </c>
      <c r="V342">
        <f t="shared" si="315"/>
        <v>19</v>
      </c>
      <c r="W342" t="str">
        <f t="shared" si="316"/>
        <v>fire</v>
      </c>
      <c r="X342" t="s">
        <v>26</v>
      </c>
      <c r="Y342" t="s">
        <v>22</v>
      </c>
      <c r="Z342" t="s">
        <v>14</v>
      </c>
      <c r="AB342" t="str">
        <f t="shared" si="294"/>
        <v/>
      </c>
      <c r="AC342" t="s">
        <v>1025</v>
      </c>
      <c r="AD342" t="str">
        <f>VLOOKUP(AC342,moves!A:B,2,FALSE)</f>
        <v>fire</v>
      </c>
      <c r="AE342">
        <f>VLOOKUP(AC342,moves!A:D,4,FALSE)</f>
        <v>6</v>
      </c>
      <c r="AF342" t="str">
        <f>IF(VLOOKUP(AC342,moves!A:F,5,FALSE)=0, "", VLOOKUP(AC342,moves!A:F,5,FALSE))</f>
        <v>transform</v>
      </c>
      <c r="AG342" t="str">
        <f>VLOOKUP(AC342,moves!A:F,6,FALSE)</f>
        <v>Deal 2 damage to the user.</v>
      </c>
      <c r="AH342">
        <v>0</v>
      </c>
      <c r="AI342">
        <v>0</v>
      </c>
      <c r="AJ342" t="str" cm="1">
        <f t="array" ref="AJ342">_xlfn.IFS(AH342=1, "starter", AI342=1, "legendary",V342&lt; 13, "weak",V342&lt; 17, "moderate", TRUE, "strong")</f>
        <v>strong</v>
      </c>
      <c r="AL342">
        <v>2</v>
      </c>
      <c r="AM342">
        <v>0</v>
      </c>
      <c r="AN342">
        <v>1</v>
      </c>
    </row>
    <row r="343" spans="1:40" x14ac:dyDescent="0.25">
      <c r="A343" t="s">
        <v>1023</v>
      </c>
      <c r="B343" t="s">
        <v>1022</v>
      </c>
      <c r="C343" t="s">
        <v>1030</v>
      </c>
      <c r="D343" t="s">
        <v>1029</v>
      </c>
      <c r="E343" t="s">
        <v>4</v>
      </c>
      <c r="F343" t="s">
        <v>26</v>
      </c>
      <c r="G343">
        <v>105</v>
      </c>
      <c r="H343">
        <v>30</v>
      </c>
      <c r="I343">
        <v>105</v>
      </c>
      <c r="J343">
        <v>150</v>
      </c>
      <c r="K343">
        <v>105</v>
      </c>
      <c r="L343">
        <v>55</v>
      </c>
      <c r="M343" t="s">
        <v>1024</v>
      </c>
      <c r="N343" t="s">
        <v>301</v>
      </c>
      <c r="O343" t="s">
        <v>302</v>
      </c>
      <c r="P343">
        <f t="shared" si="311"/>
        <v>10</v>
      </c>
      <c r="Q343">
        <f t="shared" si="312"/>
        <v>10.5</v>
      </c>
      <c r="R343">
        <v>0</v>
      </c>
      <c r="S343">
        <v>0</v>
      </c>
      <c r="T343">
        <f t="shared" si="313"/>
        <v>10</v>
      </c>
      <c r="U343">
        <f t="shared" si="314"/>
        <v>11</v>
      </c>
      <c r="V343">
        <f t="shared" si="315"/>
        <v>21</v>
      </c>
      <c r="W343" t="str">
        <f t="shared" si="316"/>
        <v>fire</v>
      </c>
      <c r="X343" t="s">
        <v>26</v>
      </c>
      <c r="Y343" t="s">
        <v>22</v>
      </c>
      <c r="Z343" t="s">
        <v>14</v>
      </c>
      <c r="AB343" t="str">
        <f t="shared" si="294"/>
        <v/>
      </c>
      <c r="AC343" t="s">
        <v>1027</v>
      </c>
      <c r="AD343" t="str">
        <f>VLOOKUP(AC343,moves!A:B,2,FALSE)</f>
        <v>psychic</v>
      </c>
      <c r="AE343">
        <f>VLOOKUP(AC343,moves!A:D,4,FALSE)</f>
        <v>1</v>
      </c>
      <c r="AF343" t="str">
        <f>IF(VLOOKUP(AC343,moves!A:F,5,FALSE)=0, "", VLOOKUP(AC343,moves!A:F,5,FALSE))</f>
        <v>transform</v>
      </c>
      <c r="AG343" t="str">
        <f>VLOOKUP(AC343,moves!A:F,6,FALSE)</f>
        <v>Inflict the [drowsy] status on the user. Heal 6 damage if the user has just become [drowsy].</v>
      </c>
      <c r="AH343">
        <v>0</v>
      </c>
      <c r="AI343">
        <v>0</v>
      </c>
      <c r="AJ343" t="str" cm="1">
        <f t="array" ref="AJ343">_xlfn.IFS(AH343=1, "starter", AI343=1, "legendary",V343&lt; 13, "weak",V343&lt; 17, "moderate", TRUE, "strong")</f>
        <v>strong</v>
      </c>
      <c r="AL343">
        <v>2</v>
      </c>
      <c r="AM343">
        <v>0</v>
      </c>
      <c r="AN343">
        <v>2</v>
      </c>
    </row>
    <row r="344" spans="1:40" x14ac:dyDescent="0.25">
      <c r="A344">
        <v>877</v>
      </c>
      <c r="B344" t="s">
        <v>1036</v>
      </c>
      <c r="C344" t="str">
        <f>B344</f>
        <v>Morpeko</v>
      </c>
      <c r="D344" t="s">
        <v>1041</v>
      </c>
      <c r="E344" t="s">
        <v>11</v>
      </c>
      <c r="F344" t="s">
        <v>9</v>
      </c>
      <c r="G344">
        <v>58</v>
      </c>
      <c r="H344">
        <v>95</v>
      </c>
      <c r="I344">
        <v>58</v>
      </c>
      <c r="J344">
        <v>70</v>
      </c>
      <c r="K344">
        <v>58</v>
      </c>
      <c r="L344">
        <v>97</v>
      </c>
      <c r="M344" t="s">
        <v>1037</v>
      </c>
      <c r="N344" t="s">
        <v>304</v>
      </c>
      <c r="O344" t="s">
        <v>299</v>
      </c>
      <c r="P344">
        <f t="shared" si="311"/>
        <v>9.3300000000000018</v>
      </c>
      <c r="Q344">
        <f t="shared" si="312"/>
        <v>5.8</v>
      </c>
      <c r="R344">
        <v>0</v>
      </c>
      <c r="S344">
        <v>0</v>
      </c>
      <c r="T344">
        <f t="shared" si="313"/>
        <v>9</v>
      </c>
      <c r="U344">
        <f t="shared" si="314"/>
        <v>6</v>
      </c>
      <c r="V344">
        <f t="shared" si="315"/>
        <v>15</v>
      </c>
      <c r="W344" t="str">
        <f t="shared" si="316"/>
        <v>electric</v>
      </c>
      <c r="X344" t="str">
        <f>IF(F344 = 0, "", F344)</f>
        <v>dark</v>
      </c>
      <c r="Y344" t="s">
        <v>2</v>
      </c>
      <c r="Z344" t="s">
        <v>22</v>
      </c>
      <c r="AB344" t="str">
        <f t="shared" si="294"/>
        <v/>
      </c>
      <c r="AC344" t="s">
        <v>1042</v>
      </c>
      <c r="AD344" t="str">
        <f>VLOOKUP(AC344,moves!A:B,2,FALSE)</f>
        <v>electric</v>
      </c>
      <c r="AE344">
        <f>VLOOKUP(AC344,moves!A:D,4,FALSE)</f>
        <v>3</v>
      </c>
      <c r="AF344" t="str">
        <f>IF(VLOOKUP(AC344,moves!A:F,5,FALSE)=0, "", VLOOKUP(AC344,moves!A:F,5,FALSE))</f>
        <v>transform</v>
      </c>
      <c r="AG344" t="str">
        <f>VLOOKUP(AC344,moves!A:F,6,FALSE)</f>
        <v>Inflict the [paralysed] status on the target.</v>
      </c>
      <c r="AH344">
        <v>0</v>
      </c>
      <c r="AI344">
        <v>0</v>
      </c>
      <c r="AJ344" t="str" cm="1">
        <f t="array" ref="AJ344">_xlfn.IFS(AH344=1, "starter", AI344=1, "legendary",V344&lt; 13, "weak",V344&lt; 17, "moderate", TRUE, "strong")</f>
        <v>moderate</v>
      </c>
      <c r="AL344">
        <v>1</v>
      </c>
      <c r="AM344">
        <v>0</v>
      </c>
      <c r="AN344">
        <v>1</v>
      </c>
    </row>
    <row r="345" spans="1:40" x14ac:dyDescent="0.25">
      <c r="A345" t="s">
        <v>1038</v>
      </c>
      <c r="B345" t="s">
        <v>1036</v>
      </c>
      <c r="C345" t="s">
        <v>1039</v>
      </c>
      <c r="D345" t="s">
        <v>1040</v>
      </c>
      <c r="E345" t="s">
        <v>11</v>
      </c>
      <c r="F345" t="s">
        <v>9</v>
      </c>
      <c r="G345">
        <v>58</v>
      </c>
      <c r="H345">
        <v>95</v>
      </c>
      <c r="I345">
        <v>58</v>
      </c>
      <c r="J345">
        <v>70</v>
      </c>
      <c r="K345">
        <v>58</v>
      </c>
      <c r="L345">
        <v>97</v>
      </c>
      <c r="M345" t="s">
        <v>1037</v>
      </c>
      <c r="N345" t="s">
        <v>304</v>
      </c>
      <c r="O345" t="s">
        <v>299</v>
      </c>
      <c r="P345">
        <f t="shared" ref="P345:P348" si="317">(0.4*L345 + 0.5*MAX(H345,J345) + 0.1*MIN(H345,J345)) / 10</f>
        <v>9.3300000000000018</v>
      </c>
      <c r="Q345">
        <f t="shared" ref="Q345:Q348" si="318">(0.4*G345 + 0.3*I345 + 0.3*K345) / 10</f>
        <v>5.8</v>
      </c>
      <c r="R345">
        <v>0</v>
      </c>
      <c r="S345">
        <v>0</v>
      </c>
      <c r="T345">
        <f t="shared" ref="T345:T348" si="319">ROUND(P345,0)+R345</f>
        <v>9</v>
      </c>
      <c r="U345">
        <f t="shared" ref="U345:U348" si="320">ROUND(Q345,0)+S345</f>
        <v>6</v>
      </c>
      <c r="V345">
        <f t="shared" ref="V345:V348" si="321">SUM(ROUND(T345,0),ROUND(U345,0))</f>
        <v>15</v>
      </c>
      <c r="W345" t="str">
        <f t="shared" ref="W345:W346" si="322">E345</f>
        <v>electric</v>
      </c>
      <c r="X345" t="str">
        <f>IF(F345 = 0, "", F345)</f>
        <v>dark</v>
      </c>
      <c r="Y345" t="s">
        <v>2</v>
      </c>
      <c r="Z345" t="s">
        <v>22</v>
      </c>
      <c r="AB345" t="str">
        <f t="shared" si="294"/>
        <v/>
      </c>
      <c r="AC345" t="s">
        <v>1043</v>
      </c>
      <c r="AD345" t="str">
        <f>VLOOKUP(AC345,moves!A:B,2,FALSE)</f>
        <v>dark</v>
      </c>
      <c r="AE345">
        <f>VLOOKUP(AC345,moves!A:D,4,FALSE)</f>
        <v>3</v>
      </c>
      <c r="AF345" t="str">
        <f>IF(VLOOKUP(AC345,moves!A:F,5,FALSE)=0, "", VLOOKUP(AC345,moves!A:F,5,FALSE))</f>
        <v>transform</v>
      </c>
      <c r="AG345" t="str">
        <f>VLOOKUP(AC345,moves!A:F,6,FALSE)</f>
        <v>Inflict the [drowsy] status on the target.</v>
      </c>
      <c r="AH345">
        <v>0</v>
      </c>
      <c r="AI345">
        <v>0</v>
      </c>
      <c r="AJ345" t="str" cm="1">
        <f t="array" ref="AJ345">_xlfn.IFS(AH345=1, "starter", AI345=1, "legendary",V345&lt; 13, "weak",V345&lt; 17, "moderate", TRUE, "strong")</f>
        <v>moderate</v>
      </c>
      <c r="AL345">
        <v>1</v>
      </c>
      <c r="AM345">
        <v>0</v>
      </c>
      <c r="AN345">
        <v>2</v>
      </c>
    </row>
    <row r="346" spans="1:40" x14ac:dyDescent="0.25">
      <c r="A346">
        <v>757</v>
      </c>
      <c r="B346" t="s">
        <v>1049</v>
      </c>
      <c r="C346" t="str">
        <f t="shared" ref="C346:C360" si="323">B346</f>
        <v>Salandit</v>
      </c>
      <c r="E346" t="s">
        <v>3</v>
      </c>
      <c r="F346" t="s">
        <v>4</v>
      </c>
      <c r="G346">
        <v>48</v>
      </c>
      <c r="H346">
        <v>44</v>
      </c>
      <c r="I346">
        <v>40</v>
      </c>
      <c r="J346">
        <v>71</v>
      </c>
      <c r="K346">
        <v>40</v>
      </c>
      <c r="L346">
        <v>77</v>
      </c>
      <c r="M346" t="s">
        <v>1050</v>
      </c>
      <c r="N346" t="s">
        <v>304</v>
      </c>
      <c r="O346" t="s">
        <v>302</v>
      </c>
      <c r="P346">
        <f t="shared" si="317"/>
        <v>7.07</v>
      </c>
      <c r="Q346">
        <f t="shared" si="318"/>
        <v>4.32</v>
      </c>
      <c r="R346">
        <v>0</v>
      </c>
      <c r="S346">
        <v>0</v>
      </c>
      <c r="T346">
        <f t="shared" si="319"/>
        <v>7</v>
      </c>
      <c r="U346">
        <f t="shared" si="320"/>
        <v>4</v>
      </c>
      <c r="V346">
        <f t="shared" si="321"/>
        <v>11</v>
      </c>
      <c r="W346" t="str">
        <f t="shared" si="322"/>
        <v>poison</v>
      </c>
      <c r="X346" t="str">
        <f t="shared" si="295"/>
        <v>fire</v>
      </c>
      <c r="Y346" t="s">
        <v>9</v>
      </c>
      <c r="Z346" t="s">
        <v>67</v>
      </c>
      <c r="AA346" t="str">
        <f>B347</f>
        <v>Salazzle</v>
      </c>
      <c r="AB346">
        <f t="shared" si="294"/>
        <v>7</v>
      </c>
      <c r="AC346" t="s">
        <v>741</v>
      </c>
      <c r="AD346" t="str">
        <f>VLOOKUP(AC346,moves!A:B,2,FALSE)</f>
        <v>poison</v>
      </c>
      <c r="AE346">
        <f>VLOOKUP(AC346,moves!A:D,4,FALSE)</f>
        <v>3</v>
      </c>
      <c r="AF346" t="str">
        <f>IF(VLOOKUP(AC346,moves!A:F,5,FALSE)=0, "", VLOOKUP(AC346,moves!A:F,5,FALSE))</f>
        <v/>
      </c>
      <c r="AG346" t="str">
        <f>VLOOKUP(AC346,moves!A:F,6,FALSE)</f>
        <v>For each status effect on the target: Deal 1 extra damage.</v>
      </c>
      <c r="AH346">
        <v>0</v>
      </c>
      <c r="AI346">
        <v>0</v>
      </c>
      <c r="AJ346" t="str" cm="1">
        <f t="array" ref="AJ346">_xlfn.IFS(AH346=1, "starter", AI346=1, "legendary",V346&lt; 13, "weak",V346&lt; 17, "moderate", TRUE, "strong")</f>
        <v>weak</v>
      </c>
      <c r="AL346">
        <v>1</v>
      </c>
      <c r="AM346">
        <v>0</v>
      </c>
    </row>
    <row r="347" spans="1:40" x14ac:dyDescent="0.25">
      <c r="A347">
        <v>758</v>
      </c>
      <c r="B347" t="s">
        <v>1051</v>
      </c>
      <c r="C347" t="str">
        <f t="shared" si="323"/>
        <v>Salazzle</v>
      </c>
      <c r="E347" t="s">
        <v>3</v>
      </c>
      <c r="F347" t="s">
        <v>4</v>
      </c>
      <c r="G347">
        <v>68</v>
      </c>
      <c r="H347">
        <v>64</v>
      </c>
      <c r="I347">
        <v>60</v>
      </c>
      <c r="J347">
        <v>111</v>
      </c>
      <c r="K347">
        <v>60</v>
      </c>
      <c r="L347">
        <v>117</v>
      </c>
      <c r="M347" t="s">
        <v>1050</v>
      </c>
      <c r="N347" t="s">
        <v>304</v>
      </c>
      <c r="O347" t="s">
        <v>302</v>
      </c>
      <c r="P347">
        <f t="shared" si="317"/>
        <v>10.870000000000001</v>
      </c>
      <c r="Q347">
        <f t="shared" si="318"/>
        <v>6.32</v>
      </c>
      <c r="R347">
        <v>0</v>
      </c>
      <c r="S347">
        <v>0</v>
      </c>
      <c r="T347">
        <f t="shared" si="319"/>
        <v>11</v>
      </c>
      <c r="U347">
        <f t="shared" si="320"/>
        <v>6</v>
      </c>
      <c r="V347">
        <f t="shared" si="321"/>
        <v>17</v>
      </c>
      <c r="W347" t="str">
        <f t="shared" ref="W347:W348" si="324">E347</f>
        <v>poison</v>
      </c>
      <c r="X347" t="str">
        <f t="shared" ref="X347:X348" si="325">IF(F347 = 0, "", F347)</f>
        <v>fire</v>
      </c>
      <c r="Y347" t="s">
        <v>9</v>
      </c>
      <c r="Z347" t="s">
        <v>67</v>
      </c>
      <c r="AB347" t="str">
        <f t="shared" si="294"/>
        <v/>
      </c>
      <c r="AC347" t="s">
        <v>1048</v>
      </c>
      <c r="AD347" t="str">
        <f>VLOOKUP(AC347,moves!A:B,2,FALSE)</f>
        <v>fire</v>
      </c>
      <c r="AE347">
        <f>VLOOKUP(AC347,moves!A:D,4,FALSE)</f>
        <v>2</v>
      </c>
      <c r="AF347" t="str">
        <f>IF(VLOOKUP(AC347,moves!A:F,5,FALSE)=0, "", VLOOKUP(AC347,moves!A:F,5,FALSE))</f>
        <v/>
      </c>
      <c r="AG347" t="str">
        <f>VLOOKUP(AC347,moves!A:F,6,FALSE)</f>
        <v>Inflict both the [burned] and [poisoned] statuses on the target.</v>
      </c>
      <c r="AH347">
        <v>0</v>
      </c>
      <c r="AI347">
        <v>0</v>
      </c>
      <c r="AJ347" t="str" cm="1">
        <f t="array" ref="AJ347">_xlfn.IFS(AH347=1, "starter", AI347=1, "legendary",V347&lt; 13, "weak",V347&lt; 17, "moderate", TRUE, "strong")</f>
        <v>strong</v>
      </c>
      <c r="AL347">
        <v>2</v>
      </c>
      <c r="AM347">
        <v>0</v>
      </c>
    </row>
    <row r="348" spans="1:40" x14ac:dyDescent="0.25">
      <c r="A348">
        <v>633</v>
      </c>
      <c r="B348" t="s">
        <v>1056</v>
      </c>
      <c r="C348" t="str">
        <f t="shared" si="323"/>
        <v>Deino</v>
      </c>
      <c r="E348" t="s">
        <v>9</v>
      </c>
      <c r="F348" t="s">
        <v>67</v>
      </c>
      <c r="G348">
        <v>52</v>
      </c>
      <c r="H348">
        <v>65</v>
      </c>
      <c r="I348">
        <v>50</v>
      </c>
      <c r="J348">
        <v>45</v>
      </c>
      <c r="K348">
        <v>50</v>
      </c>
      <c r="L348">
        <v>38</v>
      </c>
      <c r="M348" t="s">
        <v>1057</v>
      </c>
      <c r="N348" t="s">
        <v>304</v>
      </c>
      <c r="O348" t="s">
        <v>299</v>
      </c>
      <c r="P348">
        <f t="shared" si="317"/>
        <v>5.2200000000000006</v>
      </c>
      <c r="Q348">
        <f t="shared" si="318"/>
        <v>5.08</v>
      </c>
      <c r="R348">
        <v>0</v>
      </c>
      <c r="S348">
        <v>0</v>
      </c>
      <c r="T348">
        <f t="shared" si="319"/>
        <v>5</v>
      </c>
      <c r="U348">
        <f t="shared" si="320"/>
        <v>5</v>
      </c>
      <c r="V348">
        <f t="shared" si="321"/>
        <v>10</v>
      </c>
      <c r="W348" t="str">
        <f t="shared" si="324"/>
        <v>dark</v>
      </c>
      <c r="X348" t="str">
        <f t="shared" si="325"/>
        <v>dragon</v>
      </c>
      <c r="Y348" t="s">
        <v>4</v>
      </c>
      <c r="Z348" t="s">
        <v>22</v>
      </c>
      <c r="AA348" t="str">
        <f>B349</f>
        <v>Zweilous</v>
      </c>
      <c r="AB348">
        <f t="shared" si="294"/>
        <v>4</v>
      </c>
      <c r="AC348" t="s">
        <v>1060</v>
      </c>
      <c r="AD348" t="str">
        <f>VLOOKUP(AC348,moves!A:B,2,FALSE)</f>
        <v>dragon</v>
      </c>
      <c r="AE348">
        <f>VLOOKUP(AC348,moves!A:D,4,FALSE)</f>
        <v>3</v>
      </c>
      <c r="AF348" t="str">
        <f>IF(VLOOKUP(AC348,moves!A:F,5,FALSE)=0, "", VLOOKUP(AC348,moves!A:F,5,FALSE))</f>
        <v/>
      </c>
      <c r="AG348" t="str">
        <f>VLOOKUP(AC348,moves!A:F,6,FALSE)</f>
        <v>If any [status_symbol]s are rolled: Inflict the [burned] status on the target.</v>
      </c>
      <c r="AH348">
        <v>0</v>
      </c>
      <c r="AI348">
        <v>0</v>
      </c>
      <c r="AJ348" t="str" cm="1">
        <f t="array" ref="AJ348">_xlfn.IFS(AH348=1, "starter", AI348=1, "legendary",V348&lt; 13, "weak",V348&lt; 17, "moderate", TRUE, "strong")</f>
        <v>weak</v>
      </c>
      <c r="AL348">
        <v>1</v>
      </c>
      <c r="AM348">
        <v>0</v>
      </c>
    </row>
    <row r="349" spans="1:40" x14ac:dyDescent="0.25">
      <c r="A349">
        <v>634</v>
      </c>
      <c r="B349" t="s">
        <v>1061</v>
      </c>
      <c r="C349" t="str">
        <f t="shared" si="323"/>
        <v>Zweilous</v>
      </c>
      <c r="E349" t="s">
        <v>9</v>
      </c>
      <c r="F349" t="s">
        <v>67</v>
      </c>
      <c r="G349">
        <v>72</v>
      </c>
      <c r="H349">
        <v>85</v>
      </c>
      <c r="I349">
        <v>70</v>
      </c>
      <c r="J349">
        <v>65</v>
      </c>
      <c r="K349">
        <v>70</v>
      </c>
      <c r="L349">
        <v>58</v>
      </c>
      <c r="M349" t="s">
        <v>633</v>
      </c>
      <c r="N349" t="s">
        <v>304</v>
      </c>
      <c r="O349" t="s">
        <v>299</v>
      </c>
      <c r="P349">
        <f t="shared" ref="P349:P355" si="326">(0.4*L349 + 0.5*MAX(H349,J349) + 0.1*MIN(H349,J349)) / 10</f>
        <v>7.2200000000000006</v>
      </c>
      <c r="Q349">
        <f t="shared" ref="Q349:Q355" si="327">(0.4*G349 + 0.3*I349 + 0.3*K349) / 10</f>
        <v>7.08</v>
      </c>
      <c r="R349">
        <v>0</v>
      </c>
      <c r="S349">
        <v>0</v>
      </c>
      <c r="T349">
        <f t="shared" ref="T349:T355" si="328">ROUND(P349,0)+R349</f>
        <v>7</v>
      </c>
      <c r="U349">
        <f t="shared" ref="U349:U355" si="329">ROUND(Q349,0)+S349</f>
        <v>7</v>
      </c>
      <c r="V349">
        <f t="shared" ref="V349:V355" si="330">SUM(ROUND(T349,0),ROUND(U349,0))</f>
        <v>14</v>
      </c>
      <c r="W349" t="str">
        <f t="shared" ref="W349:W355" si="331">E349</f>
        <v>dark</v>
      </c>
      <c r="X349" t="str">
        <f t="shared" ref="X349:X354" si="332">IF(F349 = 0, "", F349)</f>
        <v>dragon</v>
      </c>
      <c r="Y349" t="s">
        <v>4</v>
      </c>
      <c r="Z349" t="s">
        <v>22</v>
      </c>
      <c r="AA349" t="str">
        <f>B350</f>
        <v>Hydreigon</v>
      </c>
      <c r="AB349">
        <f t="shared" si="294"/>
        <v>9</v>
      </c>
      <c r="AC349" t="s">
        <v>504</v>
      </c>
      <c r="AD349" t="str">
        <f>VLOOKUP(AC349,moves!A:B,2,FALSE)</f>
        <v>dark</v>
      </c>
      <c r="AE349">
        <f>VLOOKUP(AC349,moves!A:D,4,FALSE)</f>
        <v>4</v>
      </c>
      <c r="AF349" t="str">
        <f>IF(VLOOKUP(AC349,moves!A:F,5,FALSE)=0, "", VLOOKUP(AC349,moves!A:F,5,FALSE))</f>
        <v/>
      </c>
      <c r="AG349" t="str">
        <f>VLOOKUP(AC349,moves!A:F,6,FALSE)</f>
        <v>When the target is next attacked, add 1 [regular_hit] to the roll.</v>
      </c>
      <c r="AH349">
        <v>0</v>
      </c>
      <c r="AI349">
        <v>0</v>
      </c>
      <c r="AJ349" t="str" cm="1">
        <f t="array" ref="AJ349">_xlfn.IFS(AH349=1, "starter", AI349=1, "legendary",V349&lt; 13, "weak",V349&lt; 17, "moderate", TRUE, "strong")</f>
        <v>moderate</v>
      </c>
      <c r="AL349">
        <v>2</v>
      </c>
      <c r="AM349">
        <v>0</v>
      </c>
    </row>
    <row r="350" spans="1:40" x14ac:dyDescent="0.25">
      <c r="A350">
        <v>635</v>
      </c>
      <c r="B350" t="s">
        <v>1062</v>
      </c>
      <c r="C350" t="str">
        <f t="shared" si="323"/>
        <v>Hydreigon</v>
      </c>
      <c r="E350" t="s">
        <v>9</v>
      </c>
      <c r="F350" t="s">
        <v>67</v>
      </c>
      <c r="G350">
        <v>92</v>
      </c>
      <c r="H350">
        <v>105</v>
      </c>
      <c r="I350">
        <v>90</v>
      </c>
      <c r="J350">
        <v>125</v>
      </c>
      <c r="K350">
        <v>90</v>
      </c>
      <c r="L350">
        <v>98</v>
      </c>
      <c r="M350" t="s">
        <v>1058</v>
      </c>
      <c r="N350" t="s">
        <v>304</v>
      </c>
      <c r="O350" t="s">
        <v>299</v>
      </c>
      <c r="P350">
        <f t="shared" si="326"/>
        <v>11.22</v>
      </c>
      <c r="Q350">
        <f t="shared" si="327"/>
        <v>9.0800000000000018</v>
      </c>
      <c r="R350">
        <v>0</v>
      </c>
      <c r="S350">
        <v>0</v>
      </c>
      <c r="T350">
        <f t="shared" si="328"/>
        <v>11</v>
      </c>
      <c r="U350">
        <f t="shared" si="329"/>
        <v>9</v>
      </c>
      <c r="V350">
        <f t="shared" si="330"/>
        <v>20</v>
      </c>
      <c r="W350" t="str">
        <f t="shared" si="331"/>
        <v>dark</v>
      </c>
      <c r="X350" t="str">
        <f t="shared" si="332"/>
        <v>dragon</v>
      </c>
      <c r="Y350" t="s">
        <v>4</v>
      </c>
      <c r="Z350" t="s">
        <v>22</v>
      </c>
      <c r="AB350" t="str">
        <f t="shared" si="294"/>
        <v/>
      </c>
      <c r="AC350" t="s">
        <v>1059</v>
      </c>
      <c r="AD350" t="str">
        <f>VLOOKUP(AC350,moves!A:B,2,FALSE)</f>
        <v>dragon</v>
      </c>
      <c r="AE350">
        <f>VLOOKUP(AC350,moves!A:D,4,FALSE)</f>
        <v>5</v>
      </c>
      <c r="AF350" t="str">
        <f>IF(VLOOKUP(AC350,moves!A:F,5,FALSE)=0, "", VLOOKUP(AC350,moves!A:F,5,FALSE))</f>
        <v/>
      </c>
      <c r="AG350" t="str">
        <f>VLOOKUP(AC350,moves!A:F,6,FALSE)</f>
        <v xml:space="preserve">During this attack and when the user is next attacked, [status_symbol]s deal +1 damage. </v>
      </c>
      <c r="AH350">
        <v>0</v>
      </c>
      <c r="AI350">
        <v>0</v>
      </c>
      <c r="AJ350" t="str" cm="1">
        <f t="array" ref="AJ350">_xlfn.IFS(AH350=1, "starter", AI350=1, "legendary",V350&lt; 13, "weak",V350&lt; 17, "moderate", TRUE, "strong")</f>
        <v>strong</v>
      </c>
      <c r="AL350">
        <v>3</v>
      </c>
      <c r="AM350">
        <v>0</v>
      </c>
    </row>
    <row r="351" spans="1:40" x14ac:dyDescent="0.25">
      <c r="A351">
        <v>636</v>
      </c>
      <c r="B351" t="s">
        <v>1075</v>
      </c>
      <c r="C351" t="str">
        <f t="shared" si="323"/>
        <v>Larvesta</v>
      </c>
      <c r="E351" t="s">
        <v>7</v>
      </c>
      <c r="F351" t="s">
        <v>4</v>
      </c>
      <c r="G351">
        <v>55</v>
      </c>
      <c r="H351">
        <v>85</v>
      </c>
      <c r="I351">
        <v>55</v>
      </c>
      <c r="J351">
        <v>50</v>
      </c>
      <c r="K351">
        <v>55</v>
      </c>
      <c r="L351">
        <v>60</v>
      </c>
      <c r="M351" t="s">
        <v>1076</v>
      </c>
      <c r="N351" t="s">
        <v>298</v>
      </c>
      <c r="O351" t="s">
        <v>299</v>
      </c>
      <c r="P351">
        <f t="shared" si="326"/>
        <v>7.15</v>
      </c>
      <c r="Q351">
        <f t="shared" si="327"/>
        <v>5.5</v>
      </c>
      <c r="R351">
        <v>0</v>
      </c>
      <c r="S351">
        <v>-1</v>
      </c>
      <c r="T351">
        <f t="shared" si="328"/>
        <v>7</v>
      </c>
      <c r="U351">
        <f t="shared" si="329"/>
        <v>5</v>
      </c>
      <c r="V351">
        <f t="shared" si="330"/>
        <v>12</v>
      </c>
      <c r="W351" t="str">
        <f t="shared" si="331"/>
        <v>bug</v>
      </c>
      <c r="X351" t="str">
        <f t="shared" si="332"/>
        <v>fire</v>
      </c>
      <c r="Y351" t="s">
        <v>8</v>
      </c>
      <c r="Z351" t="s">
        <v>26</v>
      </c>
      <c r="AA351" t="str">
        <f>B352</f>
        <v>Volcarona</v>
      </c>
      <c r="AB351">
        <f t="shared" si="294"/>
        <v>11</v>
      </c>
      <c r="AC351" t="s">
        <v>831</v>
      </c>
      <c r="AD351" t="str">
        <f>VLOOKUP(AC351,moves!A:B,2,FALSE)</f>
        <v>bug</v>
      </c>
      <c r="AE351">
        <f>VLOOKUP(AC351,moves!A:D,4,FALSE)</f>
        <v>2</v>
      </c>
      <c r="AF351" t="str">
        <f>IF(VLOOKUP(AC351,moves!A:F,5,FALSE)=0, "", VLOOKUP(AC351,moves!A:F,5,FALSE))</f>
        <v/>
      </c>
      <c r="AG351" t="str">
        <f>VLOOKUP(AC351,moves!A:F,6,FALSE)</f>
        <v>If the user has 2 or less Health remaining, deal 2 extra damage.</v>
      </c>
      <c r="AH351">
        <v>0</v>
      </c>
      <c r="AI351">
        <v>0</v>
      </c>
      <c r="AJ351" t="str" cm="1">
        <f t="array" ref="AJ351">_xlfn.IFS(AH351=1, "starter", AI351=1, "legendary",V351&lt; 13, "weak",V351&lt; 17, "moderate", TRUE, "strong")</f>
        <v>weak</v>
      </c>
      <c r="AL351">
        <v>1</v>
      </c>
      <c r="AM351">
        <v>0</v>
      </c>
    </row>
    <row r="352" spans="1:40" x14ac:dyDescent="0.25">
      <c r="A352">
        <v>637</v>
      </c>
      <c r="B352" t="s">
        <v>1077</v>
      </c>
      <c r="C352" t="str">
        <f t="shared" si="323"/>
        <v>Volcarona</v>
      </c>
      <c r="E352" t="s">
        <v>7</v>
      </c>
      <c r="F352" t="s">
        <v>4</v>
      </c>
      <c r="G352">
        <v>85</v>
      </c>
      <c r="H352">
        <v>60</v>
      </c>
      <c r="I352">
        <v>65</v>
      </c>
      <c r="J352">
        <v>135</v>
      </c>
      <c r="K352">
        <v>105</v>
      </c>
      <c r="L352">
        <v>100</v>
      </c>
      <c r="M352" t="s">
        <v>407</v>
      </c>
      <c r="N352" t="s">
        <v>298</v>
      </c>
      <c r="O352" t="s">
        <v>299</v>
      </c>
      <c r="P352">
        <f t="shared" si="326"/>
        <v>11.35</v>
      </c>
      <c r="Q352">
        <f t="shared" si="327"/>
        <v>8.5</v>
      </c>
      <c r="R352">
        <v>0</v>
      </c>
      <c r="S352">
        <v>0</v>
      </c>
      <c r="T352">
        <f t="shared" si="328"/>
        <v>11</v>
      </c>
      <c r="U352">
        <f t="shared" si="329"/>
        <v>9</v>
      </c>
      <c r="V352">
        <f t="shared" si="330"/>
        <v>20</v>
      </c>
      <c r="W352" t="str">
        <f t="shared" si="331"/>
        <v>bug</v>
      </c>
      <c r="X352" t="str">
        <f t="shared" si="332"/>
        <v>fire</v>
      </c>
      <c r="Y352" t="s">
        <v>8</v>
      </c>
      <c r="Z352" t="s">
        <v>26</v>
      </c>
      <c r="AB352" t="str">
        <f t="shared" si="294"/>
        <v/>
      </c>
      <c r="AC352" t="s">
        <v>1078</v>
      </c>
      <c r="AD352" t="str">
        <f>VLOOKUP(AC352,moves!A:B,2,FALSE)</f>
        <v>fire</v>
      </c>
      <c r="AE352">
        <f>VLOOKUP(AC352,moves!A:D,4,FALSE)</f>
        <v>4</v>
      </c>
      <c r="AF352" t="str">
        <f>IF(VLOOKUP(AC352,moves!A:F,5,FALSE)=0, "", VLOOKUP(AC352,moves!A:F,5,FALSE))</f>
        <v>boost</v>
      </c>
      <c r="AG352" t="str">
        <f>VLOOKUP(AC352,moves!A:F,6,FALSE)</f>
        <v>Add 1 [regular_hit] to your future attack rolls.</v>
      </c>
      <c r="AH352">
        <v>0</v>
      </c>
      <c r="AI352">
        <v>0</v>
      </c>
      <c r="AJ352" t="str" cm="1">
        <f t="array" ref="AJ352">_xlfn.IFS(AH352=1, "starter", AI352=1, "legendary",V352&lt; 13, "weak",V352&lt; 17, "moderate", TRUE, "strong")</f>
        <v>strong</v>
      </c>
      <c r="AL352">
        <v>2</v>
      </c>
      <c r="AM352">
        <v>0</v>
      </c>
    </row>
    <row r="353" spans="1:40" x14ac:dyDescent="0.25">
      <c r="A353">
        <v>707</v>
      </c>
      <c r="B353" t="s">
        <v>1084</v>
      </c>
      <c r="C353" t="str">
        <f t="shared" si="323"/>
        <v>Klefki</v>
      </c>
      <c r="E353" t="s">
        <v>39</v>
      </c>
      <c r="F353" t="s">
        <v>16</v>
      </c>
      <c r="G353">
        <v>57</v>
      </c>
      <c r="H353">
        <v>80</v>
      </c>
      <c r="I353">
        <v>91</v>
      </c>
      <c r="J353">
        <v>80</v>
      </c>
      <c r="K353">
        <v>87</v>
      </c>
      <c r="L353">
        <v>75</v>
      </c>
      <c r="M353" t="s">
        <v>1085</v>
      </c>
      <c r="N353" t="s">
        <v>298</v>
      </c>
      <c r="O353" t="s">
        <v>299</v>
      </c>
      <c r="P353">
        <f t="shared" si="326"/>
        <v>7.8</v>
      </c>
      <c r="Q353">
        <f t="shared" si="327"/>
        <v>7.62</v>
      </c>
      <c r="R353">
        <v>0</v>
      </c>
      <c r="S353">
        <v>0</v>
      </c>
      <c r="T353">
        <f t="shared" si="328"/>
        <v>8</v>
      </c>
      <c r="U353">
        <f t="shared" si="329"/>
        <v>8</v>
      </c>
      <c r="V353">
        <f t="shared" si="330"/>
        <v>16</v>
      </c>
      <c r="W353" t="str">
        <f t="shared" si="331"/>
        <v>steel</v>
      </c>
      <c r="X353" t="str">
        <f t="shared" si="332"/>
        <v>fairy</v>
      </c>
      <c r="Y353" t="s">
        <v>26</v>
      </c>
      <c r="Z353" t="s">
        <v>9</v>
      </c>
      <c r="AB353" t="str">
        <f t="shared" si="294"/>
        <v/>
      </c>
      <c r="AC353" t="s">
        <v>1086</v>
      </c>
      <c r="AD353" t="str">
        <f>VLOOKUP(AC353,moves!A:B,2,FALSE)</f>
        <v>fairy</v>
      </c>
      <c r="AE353">
        <f>VLOOKUP(AC353,moves!A:D,4,FALSE)</f>
        <v>2</v>
      </c>
      <c r="AF353" t="str">
        <f>IF(VLOOKUP(AC353,moves!A:F,5,FALSE)=0, "", VLOOKUP(AC353,moves!A:F,5,FALSE))</f>
        <v/>
      </c>
      <c r="AG353" t="str">
        <f>VLOOKUP(AC353,moves!A:F,6,FALSE)</f>
        <v>Inflict the [paralysed] status on the target and another Pokémon in the target party.</v>
      </c>
      <c r="AH353">
        <v>0</v>
      </c>
      <c r="AI353">
        <v>0</v>
      </c>
      <c r="AJ353" t="str" cm="1">
        <f t="array" ref="AJ353">_xlfn.IFS(AH353=1, "starter", AI353=1, "legendary",V353&lt; 13, "weak",V353&lt; 17, "moderate", TRUE, "strong")</f>
        <v>moderate</v>
      </c>
      <c r="AL353">
        <v>1</v>
      </c>
      <c r="AM353">
        <v>0</v>
      </c>
    </row>
    <row r="354" spans="1:40" x14ac:dyDescent="0.25">
      <c r="A354">
        <v>703</v>
      </c>
      <c r="B354" t="s">
        <v>1101</v>
      </c>
      <c r="C354" t="str">
        <f t="shared" si="323"/>
        <v>Carbink</v>
      </c>
      <c r="E354" t="s">
        <v>33</v>
      </c>
      <c r="F354" t="s">
        <v>16</v>
      </c>
      <c r="G354">
        <v>50</v>
      </c>
      <c r="H354">
        <v>50</v>
      </c>
      <c r="I354">
        <v>150</v>
      </c>
      <c r="J354">
        <v>50</v>
      </c>
      <c r="K354">
        <v>150</v>
      </c>
      <c r="L354">
        <v>50</v>
      </c>
      <c r="M354" t="s">
        <v>1102</v>
      </c>
      <c r="O354" t="s">
        <v>549</v>
      </c>
      <c r="P354">
        <f t="shared" si="326"/>
        <v>5</v>
      </c>
      <c r="Q354">
        <f t="shared" si="327"/>
        <v>11</v>
      </c>
      <c r="R354">
        <v>0</v>
      </c>
      <c r="S354">
        <v>0</v>
      </c>
      <c r="T354">
        <f t="shared" si="328"/>
        <v>5</v>
      </c>
      <c r="U354">
        <f t="shared" si="329"/>
        <v>11</v>
      </c>
      <c r="V354">
        <f t="shared" si="330"/>
        <v>16</v>
      </c>
      <c r="W354" t="str">
        <f t="shared" si="331"/>
        <v>rock</v>
      </c>
      <c r="X354" t="str">
        <f t="shared" si="332"/>
        <v>fairy</v>
      </c>
      <c r="Y354" t="s">
        <v>26</v>
      </c>
      <c r="Z354" t="s">
        <v>13</v>
      </c>
      <c r="AB354" t="str">
        <f t="shared" si="294"/>
        <v/>
      </c>
      <c r="AC354" t="s">
        <v>1103</v>
      </c>
      <c r="AD354" t="str">
        <f>VLOOKUP(AC354,moves!A:B,2,FALSE)</f>
        <v>rock</v>
      </c>
      <c r="AE354">
        <f>VLOOKUP(AC354,moves!A:D,4,FALSE)</f>
        <v>4</v>
      </c>
      <c r="AF354" t="str">
        <f>IF(VLOOKUP(AC354,moves!A:F,5,FALSE)=0, "", VLOOKUP(AC354,moves!A:F,5,FALSE))</f>
        <v/>
      </c>
      <c r="AG354" t="str">
        <f>VLOOKUP(AC354,moves!A:F,6,FALSE)</f>
        <v>If any [status_symbol]s are rolled: Inflict any status effect on the target.</v>
      </c>
      <c r="AH354">
        <v>0</v>
      </c>
      <c r="AI354">
        <v>0</v>
      </c>
      <c r="AJ354" t="str" cm="1">
        <f t="array" ref="AJ354">_xlfn.IFS(AH354=1, "starter", AI354=1, "legendary",V354&lt; 13, "weak",V354&lt; 17, "moderate", TRUE, "strong")</f>
        <v>moderate</v>
      </c>
      <c r="AL354">
        <v>1</v>
      </c>
      <c r="AM354">
        <v>0</v>
      </c>
    </row>
    <row r="355" spans="1:40" x14ac:dyDescent="0.25">
      <c r="A355">
        <v>104</v>
      </c>
      <c r="B355" t="s">
        <v>1105</v>
      </c>
      <c r="C355" t="str">
        <f t="shared" si="323"/>
        <v>Cubone</v>
      </c>
      <c r="E355" t="s">
        <v>13</v>
      </c>
      <c r="G355">
        <v>50</v>
      </c>
      <c r="H355">
        <v>50</v>
      </c>
      <c r="I355">
        <v>95</v>
      </c>
      <c r="J355">
        <v>40</v>
      </c>
      <c r="K355">
        <v>50</v>
      </c>
      <c r="L355">
        <v>35</v>
      </c>
      <c r="M355" t="s">
        <v>1106</v>
      </c>
      <c r="N355" t="s">
        <v>304</v>
      </c>
      <c r="O355" t="s">
        <v>299</v>
      </c>
      <c r="P355">
        <f t="shared" si="326"/>
        <v>4.3</v>
      </c>
      <c r="Q355">
        <f t="shared" si="327"/>
        <v>6.35</v>
      </c>
      <c r="R355">
        <v>0</v>
      </c>
      <c r="S355">
        <v>0</v>
      </c>
      <c r="T355">
        <f t="shared" si="328"/>
        <v>4</v>
      </c>
      <c r="U355">
        <f t="shared" si="329"/>
        <v>6</v>
      </c>
      <c r="V355">
        <f t="shared" si="330"/>
        <v>10</v>
      </c>
      <c r="W355" t="str">
        <f t="shared" si="331"/>
        <v>ground</v>
      </c>
      <c r="X355" t="s">
        <v>8</v>
      </c>
      <c r="Y355" t="s">
        <v>33</v>
      </c>
      <c r="Z355" t="s">
        <v>22</v>
      </c>
      <c r="AA355" t="str">
        <f>B356</f>
        <v>Marowak</v>
      </c>
      <c r="AB355">
        <f t="shared" si="294"/>
        <v>6</v>
      </c>
      <c r="AC355" t="s">
        <v>1107</v>
      </c>
      <c r="AD355" t="str">
        <f>VLOOKUP(AC355,moves!A:B,2,FALSE)</f>
        <v>ground</v>
      </c>
      <c r="AE355">
        <f>VLOOKUP(AC355,moves!A:D,4,FALSE)</f>
        <v>5</v>
      </c>
      <c r="AF355" t="str">
        <f>IF(VLOOKUP(AC355,moves!A:F,5,FALSE)=0, "", VLOOKUP(AC355,moves!A:F,5,FALSE))</f>
        <v/>
      </c>
      <c r="AG355" t="str">
        <f>VLOOKUP(AC355,moves!A:F,6,FALSE)</f>
        <v>[status_symbol]s deal -2 damage.</v>
      </c>
      <c r="AH355">
        <v>0</v>
      </c>
      <c r="AI355">
        <v>0</v>
      </c>
      <c r="AJ355" t="str" cm="1">
        <f t="array" ref="AJ355">_xlfn.IFS(AH355=1, "starter", AI355=1, "legendary",V355&lt; 13, "weak",V355&lt; 17, "moderate", TRUE, "strong")</f>
        <v>weak</v>
      </c>
      <c r="AL355">
        <v>1</v>
      </c>
      <c r="AM355">
        <v>0</v>
      </c>
    </row>
    <row r="356" spans="1:40" x14ac:dyDescent="0.25">
      <c r="A356">
        <v>105</v>
      </c>
      <c r="B356" t="s">
        <v>1108</v>
      </c>
      <c r="C356" t="str">
        <f t="shared" si="323"/>
        <v>Marowak</v>
      </c>
      <c r="E356" t="s">
        <v>13</v>
      </c>
      <c r="G356">
        <v>60</v>
      </c>
      <c r="H356">
        <v>80</v>
      </c>
      <c r="I356">
        <v>110</v>
      </c>
      <c r="J356">
        <v>50</v>
      </c>
      <c r="K356">
        <v>80</v>
      </c>
      <c r="L356">
        <v>45</v>
      </c>
      <c r="M356" t="s">
        <v>1109</v>
      </c>
      <c r="N356" t="s">
        <v>304</v>
      </c>
      <c r="O356" t="s">
        <v>299</v>
      </c>
      <c r="P356">
        <f t="shared" ref="P356:P357" si="333">(0.4*L356 + 0.5*MAX(H356,J356) + 0.1*MIN(H356,J356)) / 10</f>
        <v>6.3</v>
      </c>
      <c r="Q356">
        <f t="shared" ref="Q356:Q357" si="334">(0.4*G356 + 0.3*I356 + 0.3*K356) / 10</f>
        <v>8.1</v>
      </c>
      <c r="R356">
        <v>0</v>
      </c>
      <c r="S356">
        <v>2</v>
      </c>
      <c r="T356">
        <f t="shared" ref="T356" si="335">ROUND(P356,0)+R356</f>
        <v>6</v>
      </c>
      <c r="U356">
        <f t="shared" ref="U356" si="336">ROUND(Q356,0)+S356</f>
        <v>10</v>
      </c>
      <c r="V356">
        <f t="shared" ref="V356" si="337">SUM(ROUND(T356,0),ROUND(U356,0))</f>
        <v>16</v>
      </c>
      <c r="W356" t="str">
        <f t="shared" ref="W356" si="338">E356</f>
        <v>ground</v>
      </c>
      <c r="X356" t="s">
        <v>8</v>
      </c>
      <c r="Y356" t="s">
        <v>33</v>
      </c>
      <c r="Z356" t="s">
        <v>22</v>
      </c>
      <c r="AB356" t="str">
        <f t="shared" si="294"/>
        <v/>
      </c>
      <c r="AC356" t="s">
        <v>1110</v>
      </c>
      <c r="AD356" t="str">
        <f>VLOOKUP(AC356,moves!A:B,2,FALSE)</f>
        <v>ground</v>
      </c>
      <c r="AE356">
        <f>VLOOKUP(AC356,moves!A:D,4,FALSE)</f>
        <v>3</v>
      </c>
      <c r="AF356" t="str">
        <f>IF(VLOOKUP(AC356,moves!A:F,5,FALSE)=0, "", VLOOKUP(AC356,moves!A:F,5,FALSE))</f>
        <v/>
      </c>
      <c r="AG356" t="str">
        <f>VLOOKUP(AC356,moves!A:F,6,FALSE)</f>
        <v>[regular_hit]s deal +1 damage.</v>
      </c>
      <c r="AH356">
        <v>0</v>
      </c>
      <c r="AI356">
        <v>0</v>
      </c>
      <c r="AJ356" t="str" cm="1">
        <f t="array" ref="AJ356">_xlfn.IFS(AH356=1, "starter", AI356=1, "legendary",V356&lt; 13, "weak",V356&lt; 17, "moderate", TRUE, "strong")</f>
        <v>moderate</v>
      </c>
      <c r="AL356">
        <v>2</v>
      </c>
      <c r="AM356">
        <v>0</v>
      </c>
    </row>
    <row r="357" spans="1:40" x14ac:dyDescent="0.25">
      <c r="A357">
        <v>374</v>
      </c>
      <c r="B357" t="s">
        <v>1194</v>
      </c>
      <c r="C357" t="str">
        <f t="shared" si="323"/>
        <v>Beldum</v>
      </c>
      <c r="E357" t="s">
        <v>39</v>
      </c>
      <c r="F357" t="s">
        <v>26</v>
      </c>
      <c r="G357">
        <v>40</v>
      </c>
      <c r="H357">
        <v>55</v>
      </c>
      <c r="I357">
        <v>80</v>
      </c>
      <c r="J357">
        <v>35</v>
      </c>
      <c r="K357">
        <v>60</v>
      </c>
      <c r="L357">
        <v>30</v>
      </c>
      <c r="M357" t="s">
        <v>1195</v>
      </c>
      <c r="O357" t="s">
        <v>549</v>
      </c>
      <c r="P357">
        <f t="shared" si="333"/>
        <v>4.3</v>
      </c>
      <c r="Q357">
        <f t="shared" si="334"/>
        <v>5.8</v>
      </c>
      <c r="R357">
        <v>0</v>
      </c>
      <c r="S357">
        <v>0</v>
      </c>
      <c r="T357">
        <f t="shared" ref="T357" si="339">ROUND(P357,0)+R357</f>
        <v>4</v>
      </c>
      <c r="U357">
        <f t="shared" ref="U357" si="340">ROUND(Q357,0)+S357</f>
        <v>6</v>
      </c>
      <c r="V357">
        <f t="shared" ref="V357" si="341">SUM(ROUND(T357,0),ROUND(U357,0))</f>
        <v>10</v>
      </c>
      <c r="W357" t="str">
        <f t="shared" ref="W357" si="342">E357</f>
        <v>steel</v>
      </c>
      <c r="X357" t="str">
        <f t="shared" si="295"/>
        <v>psychic</v>
      </c>
      <c r="Y357" t="s">
        <v>8</v>
      </c>
      <c r="Z357" t="s">
        <v>13</v>
      </c>
      <c r="AA357" t="s">
        <v>1197</v>
      </c>
      <c r="AB357">
        <f t="shared" si="294"/>
        <v>4</v>
      </c>
      <c r="AC357" t="s">
        <v>510</v>
      </c>
      <c r="AD357" t="str">
        <f>VLOOKUP(AC357,moves!A:B,2,FALSE)</f>
        <v>normal</v>
      </c>
      <c r="AE357">
        <f>VLOOKUP(AC357,moves!A:D,4,FALSE)</f>
        <v>2</v>
      </c>
      <c r="AF357" t="str">
        <f>IF(VLOOKUP(AC357,moves!A:F,5,FALSE)=0, "", VLOOKUP(AC357,moves!A:F,5,FALSE))</f>
        <v/>
      </c>
      <c r="AG357" t="str">
        <f>VLOOKUP(AC357,moves!A:F,6,FALSE)</f>
        <v>When the target next attacks, remove 1 [regular_hit] from the roll.</v>
      </c>
      <c r="AH357">
        <v>0</v>
      </c>
      <c r="AI357">
        <v>0</v>
      </c>
      <c r="AJ357" t="str" cm="1">
        <f t="array" ref="AJ357">_xlfn.IFS(AH357=1, "starter", AI357=1, "legendary",V357&lt; 13, "weak",V357&lt; 17, "moderate", TRUE, "strong")</f>
        <v>weak</v>
      </c>
      <c r="AL357">
        <v>1</v>
      </c>
      <c r="AM357">
        <v>0</v>
      </c>
    </row>
    <row r="358" spans="1:40" x14ac:dyDescent="0.25">
      <c r="A358">
        <v>375</v>
      </c>
      <c r="B358" t="s">
        <v>1197</v>
      </c>
      <c r="C358" t="str">
        <f t="shared" si="323"/>
        <v>Metang</v>
      </c>
      <c r="E358" t="s">
        <v>39</v>
      </c>
      <c r="F358" t="s">
        <v>26</v>
      </c>
      <c r="G358">
        <v>60</v>
      </c>
      <c r="H358">
        <v>75</v>
      </c>
      <c r="I358">
        <v>100</v>
      </c>
      <c r="J358">
        <v>55</v>
      </c>
      <c r="K358">
        <v>80</v>
      </c>
      <c r="L358">
        <v>50</v>
      </c>
      <c r="M358" t="s">
        <v>1196</v>
      </c>
      <c r="O358" t="s">
        <v>549</v>
      </c>
      <c r="P358">
        <f t="shared" ref="P358:P359" si="343">(0.4*L358 + 0.5*MAX(H358,J358) + 0.1*MIN(H358,J358)) / 10</f>
        <v>6.3</v>
      </c>
      <c r="Q358">
        <f t="shared" ref="Q358:Q359" si="344">(0.4*G358 + 0.3*I358 + 0.3*K358) / 10</f>
        <v>7.8</v>
      </c>
      <c r="R358">
        <v>0</v>
      </c>
      <c r="S358">
        <v>0</v>
      </c>
      <c r="T358">
        <f t="shared" ref="T358:T359" si="345">ROUND(P358,0)+R358</f>
        <v>6</v>
      </c>
      <c r="U358">
        <f t="shared" ref="U358:U359" si="346">ROUND(Q358,0)+S358</f>
        <v>8</v>
      </c>
      <c r="V358">
        <f t="shared" ref="V358:V359" si="347">SUM(ROUND(T358,0),ROUND(U358,0))</f>
        <v>14</v>
      </c>
      <c r="W358" t="str">
        <f t="shared" ref="W358:W359" si="348">E358</f>
        <v>steel</v>
      </c>
      <c r="X358" t="str">
        <f t="shared" ref="X358:X359" si="349">IF(F358 = 0, "", F358)</f>
        <v>psychic</v>
      </c>
      <c r="Y358" t="s">
        <v>22</v>
      </c>
      <c r="Z358" t="s">
        <v>13</v>
      </c>
      <c r="AA358" t="s">
        <v>1198</v>
      </c>
      <c r="AB358">
        <f t="shared" si="294"/>
        <v>9</v>
      </c>
      <c r="AC358" t="s">
        <v>1237</v>
      </c>
      <c r="AD358" t="str">
        <f>VLOOKUP(AC358,moves!A:B,2,FALSE)</f>
        <v>psychic</v>
      </c>
      <c r="AE358">
        <f>VLOOKUP(AC358,moves!A:D,4,FALSE)</f>
        <v>4</v>
      </c>
      <c r="AF358" t="str">
        <f>IF(VLOOKUP(AC358,moves!A:F,5,FALSE)=0, "", VLOOKUP(AC358,moves!A:F,5,FALSE))</f>
        <v/>
      </c>
      <c r="AG358" t="str">
        <f>VLOOKUP(AC358,moves!A:F,6,FALSE)</f>
        <v>If any [status_symbol]s are rolled: Inflict the [paralysed] status on the target.</v>
      </c>
      <c r="AH358">
        <v>0</v>
      </c>
      <c r="AI358">
        <v>0</v>
      </c>
      <c r="AJ358" t="str" cm="1">
        <f t="array" ref="AJ358">_xlfn.IFS(AH358=1, "starter", AI358=1, "legendary",V358&lt; 13, "weak",V358&lt; 17, "moderate", TRUE, "strong")</f>
        <v>moderate</v>
      </c>
      <c r="AL358">
        <v>2</v>
      </c>
      <c r="AM358">
        <v>0</v>
      </c>
    </row>
    <row r="359" spans="1:40" x14ac:dyDescent="0.25">
      <c r="A359">
        <v>376</v>
      </c>
      <c r="B359" t="s">
        <v>1198</v>
      </c>
      <c r="C359" t="str">
        <f t="shared" si="323"/>
        <v>Metagross</v>
      </c>
      <c r="E359" t="s">
        <v>39</v>
      </c>
      <c r="F359" t="s">
        <v>26</v>
      </c>
      <c r="G359">
        <v>80</v>
      </c>
      <c r="H359">
        <v>135</v>
      </c>
      <c r="I359">
        <v>130</v>
      </c>
      <c r="J359">
        <v>95</v>
      </c>
      <c r="K359">
        <v>90</v>
      </c>
      <c r="L359">
        <v>70</v>
      </c>
      <c r="M359" t="s">
        <v>1199</v>
      </c>
      <c r="O359" t="s">
        <v>549</v>
      </c>
      <c r="P359">
        <f t="shared" si="343"/>
        <v>10.5</v>
      </c>
      <c r="Q359">
        <f t="shared" si="344"/>
        <v>9.8000000000000007</v>
      </c>
      <c r="R359">
        <v>-1</v>
      </c>
      <c r="S359">
        <v>0</v>
      </c>
      <c r="T359">
        <f t="shared" si="345"/>
        <v>10</v>
      </c>
      <c r="U359">
        <f t="shared" si="346"/>
        <v>10</v>
      </c>
      <c r="V359">
        <f t="shared" si="347"/>
        <v>20</v>
      </c>
      <c r="W359" t="str">
        <f t="shared" si="348"/>
        <v>steel</v>
      </c>
      <c r="X359" t="str">
        <f t="shared" si="349"/>
        <v>psychic</v>
      </c>
      <c r="Y359" t="s">
        <v>22</v>
      </c>
      <c r="Z359" t="s">
        <v>13</v>
      </c>
      <c r="AB359" t="str">
        <f t="shared" si="294"/>
        <v/>
      </c>
      <c r="AC359" t="s">
        <v>1200</v>
      </c>
      <c r="AD359" t="str">
        <f>VLOOKUP(AC359,moves!A:B,2,FALSE)</f>
        <v>steel</v>
      </c>
      <c r="AE359">
        <f>VLOOKUP(AC359,moves!A:D,4,FALSE)</f>
        <v>4</v>
      </c>
      <c r="AF359" t="str">
        <f>IF(VLOOKUP(AC359,moves!A:F,5,FALSE)=0, "", VLOOKUP(AC359,moves!A:F,5,FALSE))</f>
        <v>boost</v>
      </c>
      <c r="AG359" t="str">
        <f>VLOOKUP(AC359,moves!A:F,6,FALSE)</f>
        <v>Add 1 [regular_hit] to your future attack rolls.</v>
      </c>
      <c r="AH359">
        <v>0</v>
      </c>
      <c r="AI359">
        <v>0</v>
      </c>
      <c r="AJ359" t="str" cm="1">
        <f t="array" ref="AJ359">_xlfn.IFS(AH359=1, "starter", AI359=1, "legendary",V359&lt; 13, "weak",V359&lt; 17, "moderate", TRUE, "strong")</f>
        <v>strong</v>
      </c>
      <c r="AL359">
        <v>3</v>
      </c>
      <c r="AM359">
        <v>0</v>
      </c>
    </row>
    <row r="360" spans="1:40" x14ac:dyDescent="0.25">
      <c r="A360">
        <v>774</v>
      </c>
      <c r="B360" t="s">
        <v>1201</v>
      </c>
      <c r="C360" t="str">
        <f t="shared" si="323"/>
        <v>Minior</v>
      </c>
      <c r="D360" t="s">
        <v>1204</v>
      </c>
      <c r="E360" t="s">
        <v>33</v>
      </c>
      <c r="F360" t="s">
        <v>5</v>
      </c>
      <c r="G360">
        <v>60</v>
      </c>
      <c r="H360">
        <v>80</v>
      </c>
      <c r="I360">
        <v>80</v>
      </c>
      <c r="J360">
        <v>80</v>
      </c>
      <c r="K360">
        <v>80</v>
      </c>
      <c r="L360">
        <v>90</v>
      </c>
      <c r="M360" t="s">
        <v>1202</v>
      </c>
      <c r="O360" t="s">
        <v>549</v>
      </c>
      <c r="P360">
        <f t="shared" ref="P360" si="350">(0.4*L360 + 0.5*MAX(H360,J360) + 0.1*MIN(H360,J360)) / 10</f>
        <v>8.4</v>
      </c>
      <c r="Q360">
        <f t="shared" ref="Q360" si="351">(0.4*G360 + 0.3*I360 + 0.3*K360) / 10</f>
        <v>7.2</v>
      </c>
      <c r="R360">
        <v>0</v>
      </c>
      <c r="S360">
        <v>0</v>
      </c>
      <c r="T360">
        <f t="shared" ref="T360" si="352">ROUND(P360,0)+R360</f>
        <v>8</v>
      </c>
      <c r="U360">
        <f t="shared" ref="U360" si="353">ROUND(Q360,0)+S360</f>
        <v>7</v>
      </c>
      <c r="V360">
        <f t="shared" ref="V360" si="354">SUM(ROUND(T360,0),ROUND(U360,0))</f>
        <v>15</v>
      </c>
      <c r="W360" t="str">
        <f t="shared" ref="W360" si="355">E360</f>
        <v>rock</v>
      </c>
      <c r="X360" t="str">
        <f t="shared" ref="X360" si="356">IF(F360 = 0, "", F360)</f>
        <v>flying</v>
      </c>
      <c r="Y360" t="s">
        <v>8</v>
      </c>
      <c r="Z360" t="s">
        <v>26</v>
      </c>
      <c r="AB360" t="str">
        <f t="shared" si="294"/>
        <v/>
      </c>
      <c r="AC360" t="s">
        <v>1206</v>
      </c>
      <c r="AD360" t="str">
        <f>VLOOKUP(AC360,moves!A:B,2,FALSE)</f>
        <v>rock</v>
      </c>
      <c r="AE360">
        <f>VLOOKUP(AC360,moves!A:D,4,FALSE)</f>
        <v>4</v>
      </c>
      <c r="AF360" t="str">
        <f>IF(VLOOKUP(AC360,moves!A:F,5,FALSE)=0, "", VLOOKUP(AC360,moves!A:F,5,FALSE))</f>
        <v>transform</v>
      </c>
      <c r="AG360" t="str">
        <f>VLOOKUP(AC360,moves!A:F,6,FALSE)</f>
        <v>[critical_hit]s deal +2 damage. The user takes 2 damage.</v>
      </c>
      <c r="AH360">
        <v>0</v>
      </c>
      <c r="AI360">
        <v>0</v>
      </c>
      <c r="AJ360" t="str" cm="1">
        <f t="array" ref="AJ360">_xlfn.IFS(AH360=1, "starter", AI360=1, "legendary",V360&lt; 13, "weak",V360&lt; 17, "moderate", TRUE, "strong")</f>
        <v>moderate</v>
      </c>
      <c r="AL360">
        <v>1</v>
      </c>
      <c r="AM360">
        <v>0</v>
      </c>
      <c r="AN360">
        <v>1</v>
      </c>
    </row>
    <row r="361" spans="1:40" x14ac:dyDescent="0.25">
      <c r="A361" t="s">
        <v>1223</v>
      </c>
      <c r="B361" t="s">
        <v>1201</v>
      </c>
      <c r="C361" t="s">
        <v>1207</v>
      </c>
      <c r="D361" t="s">
        <v>1205</v>
      </c>
      <c r="E361" t="s">
        <v>33</v>
      </c>
      <c r="F361" t="s">
        <v>5</v>
      </c>
      <c r="G361">
        <v>60</v>
      </c>
      <c r="H361">
        <v>80</v>
      </c>
      <c r="I361">
        <v>80</v>
      </c>
      <c r="J361">
        <v>80</v>
      </c>
      <c r="K361">
        <v>80</v>
      </c>
      <c r="L361">
        <v>90</v>
      </c>
      <c r="M361" t="s">
        <v>1202</v>
      </c>
      <c r="O361" t="s">
        <v>549</v>
      </c>
      <c r="P361">
        <f t="shared" ref="P361:P364" si="357">(0.4*L361 + 0.5*MAX(H361,J361) + 0.1*MIN(H361,J361)) / 10</f>
        <v>8.4</v>
      </c>
      <c r="Q361">
        <f t="shared" ref="Q361:Q364" si="358">(0.4*G361 + 0.3*I361 + 0.3*K361) / 10</f>
        <v>7.2</v>
      </c>
      <c r="R361">
        <v>0</v>
      </c>
      <c r="S361">
        <v>0</v>
      </c>
      <c r="T361">
        <f t="shared" ref="T361:T365" si="359">ROUND(P361,0)+R361</f>
        <v>8</v>
      </c>
      <c r="U361">
        <f t="shared" ref="U361:U365" si="360">ROUND(Q361,0)+S361</f>
        <v>7</v>
      </c>
      <c r="V361">
        <f t="shared" ref="V361:V365" si="361">SUM(ROUND(T361,0),ROUND(U361,0))</f>
        <v>15</v>
      </c>
      <c r="W361" t="str">
        <f t="shared" ref="W361:W364" si="362">E361</f>
        <v>rock</v>
      </c>
      <c r="X361" t="str">
        <f t="shared" ref="X361:X364" si="363">IF(F361 = 0, "", F361)</f>
        <v>flying</v>
      </c>
      <c r="Y361" t="s">
        <v>8</v>
      </c>
      <c r="Z361" t="s">
        <v>26</v>
      </c>
      <c r="AB361" t="str">
        <f t="shared" si="294"/>
        <v/>
      </c>
      <c r="AC361" t="s">
        <v>1203</v>
      </c>
      <c r="AD361" t="str">
        <f>VLOOKUP(AC361,moves!A:B,2,FALSE)</f>
        <v>rock</v>
      </c>
      <c r="AE361">
        <f>VLOOKUP(AC361,moves!A:D,4,FALSE)</f>
        <v>2</v>
      </c>
      <c r="AF361" t="str">
        <f>IF(VLOOKUP(AC361,moves!A:F,5,FALSE)=0, "", VLOOKUP(AC361,moves!A:F,5,FALSE))</f>
        <v>transform</v>
      </c>
      <c r="AG361" t="str">
        <f>VLOOKUP(AC361,moves!A:F,6,FALSE)</f>
        <v>Heal 2 damage and all status effects.</v>
      </c>
      <c r="AH361">
        <v>0</v>
      </c>
      <c r="AI361">
        <v>0</v>
      </c>
      <c r="AJ361" t="str" cm="1">
        <f t="array" ref="AJ361">_xlfn.IFS(AH361=1, "starter", AI361=1, "legendary",V361&lt; 13, "weak",V361&lt; 17, "moderate", TRUE, "strong")</f>
        <v>moderate</v>
      </c>
      <c r="AL361">
        <v>1</v>
      </c>
      <c r="AM361">
        <v>0</v>
      </c>
      <c r="AN361">
        <v>2</v>
      </c>
    </row>
    <row r="362" spans="1:40" x14ac:dyDescent="0.25">
      <c r="A362">
        <v>120</v>
      </c>
      <c r="B362" t="s">
        <v>1208</v>
      </c>
      <c r="C362" t="str">
        <f t="shared" ref="C362:C382" si="364">B362</f>
        <v>Staryu</v>
      </c>
      <c r="E362" t="s">
        <v>6</v>
      </c>
      <c r="G362">
        <v>30</v>
      </c>
      <c r="H362">
        <v>45</v>
      </c>
      <c r="I362">
        <v>55</v>
      </c>
      <c r="J362">
        <v>70</v>
      </c>
      <c r="K362">
        <v>55</v>
      </c>
      <c r="L362">
        <v>85</v>
      </c>
      <c r="M362" t="s">
        <v>1210</v>
      </c>
      <c r="O362" t="s">
        <v>549</v>
      </c>
      <c r="P362">
        <f t="shared" si="357"/>
        <v>7.35</v>
      </c>
      <c r="Q362">
        <f t="shared" si="358"/>
        <v>4.5</v>
      </c>
      <c r="R362">
        <v>0</v>
      </c>
      <c r="S362">
        <v>0</v>
      </c>
      <c r="T362">
        <f t="shared" si="359"/>
        <v>7</v>
      </c>
      <c r="U362">
        <f t="shared" si="360"/>
        <v>5</v>
      </c>
      <c r="V362">
        <f t="shared" si="361"/>
        <v>12</v>
      </c>
      <c r="W362" t="str">
        <f t="shared" si="362"/>
        <v>water</v>
      </c>
      <c r="X362" t="s">
        <v>26</v>
      </c>
      <c r="Y362" t="s">
        <v>33</v>
      </c>
      <c r="Z362" t="s">
        <v>8</v>
      </c>
      <c r="AA362" t="s">
        <v>1209</v>
      </c>
      <c r="AB362">
        <f t="shared" si="294"/>
        <v>8</v>
      </c>
      <c r="AC362" t="s">
        <v>1212</v>
      </c>
      <c r="AD362" t="str">
        <f>VLOOKUP(AC362,moves!A:B,2,FALSE)</f>
        <v>normal</v>
      </c>
      <c r="AE362">
        <f>VLOOKUP(AC362,moves!A:D,4,FALSE)</f>
        <v>2</v>
      </c>
      <c r="AF362" t="str">
        <f>IF(VLOOKUP(AC362,moves!A:F,5,FALSE)=0, "", VLOOKUP(AC362,moves!A:F,5,FALSE))</f>
        <v/>
      </c>
      <c r="AG362" t="str">
        <f>VLOOKUP(AC362,moves!A:F,6,FALSE)</f>
        <v>Remove all Boosts from the target.</v>
      </c>
      <c r="AH362">
        <v>0</v>
      </c>
      <c r="AI362">
        <v>0</v>
      </c>
      <c r="AJ362" t="str" cm="1">
        <f t="array" ref="AJ362">_xlfn.IFS(AH362=1, "starter", AI362=1, "legendary",V362&lt; 13, "weak",V362&lt; 17, "moderate", TRUE, "strong")</f>
        <v>weak</v>
      </c>
      <c r="AL362">
        <v>1</v>
      </c>
      <c r="AM362">
        <v>0</v>
      </c>
    </row>
    <row r="363" spans="1:40" x14ac:dyDescent="0.25">
      <c r="A363">
        <v>121</v>
      </c>
      <c r="B363" t="s">
        <v>1209</v>
      </c>
      <c r="C363" t="str">
        <f t="shared" si="364"/>
        <v>Starmie</v>
      </c>
      <c r="E363" t="s">
        <v>6</v>
      </c>
      <c r="F363" t="s">
        <v>26</v>
      </c>
      <c r="G363">
        <v>60</v>
      </c>
      <c r="H363">
        <v>75</v>
      </c>
      <c r="I363">
        <v>85</v>
      </c>
      <c r="J363">
        <v>100</v>
      </c>
      <c r="K363">
        <v>85</v>
      </c>
      <c r="L363">
        <v>115</v>
      </c>
      <c r="M363" t="s">
        <v>1211</v>
      </c>
      <c r="O363" t="s">
        <v>549</v>
      </c>
      <c r="P363">
        <f t="shared" si="357"/>
        <v>10.35</v>
      </c>
      <c r="Q363">
        <f t="shared" si="358"/>
        <v>7.5</v>
      </c>
      <c r="R363">
        <v>0</v>
      </c>
      <c r="S363">
        <v>0</v>
      </c>
      <c r="T363">
        <f t="shared" si="359"/>
        <v>10</v>
      </c>
      <c r="U363">
        <f t="shared" si="360"/>
        <v>8</v>
      </c>
      <c r="V363">
        <f t="shared" si="361"/>
        <v>18</v>
      </c>
      <c r="W363" t="str">
        <f t="shared" si="362"/>
        <v>water</v>
      </c>
      <c r="X363" t="str">
        <f t="shared" si="363"/>
        <v>psychic</v>
      </c>
      <c r="Y363" t="s">
        <v>33</v>
      </c>
      <c r="Z363" t="s">
        <v>8</v>
      </c>
      <c r="AB363" t="str">
        <f t="shared" si="294"/>
        <v/>
      </c>
      <c r="AC363" t="s">
        <v>479</v>
      </c>
      <c r="AD363" t="str">
        <f>VLOOKUP(AC363,moves!A:B,2,FALSE)</f>
        <v>water</v>
      </c>
      <c r="AE363">
        <f>VLOOKUP(AC363,moves!A:D,4,FALSE)</f>
        <v>5</v>
      </c>
      <c r="AF363" t="str">
        <f>IF(VLOOKUP(AC363,moves!A:F,5,FALSE)=0, "", VLOOKUP(AC363,moves!A:F,5,FALSE))</f>
        <v/>
      </c>
      <c r="AG363" t="str">
        <f>VLOOKUP(AC363,moves!A:F,6,FALSE)</f>
        <v>If 2 or more [status_symbol]s are rolled: Inflict the [confused] status on the target.</v>
      </c>
      <c r="AH363">
        <v>0</v>
      </c>
      <c r="AI363">
        <v>0</v>
      </c>
      <c r="AJ363" t="str" cm="1">
        <f t="array" ref="AJ363">_xlfn.IFS(AH363=1, "starter", AI363=1, "legendary",V363&lt; 13, "weak",V363&lt; 17, "moderate", TRUE, "strong")</f>
        <v>strong</v>
      </c>
      <c r="AL363">
        <v>2</v>
      </c>
      <c r="AM363">
        <v>0</v>
      </c>
    </row>
    <row r="364" spans="1:40" x14ac:dyDescent="0.25">
      <c r="A364">
        <v>337</v>
      </c>
      <c r="B364" t="s">
        <v>1224</v>
      </c>
      <c r="C364" t="str">
        <f t="shared" si="364"/>
        <v>Lunatone</v>
      </c>
      <c r="E364" t="s">
        <v>33</v>
      </c>
      <c r="F364" t="s">
        <v>26</v>
      </c>
      <c r="G364">
        <v>90</v>
      </c>
      <c r="H364">
        <v>55</v>
      </c>
      <c r="I364">
        <v>65</v>
      </c>
      <c r="J364">
        <v>95</v>
      </c>
      <c r="K364">
        <v>85</v>
      </c>
      <c r="L364">
        <v>70</v>
      </c>
      <c r="M364" t="s">
        <v>1225</v>
      </c>
      <c r="O364" t="s">
        <v>549</v>
      </c>
      <c r="P364">
        <f t="shared" si="357"/>
        <v>8.1</v>
      </c>
      <c r="Q364">
        <f t="shared" si="358"/>
        <v>8.1</v>
      </c>
      <c r="R364">
        <v>0</v>
      </c>
      <c r="S364">
        <v>0</v>
      </c>
      <c r="T364">
        <f t="shared" si="359"/>
        <v>8</v>
      </c>
      <c r="U364">
        <f t="shared" si="360"/>
        <v>8</v>
      </c>
      <c r="V364">
        <f t="shared" si="361"/>
        <v>16</v>
      </c>
      <c r="W364" t="str">
        <f t="shared" si="362"/>
        <v>rock</v>
      </c>
      <c r="X364" t="str">
        <f t="shared" si="363"/>
        <v>psychic</v>
      </c>
      <c r="Y364" t="s">
        <v>16</v>
      </c>
      <c r="Z364" t="s">
        <v>14</v>
      </c>
      <c r="AB364" t="str">
        <f t="shared" si="294"/>
        <v/>
      </c>
      <c r="AC364" t="s">
        <v>1240</v>
      </c>
      <c r="AD364" t="str">
        <f>VLOOKUP(AC364,moves!A:B,2,FALSE)</f>
        <v>psychic</v>
      </c>
      <c r="AE364">
        <f>VLOOKUP(AC364,moves!A:D,4,FALSE)</f>
        <v>3</v>
      </c>
      <c r="AF364" t="str">
        <f>IF(VLOOKUP(AC364,moves!A:F,5,FALSE)=0, "", VLOOKUP(AC364,moves!A:F,5,FALSE))</f>
        <v>boost</v>
      </c>
      <c r="AG364" t="str">
        <f>VLOOKUP(AC364,moves!A:F,6,FALSE)</f>
        <v>Remove 1 [regular_hit] from future attack rolls against the user.</v>
      </c>
      <c r="AH364">
        <v>0</v>
      </c>
      <c r="AI364">
        <v>0</v>
      </c>
      <c r="AJ364" t="str" cm="1">
        <f t="array" ref="AJ364">_xlfn.IFS(AH364=1, "starter", AI364=1, "legendary",V364&lt; 13, "weak",V364&lt; 17, "moderate", TRUE, "strong")</f>
        <v>moderate</v>
      </c>
      <c r="AL364">
        <v>1</v>
      </c>
      <c r="AM364">
        <v>0</v>
      </c>
    </row>
    <row r="365" spans="1:40" x14ac:dyDescent="0.25">
      <c r="A365">
        <v>338</v>
      </c>
      <c r="B365" t="s">
        <v>1226</v>
      </c>
      <c r="C365" t="str">
        <f t="shared" si="364"/>
        <v>Solrock</v>
      </c>
      <c r="E365" t="s">
        <v>33</v>
      </c>
      <c r="F365" t="s">
        <v>26</v>
      </c>
      <c r="G365">
        <v>90</v>
      </c>
      <c r="H365">
        <v>95</v>
      </c>
      <c r="I365">
        <v>85</v>
      </c>
      <c r="J365">
        <v>55</v>
      </c>
      <c r="K365">
        <v>65</v>
      </c>
      <c r="L365">
        <v>70</v>
      </c>
      <c r="M365" t="s">
        <v>1225</v>
      </c>
      <c r="O365" t="s">
        <v>549</v>
      </c>
      <c r="P365">
        <f t="shared" ref="P365" si="365">(0.4*L365 + 0.5*MAX(H365,J365) + 0.1*MIN(H365,J365)) / 10</f>
        <v>8.1</v>
      </c>
      <c r="Q365">
        <f t="shared" ref="Q365" si="366">(0.4*G365 + 0.3*I365 + 0.3*K365) / 10</f>
        <v>8.1</v>
      </c>
      <c r="R365">
        <v>0</v>
      </c>
      <c r="S365">
        <v>0</v>
      </c>
      <c r="T365">
        <f t="shared" si="359"/>
        <v>8</v>
      </c>
      <c r="U365">
        <f t="shared" si="360"/>
        <v>8</v>
      </c>
      <c r="V365">
        <f t="shared" si="361"/>
        <v>16</v>
      </c>
      <c r="W365" t="str">
        <f t="shared" ref="W365" si="367">E365</f>
        <v>rock</v>
      </c>
      <c r="X365" t="str">
        <f t="shared" ref="X365" si="368">IF(F365 = 0, "", F365)</f>
        <v>psychic</v>
      </c>
      <c r="Y365" t="s">
        <v>4</v>
      </c>
      <c r="Z365" t="s">
        <v>2</v>
      </c>
      <c r="AB365" t="str">
        <f t="shared" si="294"/>
        <v/>
      </c>
      <c r="AC365" t="s">
        <v>1240</v>
      </c>
      <c r="AD365" t="str">
        <f>VLOOKUP(AC365,moves!A:B,2,FALSE)</f>
        <v>psychic</v>
      </c>
      <c r="AE365">
        <f>VLOOKUP(AC365,moves!A:D,4,FALSE)</f>
        <v>3</v>
      </c>
      <c r="AF365" t="str">
        <f>IF(VLOOKUP(AC365,moves!A:F,5,FALSE)=0, "", VLOOKUP(AC365,moves!A:F,5,FALSE))</f>
        <v>boost</v>
      </c>
      <c r="AG365" t="str">
        <f>VLOOKUP(AC365,moves!A:F,6,FALSE)</f>
        <v>Remove 1 [regular_hit] from future attack rolls against the user.</v>
      </c>
      <c r="AH365">
        <v>0</v>
      </c>
      <c r="AI365">
        <v>0</v>
      </c>
      <c r="AJ365" t="str" cm="1">
        <f t="array" ref="AJ365">_xlfn.IFS(AH365=1, "starter", AI365=1, "legendary",V365&lt; 13, "weak",V365&lt; 17, "moderate", TRUE, "strong")</f>
        <v>moderate</v>
      </c>
      <c r="AL365">
        <v>1</v>
      </c>
      <c r="AM365">
        <v>0</v>
      </c>
    </row>
    <row r="366" spans="1:40" x14ac:dyDescent="0.25">
      <c r="A366">
        <v>480</v>
      </c>
      <c r="B366" t="s">
        <v>233</v>
      </c>
      <c r="C366" t="str">
        <f t="shared" si="364"/>
        <v>Uxie</v>
      </c>
      <c r="D366" t="s">
        <v>772</v>
      </c>
      <c r="E366" t="s">
        <v>26</v>
      </c>
      <c r="F366" t="s">
        <v>14</v>
      </c>
      <c r="G366">
        <v>75</v>
      </c>
      <c r="H366">
        <v>75</v>
      </c>
      <c r="I366">
        <v>130</v>
      </c>
      <c r="J366">
        <v>75</v>
      </c>
      <c r="K366">
        <v>130</v>
      </c>
      <c r="L366">
        <v>95</v>
      </c>
      <c r="M366" t="s">
        <v>589</v>
      </c>
      <c r="N366" t="s">
        <v>303</v>
      </c>
      <c r="O366" t="s">
        <v>299</v>
      </c>
      <c r="P366">
        <f t="shared" si="269"/>
        <v>8.3000000000000007</v>
      </c>
      <c r="Q366">
        <f t="shared" si="270"/>
        <v>10.8</v>
      </c>
      <c r="R366">
        <v>0</v>
      </c>
      <c r="S366">
        <v>1</v>
      </c>
      <c r="T366">
        <f t="shared" ref="T366:U370" si="369">ROUND(P366,0)+R366</f>
        <v>8</v>
      </c>
      <c r="U366">
        <f t="shared" si="369"/>
        <v>12</v>
      </c>
      <c r="V366">
        <f t="shared" si="271"/>
        <v>20</v>
      </c>
      <c r="W366" t="str">
        <f t="shared" si="227"/>
        <v>psychic</v>
      </c>
      <c r="X366" t="str">
        <f t="shared" si="295"/>
        <v>ice</v>
      </c>
      <c r="Y366" t="s">
        <v>16</v>
      </c>
      <c r="Z366" t="s">
        <v>8</v>
      </c>
      <c r="AB366" t="str">
        <f t="shared" si="294"/>
        <v/>
      </c>
      <c r="AC366" t="s">
        <v>471</v>
      </c>
      <c r="AD366" t="str">
        <f>VLOOKUP(AC366,moves!A:B,2,FALSE)</f>
        <v>ice</v>
      </c>
      <c r="AE366">
        <f>VLOOKUP(AC366,moves!A:D,4,FALSE)</f>
        <v>4</v>
      </c>
      <c r="AF366" t="str">
        <f>IF(VLOOKUP(AC366,moves!A:F,5,FALSE)=0, "", VLOOKUP(AC366,moves!A:F,5,FALSE))</f>
        <v/>
      </c>
      <c r="AG366" t="str">
        <f>VLOOKUP(AC366,moves!A:F,6,FALSE)</f>
        <v>If any [status_symbol]s are rolled: Inflict the [frozen] status on the target and another Pokémon in the target party.</v>
      </c>
      <c r="AH366">
        <v>0</v>
      </c>
      <c r="AI366">
        <v>1</v>
      </c>
      <c r="AJ366" t="str" cm="1">
        <f t="array" ref="AJ366">_xlfn.IFS(AH366=1, "starter", AI366=1, "legendary",V366&lt; 13, "weak",V366&lt; 17, "moderate", TRUE, "strong")</f>
        <v>legendary</v>
      </c>
      <c r="AL366">
        <v>1</v>
      </c>
      <c r="AM366">
        <v>0</v>
      </c>
    </row>
    <row r="367" spans="1:40" x14ac:dyDescent="0.25">
      <c r="A367">
        <v>481</v>
      </c>
      <c r="B367" t="s">
        <v>234</v>
      </c>
      <c r="C367" t="str">
        <f t="shared" si="364"/>
        <v>Mesprit</v>
      </c>
      <c r="D367" t="s">
        <v>773</v>
      </c>
      <c r="E367" t="s">
        <v>26</v>
      </c>
      <c r="F367" t="s">
        <v>11</v>
      </c>
      <c r="G367">
        <v>80</v>
      </c>
      <c r="H367">
        <v>105</v>
      </c>
      <c r="I367">
        <v>105</v>
      </c>
      <c r="J367">
        <v>105</v>
      </c>
      <c r="K367">
        <v>105</v>
      </c>
      <c r="L367">
        <v>80</v>
      </c>
      <c r="M367" t="s">
        <v>417</v>
      </c>
      <c r="N367" t="s">
        <v>303</v>
      </c>
      <c r="O367" t="s">
        <v>300</v>
      </c>
      <c r="P367">
        <f t="shared" si="269"/>
        <v>9.5</v>
      </c>
      <c r="Q367">
        <f t="shared" si="270"/>
        <v>9.5</v>
      </c>
      <c r="R367">
        <v>0</v>
      </c>
      <c r="S367">
        <v>0</v>
      </c>
      <c r="T367">
        <f t="shared" si="369"/>
        <v>10</v>
      </c>
      <c r="U367">
        <f t="shared" si="369"/>
        <v>10</v>
      </c>
      <c r="V367">
        <f t="shared" si="271"/>
        <v>20</v>
      </c>
      <c r="W367" t="str">
        <f t="shared" si="227"/>
        <v>psychic</v>
      </c>
      <c r="X367" t="str">
        <f t="shared" si="295"/>
        <v>electric</v>
      </c>
      <c r="Y367" t="s">
        <v>16</v>
      </c>
      <c r="Z367" t="s">
        <v>8</v>
      </c>
      <c r="AB367" t="str">
        <f t="shared" si="294"/>
        <v/>
      </c>
      <c r="AC367" t="s">
        <v>568</v>
      </c>
      <c r="AD367" t="str">
        <f>VLOOKUP(AC367,moves!A:B,2,FALSE)</f>
        <v>electric</v>
      </c>
      <c r="AE367">
        <f>VLOOKUP(AC367,moves!A:D,4,FALSE)</f>
        <v>4</v>
      </c>
      <c r="AF367" t="str">
        <f>IF(VLOOKUP(AC367,moves!A:F,5,FALSE)=0, "", VLOOKUP(AC367,moves!A:F,5,FALSE))</f>
        <v/>
      </c>
      <c r="AG367" t="str">
        <f>VLOOKUP(AC367,moves!A:F,6,FALSE)</f>
        <v>If any [status_symbol]s are rolled: Inflict the [paralysed] status on the target and another Pokémon in the target party.</v>
      </c>
      <c r="AH367">
        <v>0</v>
      </c>
      <c r="AI367">
        <v>1</v>
      </c>
      <c r="AJ367" t="str" cm="1">
        <f t="array" ref="AJ367">_xlfn.IFS(AH367=1, "starter", AI367=1, "legendary",V367&lt; 13, "weak",V367&lt; 17, "moderate", TRUE, "strong")</f>
        <v>legendary</v>
      </c>
      <c r="AL367">
        <v>1</v>
      </c>
      <c r="AM367">
        <v>0</v>
      </c>
    </row>
    <row r="368" spans="1:40" x14ac:dyDescent="0.25">
      <c r="A368">
        <v>482</v>
      </c>
      <c r="B368" t="s">
        <v>235</v>
      </c>
      <c r="C368" t="str">
        <f t="shared" si="364"/>
        <v>Azelf</v>
      </c>
      <c r="D368" t="s">
        <v>774</v>
      </c>
      <c r="E368" t="s">
        <v>26</v>
      </c>
      <c r="F368" t="s">
        <v>4</v>
      </c>
      <c r="G368">
        <v>75</v>
      </c>
      <c r="H368">
        <v>125</v>
      </c>
      <c r="I368">
        <v>70</v>
      </c>
      <c r="J368">
        <v>125</v>
      </c>
      <c r="K368">
        <v>70</v>
      </c>
      <c r="L368">
        <v>115</v>
      </c>
      <c r="M368" t="s">
        <v>590</v>
      </c>
      <c r="N368" t="s">
        <v>303</v>
      </c>
      <c r="O368" t="s">
        <v>302</v>
      </c>
      <c r="P368">
        <f t="shared" si="269"/>
        <v>12.1</v>
      </c>
      <c r="Q368">
        <f t="shared" si="270"/>
        <v>7.2</v>
      </c>
      <c r="R368">
        <v>0</v>
      </c>
      <c r="S368">
        <v>1</v>
      </c>
      <c r="T368">
        <f t="shared" si="369"/>
        <v>12</v>
      </c>
      <c r="U368">
        <f t="shared" si="369"/>
        <v>8</v>
      </c>
      <c r="V368">
        <f t="shared" si="271"/>
        <v>20</v>
      </c>
      <c r="W368" t="str">
        <f t="shared" si="227"/>
        <v>psychic</v>
      </c>
      <c r="X368" t="str">
        <f t="shared" si="295"/>
        <v>fire</v>
      </c>
      <c r="Y368" t="s">
        <v>16</v>
      </c>
      <c r="Z368" t="s">
        <v>8</v>
      </c>
      <c r="AB368" t="str">
        <f t="shared" si="294"/>
        <v/>
      </c>
      <c r="AC368" t="s">
        <v>472</v>
      </c>
      <c r="AD368" t="str">
        <f>VLOOKUP(AC368,moves!A:B,2,FALSE)</f>
        <v>fire</v>
      </c>
      <c r="AE368">
        <f>VLOOKUP(AC368,moves!A:D,4,FALSE)</f>
        <v>4</v>
      </c>
      <c r="AF368" t="str">
        <f>IF(VLOOKUP(AC368,moves!A:F,5,FALSE)=0, "", VLOOKUP(AC368,moves!A:F,5,FALSE))</f>
        <v/>
      </c>
      <c r="AG368" t="str">
        <f>VLOOKUP(AC368,moves!A:F,6,FALSE)</f>
        <v>If any [status_symbol]s are rolled: Inflict the [burned] status on the target and another Pokémon in the target party.</v>
      </c>
      <c r="AH368">
        <v>0</v>
      </c>
      <c r="AI368">
        <v>1</v>
      </c>
      <c r="AJ368" t="str" cm="1">
        <f t="array" ref="AJ368">_xlfn.IFS(AH368=1, "starter", AI368=1, "legendary",V368&lt; 13, "weak",V368&lt; 17, "moderate", TRUE, "strong")</f>
        <v>legendary</v>
      </c>
      <c r="AL368">
        <v>1</v>
      </c>
      <c r="AM368">
        <v>0</v>
      </c>
    </row>
    <row r="369" spans="1:40" x14ac:dyDescent="0.25">
      <c r="A369">
        <v>493</v>
      </c>
      <c r="B369" t="s">
        <v>246</v>
      </c>
      <c r="C369" t="str">
        <f t="shared" si="364"/>
        <v>Arceus</v>
      </c>
      <c r="D369" t="s">
        <v>1090</v>
      </c>
      <c r="E369" t="s">
        <v>548</v>
      </c>
      <c r="G369">
        <v>120</v>
      </c>
      <c r="H369">
        <v>120</v>
      </c>
      <c r="I369">
        <v>120</v>
      </c>
      <c r="J369">
        <v>120</v>
      </c>
      <c r="K369">
        <v>120</v>
      </c>
      <c r="L369">
        <v>120</v>
      </c>
      <c r="M369" t="s">
        <v>591</v>
      </c>
      <c r="O369" t="s">
        <v>549</v>
      </c>
      <c r="P369">
        <f>(0.4*L369 + 0.5*MAX(H369,J369) + 0.1*MIN(H369,J369)) / 10</f>
        <v>12</v>
      </c>
      <c r="Q369">
        <f>(0.4*G369 + 0.3*I369 + 0.3*K369) / 10</f>
        <v>12</v>
      </c>
      <c r="R369">
        <v>0</v>
      </c>
      <c r="S369">
        <v>0</v>
      </c>
      <c r="T369">
        <f>ROUND(P369,0)+R369</f>
        <v>12</v>
      </c>
      <c r="U369">
        <f>ROUND(Q369,0)+S369</f>
        <v>12</v>
      </c>
      <c r="V369">
        <f>SUM(ROUND(T369,0),ROUND(U369,0))</f>
        <v>24</v>
      </c>
      <c r="W369" t="s">
        <v>8</v>
      </c>
      <c r="X369" t="s">
        <v>26</v>
      </c>
      <c r="Y369" t="s">
        <v>13</v>
      </c>
      <c r="Z369" t="s">
        <v>22</v>
      </c>
      <c r="AB369" t="str">
        <f t="shared" si="294"/>
        <v/>
      </c>
      <c r="AC369" t="s">
        <v>545</v>
      </c>
      <c r="AD369" t="str">
        <f>VLOOKUP(AC369,moves!A:B,2,FALSE)</f>
        <v>typeless</v>
      </c>
      <c r="AE369">
        <f>VLOOKUP(AC369,moves!A:D,4,FALSE)</f>
        <v>6</v>
      </c>
      <c r="AF369" t="str">
        <f>IF(VLOOKUP(AC369,moves!A:F,5,FALSE)=0, "", VLOOKUP(AC369,moves!A:F,5,FALSE))</f>
        <v>surge</v>
      </c>
      <c r="AG369" t="str">
        <f>VLOOKUP(AC369,moves!A:F,6,FALSE)</f>
        <v>Increase the Battle Fatigue of the target to 5.</v>
      </c>
      <c r="AH369">
        <v>0</v>
      </c>
      <c r="AI369">
        <v>1</v>
      </c>
      <c r="AJ369" t="str" cm="1">
        <f t="array" ref="AJ369">_xlfn.IFS(AH369=1, "starter", AI369=1, "legendary",V369&lt; 13, "weak",V369&lt; 17, "moderate", TRUE, "strong")</f>
        <v>legendary</v>
      </c>
      <c r="AL369">
        <v>1</v>
      </c>
      <c r="AM369">
        <v>1</v>
      </c>
    </row>
    <row r="370" spans="1:40" x14ac:dyDescent="0.25">
      <c r="A370">
        <v>773</v>
      </c>
      <c r="B370" t="s">
        <v>769</v>
      </c>
      <c r="C370" t="str">
        <f t="shared" si="364"/>
        <v>Silvally</v>
      </c>
      <c r="E370" t="s">
        <v>548</v>
      </c>
      <c r="G370">
        <v>95</v>
      </c>
      <c r="H370">
        <v>95</v>
      </c>
      <c r="I370">
        <v>95</v>
      </c>
      <c r="J370">
        <v>95</v>
      </c>
      <c r="K370">
        <v>95</v>
      </c>
      <c r="L370">
        <v>95</v>
      </c>
      <c r="M370" t="s">
        <v>768</v>
      </c>
      <c r="O370" t="s">
        <v>549</v>
      </c>
      <c r="P370">
        <f>(0.4*L370 + 0.5*MAX(H370,J370) + 0.1*MIN(H370,J370)) / 10</f>
        <v>9.5</v>
      </c>
      <c r="Q370">
        <f>(0.4*G370 + 0.3*I370 + 0.3*K370) / 10</f>
        <v>9.5</v>
      </c>
      <c r="R370">
        <v>0</v>
      </c>
      <c r="S370">
        <v>0</v>
      </c>
      <c r="T370">
        <f t="shared" si="369"/>
        <v>10</v>
      </c>
      <c r="U370">
        <f t="shared" si="369"/>
        <v>10</v>
      </c>
      <c r="V370">
        <f t="shared" ref="V370:V379" si="370">SUM(ROUND(T370,0),ROUND(U370,0))</f>
        <v>20</v>
      </c>
      <c r="W370" t="s">
        <v>8</v>
      </c>
      <c r="X370" t="s">
        <v>11</v>
      </c>
      <c r="Y370" t="s">
        <v>4</v>
      </c>
      <c r="Z370" t="s">
        <v>14</v>
      </c>
      <c r="AB370" t="str">
        <f t="shared" si="294"/>
        <v/>
      </c>
      <c r="AC370" t="s">
        <v>770</v>
      </c>
      <c r="AD370" t="str">
        <f>VLOOKUP(AC370,moves!A:B,2,FALSE)</f>
        <v>typeless</v>
      </c>
      <c r="AE370">
        <f>VLOOKUP(AC370,moves!A:D,4,FALSE)</f>
        <v>4</v>
      </c>
      <c r="AF370" t="str">
        <f>IF(VLOOKUP(AC370,moves!A:F,5,FALSE)=0, "", VLOOKUP(AC370,moves!A:F,5,FALSE))</f>
        <v>dynamic</v>
      </c>
      <c r="AG370" t="str">
        <f>VLOOKUP(AC370,moves!A:F,6,FALSE)</f>
        <v>Choose any learnable type of the user as the type of this attack. Ignores the effects of Prism Armour.</v>
      </c>
      <c r="AH370">
        <v>0</v>
      </c>
      <c r="AI370">
        <v>1</v>
      </c>
      <c r="AJ370" t="str" cm="1">
        <f t="array" ref="AJ370">_xlfn.IFS(AH370=1, "starter", AI370=1, "legendary",V370&lt; 13, "weak",V370&lt; 17, "moderate", TRUE, "strong")</f>
        <v>legendary</v>
      </c>
      <c r="AL370">
        <v>1</v>
      </c>
      <c r="AM370">
        <v>0</v>
      </c>
    </row>
    <row r="371" spans="1:40" x14ac:dyDescent="0.25">
      <c r="A371">
        <v>249</v>
      </c>
      <c r="B371" t="s">
        <v>1377</v>
      </c>
      <c r="C371" t="str">
        <f t="shared" si="364"/>
        <v>Lugia</v>
      </c>
      <c r="D371" t="s">
        <v>1379</v>
      </c>
      <c r="E371" t="s">
        <v>26</v>
      </c>
      <c r="F371" t="s">
        <v>5</v>
      </c>
      <c r="G371">
        <v>106</v>
      </c>
      <c r="H371">
        <v>90</v>
      </c>
      <c r="I371">
        <v>130</v>
      </c>
      <c r="J371">
        <v>90</v>
      </c>
      <c r="K371">
        <v>154</v>
      </c>
      <c r="L371">
        <v>110</v>
      </c>
      <c r="M371" t="s">
        <v>1378</v>
      </c>
      <c r="O371" t="s">
        <v>777</v>
      </c>
      <c r="P371">
        <f>(0.4*L371 + 0.5*MAX(H371,J371) + 0.1*MIN(H371,J371)) / 10</f>
        <v>9.8000000000000007</v>
      </c>
      <c r="Q371">
        <f>(0.4*G371 + 0.3*I371 + 0.3*K371) / 10</f>
        <v>12.76</v>
      </c>
      <c r="R371">
        <v>0</v>
      </c>
      <c r="S371">
        <v>0</v>
      </c>
      <c r="T371">
        <f>ROUND(P371,0)+R371</f>
        <v>10</v>
      </c>
      <c r="U371">
        <f>ROUND(Q371,0)+S371</f>
        <v>13</v>
      </c>
      <c r="V371">
        <f>SUM(ROUND(T371,0),ROUND(U371,0))</f>
        <v>23</v>
      </c>
      <c r="W371" t="str">
        <f t="shared" ref="W371:W380" si="371">E371</f>
        <v>psychic</v>
      </c>
      <c r="X371" t="str">
        <f>IF(F371 = 0, "", F371)</f>
        <v>flying</v>
      </c>
      <c r="Y371" t="s">
        <v>6</v>
      </c>
      <c r="Z371" t="s">
        <v>8</v>
      </c>
      <c r="AB371" t="str">
        <f>IF(ISBLANK(AA371), "", ROUND(( (V373-6)*(V373-7) - (V371-6)*(V371-7) )/15, 0) + 1)</f>
        <v/>
      </c>
      <c r="AC371" t="s">
        <v>1471</v>
      </c>
      <c r="AD371" t="str">
        <f>VLOOKUP(AC371,moves!A:B,2,FALSE)</f>
        <v>flying</v>
      </c>
      <c r="AE371">
        <f>VLOOKUP(AC371,moves!A:D,4,FALSE)</f>
        <v>5</v>
      </c>
      <c r="AF371" t="str">
        <f>IF(VLOOKUP(AC371,moves!A:F,5,FALSE)=0, "", VLOOKUP(AC371,moves!A:F,5,FALSE))</f>
        <v>surge</v>
      </c>
      <c r="AG371" t="str">
        <f>VLOOKUP(AC371,moves!A:F,6,FALSE)</f>
        <v>[critical_hit]s deal +1 damage. For each Song Move in your party: Attack Strength is increased by 1.</v>
      </c>
      <c r="AH371">
        <v>0</v>
      </c>
      <c r="AI371">
        <v>1</v>
      </c>
      <c r="AJ371" t="str" cm="1">
        <f t="array" ref="AJ371">_xlfn.IFS(AH371=1, "starter", AI371=1, "legendary",V371&lt; 13, "weak",V371&lt; 17, "moderate", TRUE, "strong")</f>
        <v>legendary</v>
      </c>
      <c r="AL371">
        <v>1</v>
      </c>
      <c r="AM371">
        <v>0</v>
      </c>
    </row>
    <row r="372" spans="1:40" x14ac:dyDescent="0.25">
      <c r="A372">
        <v>151</v>
      </c>
      <c r="B372" t="s">
        <v>1485</v>
      </c>
      <c r="C372" t="str">
        <f t="shared" si="364"/>
        <v>Mew</v>
      </c>
      <c r="D372" t="s">
        <v>1491</v>
      </c>
      <c r="E372" t="s">
        <v>26</v>
      </c>
      <c r="G372">
        <v>100</v>
      </c>
      <c r="H372">
        <v>100</v>
      </c>
      <c r="I372">
        <v>100</v>
      </c>
      <c r="J372">
        <v>100</v>
      </c>
      <c r="K372">
        <v>100</v>
      </c>
      <c r="L372">
        <v>100</v>
      </c>
      <c r="M372" t="s">
        <v>1486</v>
      </c>
      <c r="O372" t="s">
        <v>777</v>
      </c>
      <c r="P372">
        <f>(0.4*L372 + 0.5*MAX(H372,J372) + 0.1*MIN(H372,J372)) / 10</f>
        <v>10</v>
      </c>
      <c r="Q372">
        <f>(0.4*G372 + 0.3*I372 + 0.3*K372) / 10</f>
        <v>10</v>
      </c>
      <c r="R372">
        <v>0</v>
      </c>
      <c r="S372">
        <v>0</v>
      </c>
      <c r="T372">
        <f>ROUND(P372,0)+R372</f>
        <v>10</v>
      </c>
      <c r="U372">
        <f>ROUND(Q372,0)+S372</f>
        <v>10</v>
      </c>
      <c r="V372">
        <f>SUM(ROUND(T372,0),ROUND(U372,0))</f>
        <v>20</v>
      </c>
      <c r="AC372" t="s">
        <v>1487</v>
      </c>
      <c r="AD372" t="str">
        <f>VLOOKUP(AC372,moves!A:B,2,FALSE)</f>
        <v>psychic</v>
      </c>
      <c r="AE372">
        <f>VLOOKUP(AC372,moves!A:D,4,FALSE)</f>
        <v>4</v>
      </c>
      <c r="AF372" t="str">
        <f>IF(VLOOKUP(AC372,moves!A:F,5,FALSE)=0, "", VLOOKUP(AC372,moves!A:F,5,FALSE))</f>
        <v>dynamic</v>
      </c>
      <c r="AG372" t="str">
        <f>VLOOKUP(AC372,moves!A:F,6,FALSE)</f>
        <v>Copy the effect of a Move the target knows.</v>
      </c>
      <c r="AH372">
        <v>0</v>
      </c>
      <c r="AI372">
        <v>1</v>
      </c>
      <c r="AJ372" t="str" cm="1">
        <f t="array" ref="AJ372">_xlfn.IFS(AH372=1, "starter", AI372=1, "legendary",V372&lt; 13, "weak",V372&lt; 17, "moderate", TRUE, "strong")</f>
        <v>legendary</v>
      </c>
      <c r="AL372">
        <v>1</v>
      </c>
      <c r="AM372">
        <v>0</v>
      </c>
    </row>
    <row r="373" spans="1:40" x14ac:dyDescent="0.25">
      <c r="A373">
        <v>793</v>
      </c>
      <c r="B373" t="s">
        <v>678</v>
      </c>
      <c r="C373" t="str">
        <f t="shared" si="364"/>
        <v>Nihilego</v>
      </c>
      <c r="D373" t="s">
        <v>771</v>
      </c>
      <c r="E373" t="s">
        <v>33</v>
      </c>
      <c r="F373" t="s">
        <v>3</v>
      </c>
      <c r="G373">
        <v>109</v>
      </c>
      <c r="H373">
        <v>53</v>
      </c>
      <c r="I373">
        <v>47</v>
      </c>
      <c r="J373">
        <v>127</v>
      </c>
      <c r="K373">
        <v>131</v>
      </c>
      <c r="L373">
        <v>103</v>
      </c>
      <c r="M373" t="s">
        <v>679</v>
      </c>
      <c r="O373" t="s">
        <v>549</v>
      </c>
      <c r="P373">
        <f t="shared" si="253"/>
        <v>11</v>
      </c>
      <c r="Q373">
        <f t="shared" si="254"/>
        <v>9.6999999999999993</v>
      </c>
      <c r="R373">
        <f>-2+0</f>
        <v>-2</v>
      </c>
      <c r="S373">
        <f>10-1</f>
        <v>9</v>
      </c>
      <c r="T373">
        <f t="shared" si="255"/>
        <v>9</v>
      </c>
      <c r="U373">
        <f t="shared" si="256"/>
        <v>19</v>
      </c>
      <c r="V373">
        <f t="shared" si="370"/>
        <v>28</v>
      </c>
      <c r="W373" t="str">
        <f t="shared" si="371"/>
        <v>rock</v>
      </c>
      <c r="X373" t="str">
        <f>IF(F373 = 0, "", F373)</f>
        <v>poison</v>
      </c>
      <c r="Y373" t="s">
        <v>26</v>
      </c>
      <c r="Z373" t="s">
        <v>11</v>
      </c>
      <c r="AB373" t="str">
        <f t="shared" si="294"/>
        <v/>
      </c>
      <c r="AC373" t="s">
        <v>681</v>
      </c>
      <c r="AD373" t="str">
        <f>VLOOKUP(AC373,moves!A:B,2,FALSE)</f>
        <v>poison</v>
      </c>
      <c r="AE373">
        <f>VLOOKUP(AC373,moves!A:D,4,FALSE)</f>
        <v>3</v>
      </c>
      <c r="AF373" t="str">
        <f>IF(VLOOKUP(AC373,moves!A:F,5,FALSE)=0, "", VLOOKUP(AC373,moves!A:F,5,FALSE))</f>
        <v/>
      </c>
      <c r="AG373" t="str">
        <f>VLOOKUP(AC373,moves!A:F,6,FALSE)</f>
        <v>Inflict both the [poisoned] and [drowsy] statuses on the target.</v>
      </c>
      <c r="AH373">
        <v>0</v>
      </c>
      <c r="AI373">
        <v>0</v>
      </c>
      <c r="AJ373" t="s">
        <v>776</v>
      </c>
      <c r="AL373">
        <v>1</v>
      </c>
      <c r="AM373">
        <v>1</v>
      </c>
    </row>
    <row r="374" spans="1:40" x14ac:dyDescent="0.25">
      <c r="A374">
        <v>794</v>
      </c>
      <c r="B374" t="s">
        <v>682</v>
      </c>
      <c r="C374" t="str">
        <f t="shared" si="364"/>
        <v>Buzzwole</v>
      </c>
      <c r="D374" t="s">
        <v>771</v>
      </c>
      <c r="E374" t="s">
        <v>7</v>
      </c>
      <c r="F374" t="s">
        <v>22</v>
      </c>
      <c r="G374">
        <v>107</v>
      </c>
      <c r="H374">
        <v>139</v>
      </c>
      <c r="I374">
        <v>139</v>
      </c>
      <c r="J374">
        <v>53</v>
      </c>
      <c r="K374">
        <v>53</v>
      </c>
      <c r="L374">
        <v>79</v>
      </c>
      <c r="M374" t="s">
        <v>689</v>
      </c>
      <c r="O374" t="s">
        <v>549</v>
      </c>
      <c r="P374">
        <f t="shared" si="253"/>
        <v>10.639999999999999</v>
      </c>
      <c r="Q374">
        <f t="shared" si="254"/>
        <v>10.040000000000001</v>
      </c>
      <c r="R374">
        <f>-2-1</f>
        <v>-3</v>
      </c>
      <c r="S374">
        <f>10+0</f>
        <v>10</v>
      </c>
      <c r="T374">
        <f t="shared" si="255"/>
        <v>8</v>
      </c>
      <c r="U374">
        <f t="shared" si="256"/>
        <v>20</v>
      </c>
      <c r="V374">
        <f t="shared" si="370"/>
        <v>28</v>
      </c>
      <c r="W374" t="str">
        <f t="shared" si="371"/>
        <v>bug</v>
      </c>
      <c r="X374" t="str">
        <f>IF(F374 = 0, "", F374)</f>
        <v>fighting</v>
      </c>
      <c r="Y374" t="s">
        <v>13</v>
      </c>
      <c r="Z374" t="s">
        <v>33</v>
      </c>
      <c r="AB374" t="str">
        <f t="shared" si="294"/>
        <v/>
      </c>
      <c r="AC374" t="s">
        <v>699</v>
      </c>
      <c r="AD374" t="str">
        <f>VLOOKUP(AC374,moves!A:B,2,FALSE)</f>
        <v>fighting</v>
      </c>
      <c r="AE374">
        <f>VLOOKUP(AC374,moves!A:D,4,FALSE)</f>
        <v>4</v>
      </c>
      <c r="AF374" t="str">
        <f>IF(VLOOKUP(AC374,moves!A:F,5,FALSE)=0, "", VLOOKUP(AC374,moves!A:F,5,FALSE))</f>
        <v/>
      </c>
      <c r="AG374" t="str">
        <f>VLOOKUP(AC374,moves!A:F,6,FALSE)</f>
        <v>[critical_hit]s deal +1 damage and for each [critical_hit] rolled: Heal 2 damage.</v>
      </c>
      <c r="AH374">
        <v>0</v>
      </c>
      <c r="AI374">
        <v>0</v>
      </c>
      <c r="AJ374" t="s">
        <v>776</v>
      </c>
      <c r="AL374">
        <v>1</v>
      </c>
      <c r="AM374">
        <v>1</v>
      </c>
    </row>
    <row r="375" spans="1:40" x14ac:dyDescent="0.25">
      <c r="A375">
        <v>795</v>
      </c>
      <c r="B375" t="s">
        <v>683</v>
      </c>
      <c r="C375" t="str">
        <f t="shared" si="364"/>
        <v>Pheromosa</v>
      </c>
      <c r="D375" t="s">
        <v>771</v>
      </c>
      <c r="E375" t="s">
        <v>7</v>
      </c>
      <c r="F375" t="s">
        <v>22</v>
      </c>
      <c r="G375">
        <v>71</v>
      </c>
      <c r="H375">
        <v>137</v>
      </c>
      <c r="I375">
        <v>37</v>
      </c>
      <c r="J375">
        <v>137</v>
      </c>
      <c r="K375">
        <v>37</v>
      </c>
      <c r="L375">
        <v>151</v>
      </c>
      <c r="M375" t="s">
        <v>688</v>
      </c>
      <c r="O375" t="s">
        <v>549</v>
      </c>
      <c r="P375">
        <f t="shared" si="253"/>
        <v>14.26</v>
      </c>
      <c r="Q375">
        <f t="shared" si="254"/>
        <v>5.0600000000000005</v>
      </c>
      <c r="R375">
        <f>-2+1</f>
        <v>-1</v>
      </c>
      <c r="S375">
        <f>10+0</f>
        <v>10</v>
      </c>
      <c r="T375">
        <f t="shared" si="255"/>
        <v>13</v>
      </c>
      <c r="U375">
        <f t="shared" si="256"/>
        <v>15</v>
      </c>
      <c r="V375">
        <f t="shared" si="370"/>
        <v>28</v>
      </c>
      <c r="W375" t="str">
        <f t="shared" si="371"/>
        <v>bug</v>
      </c>
      <c r="X375" t="str">
        <f>IF(F375 = 0, "", F375)</f>
        <v>fighting</v>
      </c>
      <c r="Y375" t="s">
        <v>5</v>
      </c>
      <c r="Z375" t="s">
        <v>14</v>
      </c>
      <c r="AB375" t="str">
        <f t="shared" si="294"/>
        <v/>
      </c>
      <c r="AC375" t="s">
        <v>701</v>
      </c>
      <c r="AD375" t="str">
        <f>VLOOKUP(AC375,moves!A:B,2,FALSE)</f>
        <v>bug</v>
      </c>
      <c r="AE375">
        <f>VLOOKUP(AC375,moves!A:D,4,FALSE)</f>
        <v>3</v>
      </c>
      <c r="AF375" t="str">
        <f>IF(VLOOKUP(AC375,moves!A:F,5,FALSE)=0, "", VLOOKUP(AC375,moves!A:F,5,FALSE))</f>
        <v/>
      </c>
      <c r="AG375" t="str">
        <f>VLOOKUP(AC375,moves!A:F,6,FALSE)</f>
        <v>Inflict both the [paralysed] and [confused] statuses on the target.</v>
      </c>
      <c r="AH375">
        <v>0</v>
      </c>
      <c r="AI375">
        <v>0</v>
      </c>
      <c r="AJ375" t="s">
        <v>776</v>
      </c>
      <c r="AL375">
        <v>1</v>
      </c>
      <c r="AM375">
        <v>1</v>
      </c>
    </row>
    <row r="376" spans="1:40" x14ac:dyDescent="0.25">
      <c r="A376">
        <v>796</v>
      </c>
      <c r="B376" t="s">
        <v>684</v>
      </c>
      <c r="C376" t="str">
        <f t="shared" si="364"/>
        <v>Xurkitree</v>
      </c>
      <c r="D376" t="s">
        <v>771</v>
      </c>
      <c r="E376" t="s">
        <v>11</v>
      </c>
      <c r="G376">
        <v>83</v>
      </c>
      <c r="H376">
        <v>83</v>
      </c>
      <c r="I376">
        <v>71</v>
      </c>
      <c r="J376">
        <v>173</v>
      </c>
      <c r="K376">
        <v>71</v>
      </c>
      <c r="L376">
        <v>83</v>
      </c>
      <c r="M376" t="s">
        <v>687</v>
      </c>
      <c r="O376" t="s">
        <v>549</v>
      </c>
      <c r="P376">
        <f t="shared" si="253"/>
        <v>12.8</v>
      </c>
      <c r="Q376">
        <f t="shared" si="254"/>
        <v>7.58</v>
      </c>
      <c r="R376">
        <f>-2-1</f>
        <v>-3</v>
      </c>
      <c r="S376">
        <f>10+0</f>
        <v>10</v>
      </c>
      <c r="T376">
        <f t="shared" si="255"/>
        <v>10</v>
      </c>
      <c r="U376">
        <f t="shared" si="256"/>
        <v>18</v>
      </c>
      <c r="V376">
        <f t="shared" si="370"/>
        <v>28</v>
      </c>
      <c r="W376" t="str">
        <f t="shared" si="371"/>
        <v>electric</v>
      </c>
      <c r="X376" t="s">
        <v>2</v>
      </c>
      <c r="Y376" t="s">
        <v>7</v>
      </c>
      <c r="Z376" t="s">
        <v>16</v>
      </c>
      <c r="AB376" t="str">
        <f t="shared" si="294"/>
        <v/>
      </c>
      <c r="AC376" t="s">
        <v>700</v>
      </c>
      <c r="AD376" t="str">
        <f>VLOOKUP(AC376,moves!A:B,2,FALSE)</f>
        <v>electric</v>
      </c>
      <c r="AE376">
        <f>VLOOKUP(AC376,moves!A:D,4,FALSE)</f>
        <v>3</v>
      </c>
      <c r="AF376" t="str">
        <f>IF(VLOOKUP(AC376,moves!A:F,5,FALSE)=0, "", VLOOKUP(AC376,moves!A:F,5,FALSE))</f>
        <v>boost</v>
      </c>
      <c r="AG376" t="str">
        <f>VLOOKUP(AC376,moves!A:F,6,FALSE)</f>
        <v>Heal 1 damage at the end of your turns and add 1 [regular_hit] to your future attack rolls.</v>
      </c>
      <c r="AH376">
        <v>0</v>
      </c>
      <c r="AI376">
        <v>0</v>
      </c>
      <c r="AJ376" t="s">
        <v>776</v>
      </c>
      <c r="AL376">
        <v>1</v>
      </c>
      <c r="AM376">
        <v>1</v>
      </c>
    </row>
    <row r="377" spans="1:40" x14ac:dyDescent="0.25">
      <c r="A377">
        <v>797</v>
      </c>
      <c r="B377" t="s">
        <v>685</v>
      </c>
      <c r="C377" t="str">
        <f t="shared" si="364"/>
        <v>Celesteela</v>
      </c>
      <c r="D377" t="s">
        <v>771</v>
      </c>
      <c r="E377" t="s">
        <v>39</v>
      </c>
      <c r="F377" t="s">
        <v>5</v>
      </c>
      <c r="G377">
        <v>97</v>
      </c>
      <c r="H377">
        <v>101</v>
      </c>
      <c r="I377">
        <v>103</v>
      </c>
      <c r="J377">
        <v>107</v>
      </c>
      <c r="K377">
        <v>101</v>
      </c>
      <c r="L377">
        <v>61</v>
      </c>
      <c r="M377" t="s">
        <v>686</v>
      </c>
      <c r="O377" t="s">
        <v>549</v>
      </c>
      <c r="P377">
        <f t="shared" si="253"/>
        <v>8.8000000000000007</v>
      </c>
      <c r="Q377">
        <f t="shared" si="254"/>
        <v>10</v>
      </c>
      <c r="R377">
        <f>-2+0</f>
        <v>-2</v>
      </c>
      <c r="S377">
        <f>10+1</f>
        <v>11</v>
      </c>
      <c r="T377">
        <f t="shared" si="255"/>
        <v>7</v>
      </c>
      <c r="U377">
        <f t="shared" si="256"/>
        <v>21</v>
      </c>
      <c r="V377">
        <f t="shared" si="370"/>
        <v>28</v>
      </c>
      <c r="W377" t="str">
        <f t="shared" si="371"/>
        <v>steel</v>
      </c>
      <c r="X377" t="str">
        <f>IF(F377 = 0, "", F377)</f>
        <v>flying</v>
      </c>
      <c r="Y377" t="s">
        <v>2</v>
      </c>
      <c r="Z377" t="s">
        <v>4</v>
      </c>
      <c r="AB377" t="str">
        <f t="shared" si="294"/>
        <v/>
      </c>
      <c r="AC377" t="s">
        <v>702</v>
      </c>
      <c r="AD377" t="str">
        <f>VLOOKUP(AC377,moves!A:B,2,FALSE)</f>
        <v>steel</v>
      </c>
      <c r="AE377">
        <f>VLOOKUP(AC377,moves!A:D,4,FALSE)</f>
        <v>1</v>
      </c>
      <c r="AF377" t="str">
        <f>IF(VLOOKUP(AC377,moves!A:F,5,FALSE)=0, "", VLOOKUP(AC377,moves!A:F,5,FALSE))</f>
        <v>dynamic</v>
      </c>
      <c r="AG377" t="str">
        <f>VLOOKUP(AC377,moves!A:F,6,FALSE)</f>
        <v>Each time this attack is used this battle, Attack Strength is increased by 2.</v>
      </c>
      <c r="AH377">
        <v>0</v>
      </c>
      <c r="AI377">
        <v>0</v>
      </c>
      <c r="AJ377" t="s">
        <v>776</v>
      </c>
      <c r="AL377">
        <v>1</v>
      </c>
      <c r="AM377">
        <v>1</v>
      </c>
    </row>
    <row r="378" spans="1:40" x14ac:dyDescent="0.25">
      <c r="A378">
        <v>798</v>
      </c>
      <c r="B378" t="s">
        <v>690</v>
      </c>
      <c r="C378" t="str">
        <f t="shared" si="364"/>
        <v>Kartana</v>
      </c>
      <c r="D378" t="s">
        <v>771</v>
      </c>
      <c r="E378" t="s">
        <v>2</v>
      </c>
      <c r="F378" t="s">
        <v>39</v>
      </c>
      <c r="G378">
        <v>59</v>
      </c>
      <c r="H378">
        <v>181</v>
      </c>
      <c r="I378">
        <v>131</v>
      </c>
      <c r="J378">
        <v>59</v>
      </c>
      <c r="K378">
        <v>31</v>
      </c>
      <c r="L378">
        <v>109</v>
      </c>
      <c r="M378" t="s">
        <v>691</v>
      </c>
      <c r="O378" t="s">
        <v>549</v>
      </c>
      <c r="P378">
        <f t="shared" si="253"/>
        <v>14</v>
      </c>
      <c r="Q378">
        <f t="shared" si="254"/>
        <v>7.2200000000000006</v>
      </c>
      <c r="R378">
        <f>-2+0</f>
        <v>-2</v>
      </c>
      <c r="S378">
        <f>10-1</f>
        <v>9</v>
      </c>
      <c r="T378">
        <f t="shared" si="255"/>
        <v>12</v>
      </c>
      <c r="U378">
        <f t="shared" si="256"/>
        <v>16</v>
      </c>
      <c r="V378">
        <f t="shared" si="370"/>
        <v>28</v>
      </c>
      <c r="W378" t="str">
        <f t="shared" si="371"/>
        <v>grass</v>
      </c>
      <c r="X378" t="str">
        <f>IF(F378 = 0, "", F378)</f>
        <v>steel</v>
      </c>
      <c r="Y378" t="s">
        <v>22</v>
      </c>
      <c r="Z378" t="s">
        <v>5</v>
      </c>
      <c r="AB378" t="str">
        <f t="shared" si="294"/>
        <v/>
      </c>
      <c r="AC378" t="s">
        <v>703</v>
      </c>
      <c r="AD378" t="str">
        <f>VLOOKUP(AC378,moves!A:B,2,FALSE)</f>
        <v>grass</v>
      </c>
      <c r="AE378">
        <f>VLOOKUP(AC378,moves!A:D,4,FALSE)</f>
        <v>5</v>
      </c>
      <c r="AF378" t="str">
        <f>IF(VLOOKUP(AC378,moves!A:F,5,FALSE)=0, "", VLOOKUP(AC378,moves!A:F,5,FALSE))</f>
        <v/>
      </c>
      <c r="AG378" t="str">
        <f>VLOOKUP(AC378,moves!A:F,6,FALSE)</f>
        <v>If the target faints, any remaining damage from this attack is applied to the next Pokémon switched in.</v>
      </c>
      <c r="AH378">
        <v>0</v>
      </c>
      <c r="AI378">
        <v>0</v>
      </c>
      <c r="AJ378" t="s">
        <v>776</v>
      </c>
      <c r="AL378">
        <v>1</v>
      </c>
      <c r="AM378">
        <v>1</v>
      </c>
    </row>
    <row r="379" spans="1:40" x14ac:dyDescent="0.25">
      <c r="A379">
        <v>799</v>
      </c>
      <c r="B379" t="s">
        <v>693</v>
      </c>
      <c r="C379" t="str">
        <f t="shared" si="364"/>
        <v>Guzzlord</v>
      </c>
      <c r="D379" t="s">
        <v>771</v>
      </c>
      <c r="E379" t="s">
        <v>9</v>
      </c>
      <c r="F379" t="s">
        <v>67</v>
      </c>
      <c r="G379">
        <v>223</v>
      </c>
      <c r="H379">
        <v>101</v>
      </c>
      <c r="I379">
        <v>53</v>
      </c>
      <c r="J379">
        <v>97</v>
      </c>
      <c r="K379">
        <v>53</v>
      </c>
      <c r="L379">
        <v>43</v>
      </c>
      <c r="M379" t="s">
        <v>692</v>
      </c>
      <c r="O379" t="s">
        <v>549</v>
      </c>
      <c r="P379">
        <f t="shared" si="253"/>
        <v>7.74</v>
      </c>
      <c r="Q379">
        <f t="shared" si="254"/>
        <v>12.1</v>
      </c>
      <c r="R379">
        <f>-2-1</f>
        <v>-3</v>
      </c>
      <c r="S379">
        <f>10+1</f>
        <v>11</v>
      </c>
      <c r="T379">
        <f t="shared" si="255"/>
        <v>5</v>
      </c>
      <c r="U379">
        <f t="shared" si="256"/>
        <v>23</v>
      </c>
      <c r="V379">
        <f t="shared" si="370"/>
        <v>28</v>
      </c>
      <c r="W379" t="str">
        <f t="shared" si="371"/>
        <v>dark</v>
      </c>
      <c r="X379" t="str">
        <f>IF(F379 = 0, "", F379)</f>
        <v>dragon</v>
      </c>
      <c r="Y379" t="s">
        <v>39</v>
      </c>
      <c r="Z379" t="s">
        <v>13</v>
      </c>
      <c r="AB379" t="str">
        <f t="shared" si="294"/>
        <v/>
      </c>
      <c r="AC379" t="s">
        <v>680</v>
      </c>
      <c r="AD379" t="str">
        <f>VLOOKUP(AC379,moves!A:B,2,FALSE)</f>
        <v>dark</v>
      </c>
      <c r="AE379">
        <f>VLOOKUP(AC379,moves!A:D,4,FALSE)</f>
        <v>5</v>
      </c>
      <c r="AF379" t="str">
        <f>IF(VLOOKUP(AC379,moves!A:F,5,FALSE)=0, "", VLOOKUP(AC379,moves!A:F,5,FALSE))</f>
        <v/>
      </c>
      <c r="AG379" t="str">
        <f>VLOOKUP(AC379,moves!A:F,6,FALSE)</f>
        <v>When the target is next attacked, add 1 [regular_hit] to the roll.</v>
      </c>
      <c r="AH379">
        <v>0</v>
      </c>
      <c r="AI379">
        <v>0</v>
      </c>
      <c r="AJ379" t="s">
        <v>776</v>
      </c>
      <c r="AL379">
        <v>1</v>
      </c>
      <c r="AM379">
        <v>1</v>
      </c>
    </row>
    <row r="380" spans="1:40" x14ac:dyDescent="0.25">
      <c r="A380">
        <v>805</v>
      </c>
      <c r="B380" t="s">
        <v>694</v>
      </c>
      <c r="C380" t="str">
        <f t="shared" si="364"/>
        <v>Stakataka</v>
      </c>
      <c r="D380" t="s">
        <v>771</v>
      </c>
      <c r="E380" t="s">
        <v>33</v>
      </c>
      <c r="F380" t="s">
        <v>39</v>
      </c>
      <c r="G380">
        <v>61</v>
      </c>
      <c r="H380">
        <v>131</v>
      </c>
      <c r="I380">
        <v>211</v>
      </c>
      <c r="J380">
        <v>53</v>
      </c>
      <c r="K380">
        <v>101</v>
      </c>
      <c r="L380">
        <v>13</v>
      </c>
      <c r="M380" t="s">
        <v>696</v>
      </c>
      <c r="O380" t="s">
        <v>549</v>
      </c>
      <c r="P380">
        <f t="shared" si="253"/>
        <v>7.6</v>
      </c>
      <c r="Q380">
        <f t="shared" si="254"/>
        <v>11.8</v>
      </c>
      <c r="R380">
        <f>-2+0</f>
        <v>-2</v>
      </c>
      <c r="S380">
        <f>10+0</f>
        <v>10</v>
      </c>
      <c r="T380">
        <f t="shared" si="255"/>
        <v>6</v>
      </c>
      <c r="U380">
        <f t="shared" si="256"/>
        <v>22</v>
      </c>
      <c r="V380">
        <f t="shared" ref="V380:V385" si="372">SUM(ROUND(T380,0),ROUND(U380,0))</f>
        <v>28</v>
      </c>
      <c r="W380" t="str">
        <f t="shared" si="371"/>
        <v>rock</v>
      </c>
      <c r="X380" t="str">
        <f>IF(F380 = 0, "", F380)</f>
        <v>steel</v>
      </c>
      <c r="Y380" t="s">
        <v>13</v>
      </c>
      <c r="Z380" t="s">
        <v>8</v>
      </c>
      <c r="AB380" t="str">
        <f t="shared" si="294"/>
        <v/>
      </c>
      <c r="AC380" t="s">
        <v>1094</v>
      </c>
      <c r="AD380" t="str">
        <f>VLOOKUP(AC380,moves!A:B,2,FALSE)</f>
        <v>rock</v>
      </c>
      <c r="AE380">
        <f>VLOOKUP(AC380,moves!A:D,4,FALSE)</f>
        <v>2</v>
      </c>
      <c r="AF380" t="str">
        <f>IF(VLOOKUP(AC380,moves!A:F,5,FALSE)=0, "", VLOOKUP(AC380,moves!A:F,5,FALSE))</f>
        <v>dynamic</v>
      </c>
      <c r="AG380" t="str">
        <f>VLOOKUP(AC380,moves!A:F,6,FALSE)</f>
        <v>Attack Strength is increased equal to the damage taken last turn.</v>
      </c>
      <c r="AH380">
        <v>0</v>
      </c>
      <c r="AI380">
        <v>0</v>
      </c>
      <c r="AJ380" t="s">
        <v>776</v>
      </c>
      <c r="AL380">
        <v>1</v>
      </c>
      <c r="AM380">
        <v>1</v>
      </c>
    </row>
    <row r="381" spans="1:40" x14ac:dyDescent="0.25">
      <c r="A381">
        <v>806</v>
      </c>
      <c r="B381" t="s">
        <v>695</v>
      </c>
      <c r="C381" t="str">
        <f t="shared" si="364"/>
        <v>Blacephalon</v>
      </c>
      <c r="D381" t="s">
        <v>771</v>
      </c>
      <c r="E381" t="s">
        <v>4</v>
      </c>
      <c r="F381" t="s">
        <v>42</v>
      </c>
      <c r="G381">
        <v>53</v>
      </c>
      <c r="H381">
        <v>127</v>
      </c>
      <c r="I381">
        <v>53</v>
      </c>
      <c r="J381">
        <v>151</v>
      </c>
      <c r="K381">
        <v>79</v>
      </c>
      <c r="L381">
        <v>107</v>
      </c>
      <c r="M381" t="s">
        <v>697</v>
      </c>
      <c r="O381" t="s">
        <v>549</v>
      </c>
      <c r="P381">
        <f t="shared" si="253"/>
        <v>13.1</v>
      </c>
      <c r="Q381">
        <f t="shared" si="254"/>
        <v>6.08</v>
      </c>
      <c r="R381">
        <f>-2+0</f>
        <v>-2</v>
      </c>
      <c r="S381">
        <f>10+1</f>
        <v>11</v>
      </c>
      <c r="T381">
        <f t="shared" si="255"/>
        <v>11</v>
      </c>
      <c r="U381">
        <f t="shared" si="256"/>
        <v>17</v>
      </c>
      <c r="V381">
        <f t="shared" si="372"/>
        <v>28</v>
      </c>
      <c r="W381" t="str">
        <f t="shared" ref="W381:W385" si="373">E381</f>
        <v>fire</v>
      </c>
      <c r="X381" t="str">
        <f>IF(F381 = 0, "", F381)</f>
        <v>ghost</v>
      </c>
      <c r="Y381" t="s">
        <v>9</v>
      </c>
      <c r="Z381" t="s">
        <v>26</v>
      </c>
      <c r="AB381" t="str">
        <f t="shared" si="294"/>
        <v/>
      </c>
      <c r="AC381" t="s">
        <v>698</v>
      </c>
      <c r="AD381" t="str">
        <f>VLOOKUP(AC381,moves!A:B,2,FALSE)</f>
        <v>fire</v>
      </c>
      <c r="AE381">
        <f>VLOOKUP(AC381,moves!A:D,4,FALSE)</f>
        <v>9</v>
      </c>
      <c r="AF381" t="str">
        <f>IF(VLOOKUP(AC381,moves!A:F,5,FALSE)=0, "", VLOOKUP(AC381,moves!A:F,5,FALSE))</f>
        <v>surge</v>
      </c>
      <c r="AG381" t="str">
        <f>VLOOKUP(AC381,moves!A:F,6,FALSE)</f>
        <v>The user takes 4 damage.</v>
      </c>
      <c r="AH381">
        <v>0</v>
      </c>
      <c r="AI381">
        <v>0</v>
      </c>
      <c r="AJ381" t="s">
        <v>776</v>
      </c>
      <c r="AL381">
        <v>1</v>
      </c>
      <c r="AM381">
        <v>1</v>
      </c>
    </row>
    <row r="382" spans="1:40" x14ac:dyDescent="0.25">
      <c r="A382">
        <v>800</v>
      </c>
      <c r="B382" t="s">
        <v>787</v>
      </c>
      <c r="C382" t="str">
        <f t="shared" si="364"/>
        <v>Necrozma</v>
      </c>
      <c r="D382" t="s">
        <v>791</v>
      </c>
      <c r="E382" t="s">
        <v>26</v>
      </c>
      <c r="G382">
        <v>97</v>
      </c>
      <c r="H382">
        <v>107</v>
      </c>
      <c r="I382">
        <v>101</v>
      </c>
      <c r="J382">
        <v>127</v>
      </c>
      <c r="K382">
        <v>89</v>
      </c>
      <c r="L382">
        <v>79</v>
      </c>
      <c r="M382" t="s">
        <v>744</v>
      </c>
      <c r="O382" t="s">
        <v>549</v>
      </c>
      <c r="P382">
        <f t="shared" si="253"/>
        <v>10.58</v>
      </c>
      <c r="Q382">
        <f t="shared" si="254"/>
        <v>9.58</v>
      </c>
      <c r="R382">
        <v>0</v>
      </c>
      <c r="S382">
        <v>14</v>
      </c>
      <c r="T382">
        <f t="shared" si="255"/>
        <v>11</v>
      </c>
      <c r="U382">
        <f t="shared" si="256"/>
        <v>24</v>
      </c>
      <c r="V382">
        <f t="shared" si="372"/>
        <v>35</v>
      </c>
      <c r="W382" t="str">
        <f t="shared" si="373"/>
        <v>psychic</v>
      </c>
      <c r="X382" t="s">
        <v>4</v>
      </c>
      <c r="Y382" t="s">
        <v>16</v>
      </c>
      <c r="Z382" t="s">
        <v>33</v>
      </c>
      <c r="AB382" t="str">
        <f t="shared" si="294"/>
        <v/>
      </c>
      <c r="AC382" t="s">
        <v>745</v>
      </c>
      <c r="AD382" t="str">
        <f>VLOOKUP(AC382,moves!A:B,2,FALSE)</f>
        <v>psychic</v>
      </c>
      <c r="AE382">
        <f>VLOOKUP(AC382,moves!A:D,4,FALSE)</f>
        <v>7</v>
      </c>
      <c r="AF382" t="str">
        <f>IF(VLOOKUP(AC382,moves!A:F,5,FALSE)=0, "", VLOOKUP(AC382,moves!A:F,5,FALSE))</f>
        <v>surge</v>
      </c>
      <c r="AG382" t="str">
        <f>VLOOKUP(AC382,moves!A:F,6,FALSE)</f>
        <v>Deal 1 damage to all Pokémon in the target party that is not the target.</v>
      </c>
      <c r="AH382">
        <v>0</v>
      </c>
      <c r="AI382">
        <v>0</v>
      </c>
      <c r="AJ382" t="s">
        <v>783</v>
      </c>
      <c r="AL382">
        <v>1</v>
      </c>
      <c r="AM382">
        <v>1</v>
      </c>
      <c r="AN382">
        <v>1</v>
      </c>
    </row>
    <row r="383" spans="1:40" x14ac:dyDescent="0.25">
      <c r="A383" t="s">
        <v>790</v>
      </c>
      <c r="B383" t="s">
        <v>787</v>
      </c>
      <c r="C383" t="s">
        <v>792</v>
      </c>
      <c r="D383" t="s">
        <v>797</v>
      </c>
      <c r="E383" t="s">
        <v>26</v>
      </c>
      <c r="F383" t="s">
        <v>39</v>
      </c>
      <c r="G383">
        <v>97</v>
      </c>
      <c r="H383">
        <v>157</v>
      </c>
      <c r="I383">
        <v>127</v>
      </c>
      <c r="J383">
        <v>113</v>
      </c>
      <c r="K383">
        <v>109</v>
      </c>
      <c r="L383">
        <v>77</v>
      </c>
      <c r="M383" t="s">
        <v>744</v>
      </c>
      <c r="O383" t="s">
        <v>549</v>
      </c>
      <c r="P383">
        <f t="shared" si="253"/>
        <v>12.059999999999999</v>
      </c>
      <c r="Q383">
        <f t="shared" si="254"/>
        <v>10.959999999999999</v>
      </c>
      <c r="R383">
        <v>0</v>
      </c>
      <c r="S383">
        <v>19</v>
      </c>
      <c r="T383">
        <f t="shared" si="255"/>
        <v>12</v>
      </c>
      <c r="U383">
        <f t="shared" si="256"/>
        <v>30</v>
      </c>
      <c r="V383">
        <f t="shared" si="372"/>
        <v>42</v>
      </c>
      <c r="W383" t="str">
        <f t="shared" si="373"/>
        <v>psychic</v>
      </c>
      <c r="X383" t="str">
        <f>IF(F383 = 0, "", F383)</f>
        <v>steel</v>
      </c>
      <c r="Y383" t="s">
        <v>4</v>
      </c>
      <c r="Z383" t="s">
        <v>33</v>
      </c>
      <c r="AB383" t="str">
        <f t="shared" si="294"/>
        <v/>
      </c>
      <c r="AC383" t="s">
        <v>794</v>
      </c>
      <c r="AD383" t="str">
        <f>VLOOKUP(AC383,moves!A:B,2,FALSE)</f>
        <v>steel</v>
      </c>
      <c r="AE383">
        <f>VLOOKUP(AC383,moves!A:D,4,FALSE)</f>
        <v>6</v>
      </c>
      <c r="AF383" t="str">
        <f>IF(VLOOKUP(AC383,moves!A:F,5,FALSE)=0, "", VLOOKUP(AC383,moves!A:F,5,FALSE))</f>
        <v>surge</v>
      </c>
      <c r="AG383" t="str">
        <f>VLOOKUP(AC383,moves!A:F,6,FALSE)</f>
        <v>Inflict the [burned] status on the target.</v>
      </c>
      <c r="AH383">
        <v>0</v>
      </c>
      <c r="AI383">
        <v>0</v>
      </c>
      <c r="AJ383" t="s">
        <v>783</v>
      </c>
      <c r="AL383">
        <v>1</v>
      </c>
      <c r="AM383">
        <v>1</v>
      </c>
      <c r="AN383">
        <v>2</v>
      </c>
    </row>
    <row r="384" spans="1:40" x14ac:dyDescent="0.25">
      <c r="A384" t="s">
        <v>789</v>
      </c>
      <c r="B384" t="s">
        <v>787</v>
      </c>
      <c r="C384" t="s">
        <v>793</v>
      </c>
      <c r="D384" t="s">
        <v>798</v>
      </c>
      <c r="E384" t="s">
        <v>26</v>
      </c>
      <c r="F384" t="s">
        <v>42</v>
      </c>
      <c r="G384">
        <v>97</v>
      </c>
      <c r="H384">
        <v>113</v>
      </c>
      <c r="I384">
        <v>109</v>
      </c>
      <c r="J384">
        <v>157</v>
      </c>
      <c r="K384">
        <v>127</v>
      </c>
      <c r="L384">
        <v>77</v>
      </c>
      <c r="M384" t="s">
        <v>744</v>
      </c>
      <c r="O384" t="s">
        <v>549</v>
      </c>
      <c r="P384">
        <f t="shared" si="253"/>
        <v>12.059999999999999</v>
      </c>
      <c r="Q384">
        <f t="shared" si="254"/>
        <v>10.959999999999999</v>
      </c>
      <c r="R384">
        <v>0</v>
      </c>
      <c r="S384">
        <v>19</v>
      </c>
      <c r="T384">
        <f t="shared" si="255"/>
        <v>12</v>
      </c>
      <c r="U384">
        <f t="shared" si="256"/>
        <v>30</v>
      </c>
      <c r="V384">
        <f t="shared" si="372"/>
        <v>42</v>
      </c>
      <c r="W384" t="str">
        <f t="shared" si="373"/>
        <v>psychic</v>
      </c>
      <c r="X384" t="str">
        <f>IF(F384 = 0, "", F384)</f>
        <v>ghost</v>
      </c>
      <c r="Y384" t="s">
        <v>16</v>
      </c>
      <c r="Z384" t="s">
        <v>33</v>
      </c>
      <c r="AB384" t="str">
        <f t="shared" si="294"/>
        <v/>
      </c>
      <c r="AC384" t="s">
        <v>795</v>
      </c>
      <c r="AD384" t="str">
        <f>VLOOKUP(AC384,moves!A:B,2,FALSE)</f>
        <v>ghost</v>
      </c>
      <c r="AE384">
        <f>VLOOKUP(AC384,moves!A:D,4,FALSE)</f>
        <v>6</v>
      </c>
      <c r="AF384" t="str">
        <f>IF(VLOOKUP(AC384,moves!A:F,5,FALSE)=0, "", VLOOKUP(AC384,moves!A:F,5,FALSE))</f>
        <v>surge</v>
      </c>
      <c r="AG384" t="str">
        <f>VLOOKUP(AC384,moves!A:F,6,FALSE)</f>
        <v>Inflict the [frozen] status on the target.</v>
      </c>
      <c r="AH384">
        <v>0</v>
      </c>
      <c r="AI384">
        <v>0</v>
      </c>
      <c r="AJ384" t="s">
        <v>783</v>
      </c>
      <c r="AL384">
        <v>1</v>
      </c>
      <c r="AM384">
        <v>1</v>
      </c>
      <c r="AN384">
        <v>3</v>
      </c>
    </row>
    <row r="385" spans="1:40" s="31" customFormat="1" ht="15.75" thickBot="1" x14ac:dyDescent="0.3">
      <c r="A385" s="31" t="s">
        <v>788</v>
      </c>
      <c r="B385" s="31" t="s">
        <v>787</v>
      </c>
      <c r="C385" s="31" t="s">
        <v>782</v>
      </c>
      <c r="D385" s="31" t="s">
        <v>799</v>
      </c>
      <c r="E385" s="31" t="s">
        <v>26</v>
      </c>
      <c r="F385" s="31" t="s">
        <v>67</v>
      </c>
      <c r="G385" s="31">
        <v>97</v>
      </c>
      <c r="H385" s="31">
        <v>167</v>
      </c>
      <c r="I385" s="31">
        <v>97</v>
      </c>
      <c r="J385" s="31">
        <v>167</v>
      </c>
      <c r="K385" s="31">
        <v>97</v>
      </c>
      <c r="L385" s="31">
        <v>129</v>
      </c>
      <c r="M385" s="31" t="s">
        <v>744</v>
      </c>
      <c r="O385" s="31" t="s">
        <v>549</v>
      </c>
      <c r="P385" s="31">
        <f t="shared" si="253"/>
        <v>15.179999999999998</v>
      </c>
      <c r="Q385" s="31">
        <f t="shared" si="254"/>
        <v>9.6999999999999993</v>
      </c>
      <c r="R385" s="31">
        <v>0</v>
      </c>
      <c r="S385" s="31">
        <v>26</v>
      </c>
      <c r="T385" s="31">
        <f t="shared" ref="T385" si="374">ROUND(P385,0)+R385</f>
        <v>15</v>
      </c>
      <c r="U385" s="31">
        <f t="shared" ref="U385" si="375">ROUND(Q385,0)+S385</f>
        <v>36</v>
      </c>
      <c r="V385" s="31">
        <f t="shared" si="372"/>
        <v>51</v>
      </c>
      <c r="W385" s="31" t="str">
        <f t="shared" si="373"/>
        <v>psychic</v>
      </c>
      <c r="X385" s="31" t="s">
        <v>4</v>
      </c>
      <c r="Y385" s="31" t="s">
        <v>16</v>
      </c>
      <c r="Z385" s="31" t="s">
        <v>33</v>
      </c>
      <c r="AB385" s="31" t="str">
        <f t="shared" si="294"/>
        <v/>
      </c>
      <c r="AC385" s="31" t="s">
        <v>796</v>
      </c>
      <c r="AD385" s="31" t="str">
        <f>VLOOKUP(AC385,moves!A:B,2,FALSE)</f>
        <v>typeless</v>
      </c>
      <c r="AE385" s="31">
        <f>VLOOKUP(AC385,moves!A:D,4,FALSE)</f>
        <v>5</v>
      </c>
      <c r="AF385" s="31" t="str">
        <f>IF(VLOOKUP(AC385,moves!A:F,5,FALSE)=0, "", VLOOKUP(AC385,moves!A:F,5,FALSE))</f>
        <v/>
      </c>
      <c r="AG385" s="31" t="str">
        <f>VLOOKUP(AC385,moves!A:F,6,FALSE)</f>
        <v>Inflict any status effect on the target. If any [status_symbol]s are rolled: Heal 1 status effect from the user.</v>
      </c>
      <c r="AH385" s="31">
        <v>0</v>
      </c>
      <c r="AI385" s="31">
        <v>0</v>
      </c>
      <c r="AJ385" s="31" t="s">
        <v>783</v>
      </c>
      <c r="AL385" s="31">
        <v>1</v>
      </c>
      <c r="AM385" s="31">
        <v>1</v>
      </c>
      <c r="AN385" s="31">
        <v>4</v>
      </c>
    </row>
    <row r="386" spans="1:40" x14ac:dyDescent="0.25">
      <c r="A386">
        <v>41</v>
      </c>
      <c r="B386" t="s">
        <v>20</v>
      </c>
      <c r="C386" t="str">
        <f>B386</f>
        <v>Zubat</v>
      </c>
      <c r="D386" t="s">
        <v>551</v>
      </c>
      <c r="E386" t="str">
        <f t="shared" ref="E386:E415" si="376">VLOOKUP($C386,$C:$AN,3,FALSE)</f>
        <v>poison</v>
      </c>
      <c r="F386" t="str">
        <f t="shared" ref="F386:F415" si="377">IF(VLOOKUP($C386,$C:$AN,4,FALSE)=0, "", VLOOKUP($C386,$C:$AN,4,FALSE))</f>
        <v>flying</v>
      </c>
      <c r="G386">
        <f t="shared" ref="G386:G415" si="378">VLOOKUP($C386,$C:$AN,5,FALSE)</f>
        <v>40</v>
      </c>
      <c r="H386">
        <f t="shared" ref="H386:H415" si="379">VLOOKUP($C386,$C:$AN,6,FALSE)</f>
        <v>45</v>
      </c>
      <c r="I386">
        <f t="shared" ref="I386:I415" si="380">VLOOKUP($C386,$C:$AN,7,FALSE)</f>
        <v>35</v>
      </c>
      <c r="J386">
        <f t="shared" ref="J386:J415" si="381">VLOOKUP($C386,$C:$AN,8,FALSE)</f>
        <v>30</v>
      </c>
      <c r="K386">
        <f t="shared" ref="K386:K415" si="382">VLOOKUP($C386,$C:$AN,9,FALSE)</f>
        <v>40</v>
      </c>
      <c r="L386">
        <f t="shared" ref="L386:L415" si="383">VLOOKUP($C386,$C:$AN,10,FALSE)</f>
        <v>55</v>
      </c>
      <c r="M386" t="str">
        <f t="shared" ref="M386:M415" si="384">VLOOKUP($C386,$C:$AN,11,FALSE)</f>
        <v>Bat Pokemon</v>
      </c>
      <c r="O386" t="s">
        <v>549</v>
      </c>
      <c r="P386">
        <f t="shared" si="253"/>
        <v>4.75</v>
      </c>
      <c r="Q386">
        <f t="shared" si="254"/>
        <v>3.85</v>
      </c>
      <c r="R386">
        <v>0</v>
      </c>
      <c r="S386">
        <v>1</v>
      </c>
      <c r="T386">
        <f t="shared" si="255"/>
        <v>5</v>
      </c>
      <c r="U386">
        <f t="shared" si="256"/>
        <v>5</v>
      </c>
      <c r="V386">
        <f t="shared" si="216"/>
        <v>10</v>
      </c>
      <c r="W386" t="str">
        <f t="shared" ref="W386:W415" si="385">VLOOKUP($C386,$C:$AN,21,FALSE)</f>
        <v>poison</v>
      </c>
      <c r="X386" t="str">
        <f t="shared" ref="X386:X415" si="386">VLOOKUP($C386,$C:$AN,22,FALSE)</f>
        <v>flying</v>
      </c>
      <c r="Y386" t="str">
        <f t="shared" ref="Y386:Y415" si="387">VLOOKUP($C386,$C:$AN,23,FALSE)</f>
        <v>bug</v>
      </c>
      <c r="Z386" t="str">
        <f t="shared" ref="Z386:Z415" si="388">VLOOKUP($C386,$C:$AN,24,FALSE)</f>
        <v>normal</v>
      </c>
      <c r="AC386" t="str">
        <f t="shared" ref="AC386:AC415" si="389">VLOOKUP($C386,$C:$AN,27,FALSE)</f>
        <v>Poison Fang</v>
      </c>
      <c r="AD386" t="str">
        <f>VLOOKUP(AC386,moves!A:B,2,FALSE)</f>
        <v>poison</v>
      </c>
      <c r="AE386">
        <f>VLOOKUP(AC386,moves!A:D,4,FALSE)</f>
        <v>2</v>
      </c>
      <c r="AF386" t="str">
        <f>IF(VLOOKUP(AC386,moves!A:F,5,FALSE)=0, "", VLOOKUP(AC386,moves!A:F,5,FALSE))</f>
        <v/>
      </c>
      <c r="AG386" t="str">
        <f>VLOOKUP(AC386,moves!A:F,6,FALSE)</f>
        <v>Inflict the [poisoned] status on the target.</v>
      </c>
      <c r="AH386">
        <v>0</v>
      </c>
      <c r="AI386">
        <v>0</v>
      </c>
      <c r="AJ386" t="s">
        <v>558</v>
      </c>
      <c r="AK386" t="s">
        <v>466</v>
      </c>
      <c r="AL386">
        <v>1</v>
      </c>
      <c r="AM386">
        <v>1</v>
      </c>
    </row>
    <row r="387" spans="1:40" x14ac:dyDescent="0.25">
      <c r="A387">
        <v>431</v>
      </c>
      <c r="B387" t="s">
        <v>185</v>
      </c>
      <c r="C387" t="str">
        <f>B387</f>
        <v>Glameow</v>
      </c>
      <c r="D387" t="s">
        <v>551</v>
      </c>
      <c r="E387" t="str">
        <f t="shared" si="376"/>
        <v>normal</v>
      </c>
      <c r="F387" t="str">
        <f t="shared" si="377"/>
        <v/>
      </c>
      <c r="G387">
        <f t="shared" si="378"/>
        <v>49</v>
      </c>
      <c r="H387">
        <f t="shared" si="379"/>
        <v>55</v>
      </c>
      <c r="I387">
        <f t="shared" si="380"/>
        <v>42</v>
      </c>
      <c r="J387">
        <f t="shared" si="381"/>
        <v>42</v>
      </c>
      <c r="K387">
        <f t="shared" si="382"/>
        <v>37</v>
      </c>
      <c r="L387">
        <f t="shared" si="383"/>
        <v>85</v>
      </c>
      <c r="M387" t="str">
        <f t="shared" si="384"/>
        <v>Catty Pokémon</v>
      </c>
      <c r="O387" t="s">
        <v>549</v>
      </c>
      <c r="P387">
        <f t="shared" si="253"/>
        <v>6.57</v>
      </c>
      <c r="Q387">
        <f t="shared" si="254"/>
        <v>4.33</v>
      </c>
      <c r="R387">
        <v>0</v>
      </c>
      <c r="S387">
        <v>1</v>
      </c>
      <c r="T387">
        <f t="shared" si="255"/>
        <v>7</v>
      </c>
      <c r="U387">
        <f t="shared" si="256"/>
        <v>5</v>
      </c>
      <c r="V387">
        <f t="shared" si="216"/>
        <v>12</v>
      </c>
      <c r="W387" t="str">
        <f t="shared" si="385"/>
        <v>normal</v>
      </c>
      <c r="X387" t="str">
        <f t="shared" si="386"/>
        <v>fairy</v>
      </c>
      <c r="Y387" t="str">
        <f t="shared" si="387"/>
        <v>dark</v>
      </c>
      <c r="Z387" t="str">
        <f t="shared" si="388"/>
        <v>electric</v>
      </c>
      <c r="AC387" t="str">
        <f t="shared" si="389"/>
        <v>Play Rough</v>
      </c>
      <c r="AD387" t="str">
        <f>VLOOKUP(AC387,moves!A:B,2,FALSE)</f>
        <v>fairy</v>
      </c>
      <c r="AE387">
        <f>VLOOKUP(AC387,moves!A:D,4,FALSE)</f>
        <v>3</v>
      </c>
      <c r="AF387" t="str">
        <f>IF(VLOOKUP(AC387,moves!A:F,5,FALSE)=0, "", VLOOKUP(AC387,moves!A:F,5,FALSE))</f>
        <v/>
      </c>
      <c r="AG387" t="str">
        <f>VLOOKUP(AC387,moves!A:F,6,FALSE)</f>
        <v>When the target next attacks, remove 1 [regular_hit] from the roll.</v>
      </c>
      <c r="AH387">
        <v>0</v>
      </c>
      <c r="AI387">
        <v>0</v>
      </c>
      <c r="AJ387" t="s">
        <v>558</v>
      </c>
      <c r="AK387" t="s">
        <v>466</v>
      </c>
      <c r="AL387">
        <v>1</v>
      </c>
      <c r="AM387">
        <v>1</v>
      </c>
    </row>
    <row r="388" spans="1:40" x14ac:dyDescent="0.25">
      <c r="A388">
        <v>453</v>
      </c>
      <c r="B388" t="s">
        <v>207</v>
      </c>
      <c r="C388" t="str">
        <f>B388</f>
        <v>Croagunk</v>
      </c>
      <c r="D388" t="s">
        <v>551</v>
      </c>
      <c r="E388" t="str">
        <f t="shared" si="376"/>
        <v>poison</v>
      </c>
      <c r="F388" t="str">
        <f t="shared" si="377"/>
        <v>fighting</v>
      </c>
      <c r="G388">
        <f t="shared" si="378"/>
        <v>48</v>
      </c>
      <c r="H388">
        <f t="shared" si="379"/>
        <v>61</v>
      </c>
      <c r="I388">
        <f t="shared" si="380"/>
        <v>40</v>
      </c>
      <c r="J388">
        <f t="shared" si="381"/>
        <v>61</v>
      </c>
      <c r="K388">
        <f t="shared" si="382"/>
        <v>40</v>
      </c>
      <c r="L388">
        <f t="shared" si="383"/>
        <v>50</v>
      </c>
      <c r="M388" t="str">
        <f t="shared" si="384"/>
        <v>Toxic Mouth Pokémon</v>
      </c>
      <c r="O388" t="s">
        <v>549</v>
      </c>
      <c r="P388">
        <f t="shared" si="253"/>
        <v>5.66</v>
      </c>
      <c r="Q388">
        <f t="shared" si="254"/>
        <v>4.32</v>
      </c>
      <c r="R388">
        <v>0</v>
      </c>
      <c r="S388">
        <v>1</v>
      </c>
      <c r="T388">
        <f t="shared" si="255"/>
        <v>6</v>
      </c>
      <c r="U388">
        <f t="shared" si="256"/>
        <v>5</v>
      </c>
      <c r="V388">
        <f t="shared" ref="V388:V415" si="390">SUM(ROUND(T388,0),ROUND(U388,0))</f>
        <v>11</v>
      </c>
      <c r="W388" t="str">
        <f t="shared" si="385"/>
        <v>poison</v>
      </c>
      <c r="X388" t="str">
        <f t="shared" si="386"/>
        <v>fighting</v>
      </c>
      <c r="Y388" t="str">
        <f t="shared" si="387"/>
        <v>dark</v>
      </c>
      <c r="Z388" t="str">
        <f t="shared" si="388"/>
        <v>ground</v>
      </c>
      <c r="AC388" t="str">
        <f t="shared" si="389"/>
        <v>Revenge</v>
      </c>
      <c r="AD388" t="str">
        <f>VLOOKUP(AC388,moves!A:B,2,FALSE)</f>
        <v>fighting</v>
      </c>
      <c r="AE388">
        <f>VLOOKUP(AC388,moves!A:D,4,FALSE)</f>
        <v>2</v>
      </c>
      <c r="AF388" t="str">
        <f>IF(VLOOKUP(AC388,moves!A:F,5,FALSE)=0, "", VLOOKUP(AC388,moves!A:F,5,FALSE))</f>
        <v>dynamic</v>
      </c>
      <c r="AG388" t="str">
        <f>VLOOKUP(AC388,moves!A:F,6,FALSE)</f>
        <v>For each fainted Pokémon in your party: Attack Strength is increased by 1.</v>
      </c>
      <c r="AH388">
        <v>0</v>
      </c>
      <c r="AI388">
        <v>0</v>
      </c>
      <c r="AJ388" t="s">
        <v>558</v>
      </c>
      <c r="AK388" t="s">
        <v>467</v>
      </c>
      <c r="AL388">
        <v>1</v>
      </c>
      <c r="AM388">
        <v>1</v>
      </c>
    </row>
    <row r="389" spans="1:40" x14ac:dyDescent="0.25">
      <c r="A389">
        <v>434</v>
      </c>
      <c r="B389" t="s">
        <v>188</v>
      </c>
      <c r="C389" t="s">
        <v>188</v>
      </c>
      <c r="D389" t="s">
        <v>551</v>
      </c>
      <c r="E389" t="str">
        <f t="shared" si="376"/>
        <v>poison</v>
      </c>
      <c r="F389" t="str">
        <f t="shared" si="377"/>
        <v>dark</v>
      </c>
      <c r="G389">
        <f t="shared" si="378"/>
        <v>63</v>
      </c>
      <c r="H389">
        <f t="shared" si="379"/>
        <v>63</v>
      </c>
      <c r="I389">
        <f t="shared" si="380"/>
        <v>47</v>
      </c>
      <c r="J389">
        <f t="shared" si="381"/>
        <v>41</v>
      </c>
      <c r="K389">
        <f t="shared" si="382"/>
        <v>41</v>
      </c>
      <c r="L389">
        <f t="shared" si="383"/>
        <v>74</v>
      </c>
      <c r="M389" t="str">
        <f t="shared" si="384"/>
        <v>Skunk Pokémon</v>
      </c>
      <c r="O389" t="s">
        <v>549</v>
      </c>
      <c r="P389">
        <f t="shared" si="253"/>
        <v>6.5200000000000005</v>
      </c>
      <c r="Q389">
        <f t="shared" si="254"/>
        <v>5.16</v>
      </c>
      <c r="R389">
        <v>0</v>
      </c>
      <c r="S389">
        <v>1</v>
      </c>
      <c r="T389">
        <f t="shared" si="255"/>
        <v>7</v>
      </c>
      <c r="U389">
        <f t="shared" si="256"/>
        <v>6</v>
      </c>
      <c r="V389">
        <f t="shared" si="390"/>
        <v>13</v>
      </c>
      <c r="W389" t="str">
        <f t="shared" si="385"/>
        <v>poison</v>
      </c>
      <c r="X389" t="str">
        <f t="shared" si="386"/>
        <v>dark</v>
      </c>
      <c r="Y389" t="str">
        <f t="shared" si="387"/>
        <v>fire</v>
      </c>
      <c r="Z389" t="str">
        <f t="shared" si="388"/>
        <v>normal</v>
      </c>
      <c r="AC389" t="str">
        <f t="shared" si="389"/>
        <v>Poison Gas</v>
      </c>
      <c r="AD389" t="str">
        <f>VLOOKUP(AC389,moves!A:B,2,FALSE)</f>
        <v>poison</v>
      </c>
      <c r="AE389">
        <f>VLOOKUP(AC389,moves!A:D,4,FALSE)</f>
        <v>1</v>
      </c>
      <c r="AF389" t="str">
        <f>IF(VLOOKUP(AC389,moves!A:F,5,FALSE)=0, "", VLOOKUP(AC389,moves!A:F,5,FALSE))</f>
        <v/>
      </c>
      <c r="AG389" t="str">
        <f>VLOOKUP(AC389,moves!A:F,6,FALSE)</f>
        <v>Inflict the [poisoned] status on the target and another Pokémon in the target party.</v>
      </c>
      <c r="AH389">
        <v>0</v>
      </c>
      <c r="AI389">
        <v>0</v>
      </c>
      <c r="AJ389" t="s">
        <v>558</v>
      </c>
      <c r="AK389" t="s">
        <v>466</v>
      </c>
      <c r="AL389">
        <v>1</v>
      </c>
      <c r="AM389">
        <v>1</v>
      </c>
    </row>
    <row r="390" spans="1:40" x14ac:dyDescent="0.25">
      <c r="A390">
        <v>451</v>
      </c>
      <c r="B390" t="s">
        <v>205</v>
      </c>
      <c r="C390" t="str">
        <f t="shared" ref="C390:C396" si="391">B390</f>
        <v>Skorupi</v>
      </c>
      <c r="D390" t="s">
        <v>551</v>
      </c>
      <c r="E390" t="str">
        <f t="shared" si="376"/>
        <v>poison</v>
      </c>
      <c r="F390" t="str">
        <f t="shared" si="377"/>
        <v>bug</v>
      </c>
      <c r="G390">
        <f t="shared" si="378"/>
        <v>40</v>
      </c>
      <c r="H390">
        <f t="shared" si="379"/>
        <v>50</v>
      </c>
      <c r="I390">
        <f t="shared" si="380"/>
        <v>90</v>
      </c>
      <c r="J390">
        <f t="shared" si="381"/>
        <v>30</v>
      </c>
      <c r="K390">
        <f t="shared" si="382"/>
        <v>55</v>
      </c>
      <c r="L390">
        <f t="shared" si="383"/>
        <v>65</v>
      </c>
      <c r="M390" t="str">
        <f t="shared" si="384"/>
        <v>Scorpion Pokémon</v>
      </c>
      <c r="O390" t="s">
        <v>549</v>
      </c>
      <c r="P390">
        <f t="shared" si="253"/>
        <v>5.4</v>
      </c>
      <c r="Q390">
        <f t="shared" si="254"/>
        <v>5.95</v>
      </c>
      <c r="R390">
        <v>0</v>
      </c>
      <c r="S390">
        <v>1</v>
      </c>
      <c r="T390">
        <f t="shared" si="255"/>
        <v>5</v>
      </c>
      <c r="U390">
        <f t="shared" si="256"/>
        <v>7</v>
      </c>
      <c r="V390">
        <f t="shared" si="390"/>
        <v>12</v>
      </c>
      <c r="W390" t="str">
        <f t="shared" si="385"/>
        <v>poison</v>
      </c>
      <c r="X390" t="str">
        <f t="shared" si="386"/>
        <v>bug</v>
      </c>
      <c r="Y390" t="str">
        <f t="shared" si="387"/>
        <v>dark</v>
      </c>
      <c r="Z390" t="str">
        <f t="shared" si="388"/>
        <v>ground</v>
      </c>
      <c r="AC390" t="str">
        <f t="shared" si="389"/>
        <v>Bug Bite</v>
      </c>
      <c r="AD390" t="str">
        <f>VLOOKUP(AC390,moves!A:B,2,FALSE)</f>
        <v>bug</v>
      </c>
      <c r="AE390">
        <f>VLOOKUP(AC390,moves!A:D,4,FALSE)</f>
        <v>3</v>
      </c>
      <c r="AF390" t="str">
        <f>IF(VLOOKUP(AC390,moves!A:F,5,FALSE)=0, "", VLOOKUP(AC390,moves!A:F,5,FALSE))</f>
        <v/>
      </c>
      <c r="AG390" t="str">
        <f>VLOOKUP(AC390,moves!A:F,6,FALSE)</f>
        <v>If the target has a held item, deal 2 extra damage.</v>
      </c>
      <c r="AH390">
        <v>0</v>
      </c>
      <c r="AI390">
        <v>0</v>
      </c>
      <c r="AJ390" t="s">
        <v>558</v>
      </c>
      <c r="AK390" t="s">
        <v>467</v>
      </c>
      <c r="AL390">
        <v>1</v>
      </c>
      <c r="AM390">
        <v>1</v>
      </c>
    </row>
    <row r="391" spans="1:40" x14ac:dyDescent="0.25">
      <c r="A391">
        <v>228</v>
      </c>
      <c r="B391" t="s">
        <v>99</v>
      </c>
      <c r="C391" t="str">
        <f t="shared" si="391"/>
        <v>Houndour</v>
      </c>
      <c r="D391" t="s">
        <v>551</v>
      </c>
      <c r="E391" t="str">
        <f t="shared" si="376"/>
        <v>dark</v>
      </c>
      <c r="F391" t="str">
        <f t="shared" si="377"/>
        <v>fire</v>
      </c>
      <c r="G391">
        <f t="shared" si="378"/>
        <v>45</v>
      </c>
      <c r="H391">
        <f t="shared" si="379"/>
        <v>60</v>
      </c>
      <c r="I391">
        <f t="shared" si="380"/>
        <v>30</v>
      </c>
      <c r="J391">
        <f t="shared" si="381"/>
        <v>80</v>
      </c>
      <c r="K391">
        <f t="shared" si="382"/>
        <v>50</v>
      </c>
      <c r="L391">
        <f t="shared" si="383"/>
        <v>65</v>
      </c>
      <c r="M391" t="str">
        <f t="shared" si="384"/>
        <v>Dark Pokémon</v>
      </c>
      <c r="O391" t="s">
        <v>549</v>
      </c>
      <c r="P391">
        <f t="shared" si="253"/>
        <v>7.2</v>
      </c>
      <c r="Q391">
        <f t="shared" si="254"/>
        <v>4.2</v>
      </c>
      <c r="R391">
        <v>0</v>
      </c>
      <c r="S391">
        <v>1</v>
      </c>
      <c r="T391">
        <f t="shared" si="255"/>
        <v>7</v>
      </c>
      <c r="U391">
        <f t="shared" si="256"/>
        <v>5</v>
      </c>
      <c r="V391">
        <f t="shared" si="390"/>
        <v>12</v>
      </c>
      <c r="W391" t="str">
        <f t="shared" si="385"/>
        <v>dark</v>
      </c>
      <c r="X391" t="str">
        <f t="shared" si="386"/>
        <v>fire</v>
      </c>
      <c r="Y391" t="str">
        <f t="shared" si="387"/>
        <v>normal</v>
      </c>
      <c r="Z391" t="str">
        <f t="shared" si="388"/>
        <v>poison</v>
      </c>
      <c r="AC391" t="str">
        <f t="shared" si="389"/>
        <v>Bite</v>
      </c>
      <c r="AD391" t="str">
        <f>VLOOKUP(AC391,moves!A:B,2,FALSE)</f>
        <v>dark</v>
      </c>
      <c r="AE391">
        <f>VLOOKUP(AC391,moves!A:D,4,FALSE)</f>
        <v>3</v>
      </c>
      <c r="AF391" t="str">
        <f>IF(VLOOKUP(AC391,moves!A:F,5,FALSE)=0, "", VLOOKUP(AC391,moves!A:F,5,FALSE))</f>
        <v/>
      </c>
      <c r="AG391" t="str">
        <f>VLOOKUP(AC391,moves!A:F,6,FALSE)</f>
        <v>When the target is next attacked, add 1 [regular_hit] to the roll.</v>
      </c>
      <c r="AH391">
        <v>0</v>
      </c>
      <c r="AI391">
        <v>0</v>
      </c>
      <c r="AJ391" t="s">
        <v>558</v>
      </c>
      <c r="AK391" t="s">
        <v>467</v>
      </c>
      <c r="AL391">
        <v>1</v>
      </c>
      <c r="AM391">
        <v>1</v>
      </c>
    </row>
    <row r="392" spans="1:40" x14ac:dyDescent="0.25">
      <c r="A392">
        <v>198</v>
      </c>
      <c r="B392" t="s">
        <v>84</v>
      </c>
      <c r="C392" t="str">
        <f t="shared" si="391"/>
        <v>Murkrow</v>
      </c>
      <c r="D392" t="s">
        <v>551</v>
      </c>
      <c r="E392" t="str">
        <f t="shared" si="376"/>
        <v>dark</v>
      </c>
      <c r="F392" t="str">
        <f t="shared" si="377"/>
        <v>flying</v>
      </c>
      <c r="G392">
        <f t="shared" si="378"/>
        <v>60</v>
      </c>
      <c r="H392">
        <f t="shared" si="379"/>
        <v>85</v>
      </c>
      <c r="I392">
        <f t="shared" si="380"/>
        <v>42</v>
      </c>
      <c r="J392">
        <f t="shared" si="381"/>
        <v>85</v>
      </c>
      <c r="K392">
        <f t="shared" si="382"/>
        <v>42</v>
      </c>
      <c r="L392">
        <f t="shared" si="383"/>
        <v>91</v>
      </c>
      <c r="M392" t="str">
        <f t="shared" si="384"/>
        <v>Darkness Pokémon</v>
      </c>
      <c r="O392" t="s">
        <v>549</v>
      </c>
      <c r="P392">
        <f t="shared" si="253"/>
        <v>8.74</v>
      </c>
      <c r="Q392">
        <f t="shared" si="254"/>
        <v>4.92</v>
      </c>
      <c r="R392">
        <v>0</v>
      </c>
      <c r="S392">
        <v>1</v>
      </c>
      <c r="T392">
        <f t="shared" si="255"/>
        <v>9</v>
      </c>
      <c r="U392">
        <f t="shared" si="256"/>
        <v>6</v>
      </c>
      <c r="V392">
        <f t="shared" si="390"/>
        <v>15</v>
      </c>
      <c r="W392" t="str">
        <f t="shared" si="385"/>
        <v>dark</v>
      </c>
      <c r="X392" t="str">
        <f t="shared" si="386"/>
        <v>flying</v>
      </c>
      <c r="Y392" t="str">
        <f t="shared" si="387"/>
        <v>fighting</v>
      </c>
      <c r="Z392" t="str">
        <f t="shared" si="388"/>
        <v>ghost</v>
      </c>
      <c r="AC392" t="str">
        <f t="shared" si="389"/>
        <v>Wing Attack</v>
      </c>
      <c r="AD392" t="str">
        <f>VLOOKUP(AC392,moves!A:B,2,FALSE)</f>
        <v>flying</v>
      </c>
      <c r="AE392">
        <f>VLOOKUP(AC392,moves!A:D,4,FALSE)</f>
        <v>3</v>
      </c>
      <c r="AF392" t="str">
        <f>IF(VLOOKUP(AC392,moves!A:F,5,FALSE)=0, "", VLOOKUP(AC392,moves!A:F,5,FALSE))</f>
        <v/>
      </c>
      <c r="AG392" t="str">
        <f>VLOOKUP(AC392,moves!A:F,6,FALSE)</f>
        <v>When the target next attacks, remove 1 [regular_hit] from the roll.</v>
      </c>
      <c r="AH392">
        <v>0</v>
      </c>
      <c r="AI392">
        <v>0</v>
      </c>
      <c r="AJ392" t="s">
        <v>558</v>
      </c>
      <c r="AK392" t="s">
        <v>466</v>
      </c>
      <c r="AL392">
        <v>1</v>
      </c>
      <c r="AM392">
        <v>1</v>
      </c>
    </row>
    <row r="393" spans="1:40" s="31" customFormat="1" ht="15.75" thickBot="1" x14ac:dyDescent="0.3">
      <c r="A393" s="31">
        <v>436</v>
      </c>
      <c r="B393" s="31" t="s">
        <v>190</v>
      </c>
      <c r="C393" s="31" t="str">
        <f t="shared" si="391"/>
        <v>Bronzor</v>
      </c>
      <c r="D393" s="31" t="s">
        <v>551</v>
      </c>
      <c r="E393" s="31" t="str">
        <f t="shared" si="376"/>
        <v>steel</v>
      </c>
      <c r="F393" s="31" t="str">
        <f t="shared" si="377"/>
        <v>psychic</v>
      </c>
      <c r="G393" s="31">
        <f t="shared" si="378"/>
        <v>57</v>
      </c>
      <c r="H393" s="31">
        <f t="shared" si="379"/>
        <v>24</v>
      </c>
      <c r="I393" s="31">
        <f t="shared" si="380"/>
        <v>86</v>
      </c>
      <c r="J393" s="31">
        <f t="shared" si="381"/>
        <v>24</v>
      </c>
      <c r="K393" s="31">
        <f t="shared" si="382"/>
        <v>86</v>
      </c>
      <c r="L393" s="31">
        <f t="shared" si="383"/>
        <v>23</v>
      </c>
      <c r="M393" s="31" t="str">
        <f t="shared" si="384"/>
        <v>Bronze Pokémon</v>
      </c>
      <c r="O393" s="31" t="s">
        <v>549</v>
      </c>
      <c r="P393" s="31">
        <f>(0.4*L393 + 0.5*MAX(H393,J393) + 0.1*MIN(H393,J393)) / 10</f>
        <v>2.3600000000000003</v>
      </c>
      <c r="Q393" s="31">
        <f>(0.4*G393 + 0.3*I393 + 0.3*K393) / 10</f>
        <v>7.44</v>
      </c>
      <c r="R393" s="31">
        <v>0</v>
      </c>
      <c r="S393" s="31">
        <v>1</v>
      </c>
      <c r="T393" s="31">
        <f>ROUND(P393,0)+R393</f>
        <v>2</v>
      </c>
      <c r="U393" s="31">
        <f>ROUND(Q393,0)+S393</f>
        <v>8</v>
      </c>
      <c r="V393" s="31">
        <f>SUM(ROUND(T393,0),ROUND(U393,0))</f>
        <v>10</v>
      </c>
      <c r="W393" s="31" t="str">
        <f t="shared" si="385"/>
        <v>steel</v>
      </c>
      <c r="X393" s="31" t="str">
        <f t="shared" si="386"/>
        <v>psychic</v>
      </c>
      <c r="Y393" s="31" t="str">
        <f t="shared" si="387"/>
        <v>normal</v>
      </c>
      <c r="Z393" s="31" t="str">
        <f t="shared" si="388"/>
        <v>ground</v>
      </c>
      <c r="AC393" s="31" t="str">
        <f t="shared" si="389"/>
        <v>Confusion</v>
      </c>
      <c r="AD393" s="31" t="str">
        <f>VLOOKUP(AC393,moves!A:B,2,FALSE)</f>
        <v>psychic</v>
      </c>
      <c r="AE393" s="31">
        <f>VLOOKUP(AC393,moves!A:D,4,FALSE)</f>
        <v>2</v>
      </c>
      <c r="AF393" s="31" t="str">
        <f>IF(VLOOKUP(AC393,moves!A:F,5,FALSE)=0, "", VLOOKUP(AC393,moves!A:F,5,FALSE))</f>
        <v/>
      </c>
      <c r="AG393" s="31" t="str">
        <f>VLOOKUP(AC393,moves!A:F,6,FALSE)</f>
        <v>Inflict the [confused] status on the target.</v>
      </c>
      <c r="AH393" s="31">
        <v>0</v>
      </c>
      <c r="AI393" s="31">
        <v>0</v>
      </c>
      <c r="AJ393" s="31" t="s">
        <v>558</v>
      </c>
      <c r="AK393" s="31" t="s">
        <v>467</v>
      </c>
      <c r="AL393" s="31">
        <v>1</v>
      </c>
      <c r="AM393" s="31">
        <v>1</v>
      </c>
    </row>
    <row r="394" spans="1:40" x14ac:dyDescent="0.25">
      <c r="A394">
        <v>42</v>
      </c>
      <c r="B394" t="s">
        <v>21</v>
      </c>
      <c r="C394" t="str">
        <f t="shared" si="391"/>
        <v>Golbat</v>
      </c>
      <c r="D394" t="s">
        <v>552</v>
      </c>
      <c r="E394" t="str">
        <f t="shared" si="376"/>
        <v>poison</v>
      </c>
      <c r="F394" t="str">
        <f t="shared" si="377"/>
        <v>flying</v>
      </c>
      <c r="G394">
        <f t="shared" si="378"/>
        <v>75</v>
      </c>
      <c r="H394">
        <f t="shared" si="379"/>
        <v>80</v>
      </c>
      <c r="I394">
        <f t="shared" si="380"/>
        <v>70</v>
      </c>
      <c r="J394">
        <f t="shared" si="381"/>
        <v>65</v>
      </c>
      <c r="K394">
        <f t="shared" si="382"/>
        <v>75</v>
      </c>
      <c r="L394">
        <f t="shared" si="383"/>
        <v>90</v>
      </c>
      <c r="M394" t="str">
        <f t="shared" si="384"/>
        <v>Bat Pokemon</v>
      </c>
      <c r="O394" t="s">
        <v>549</v>
      </c>
      <c r="P394">
        <f t="shared" si="253"/>
        <v>8.25</v>
      </c>
      <c r="Q394">
        <f t="shared" si="254"/>
        <v>7.35</v>
      </c>
      <c r="R394">
        <v>1</v>
      </c>
      <c r="S394">
        <v>2</v>
      </c>
      <c r="T394">
        <f t="shared" si="255"/>
        <v>9</v>
      </c>
      <c r="U394">
        <f t="shared" si="256"/>
        <v>9</v>
      </c>
      <c r="V394">
        <f t="shared" si="390"/>
        <v>18</v>
      </c>
      <c r="W394" t="str">
        <f t="shared" si="385"/>
        <v>poison</v>
      </c>
      <c r="X394" t="str">
        <f t="shared" si="386"/>
        <v>flying</v>
      </c>
      <c r="Y394" t="str">
        <f t="shared" si="387"/>
        <v>bug</v>
      </c>
      <c r="Z394" t="str">
        <f t="shared" si="388"/>
        <v>normal</v>
      </c>
      <c r="AC394" t="str">
        <f t="shared" si="389"/>
        <v>Air Cutter</v>
      </c>
      <c r="AD394" t="str">
        <f>VLOOKUP(AC394,moves!A:B,2,FALSE)</f>
        <v>flying</v>
      </c>
      <c r="AE394">
        <f>VLOOKUP(AC394,moves!A:D,4,FALSE)</f>
        <v>3</v>
      </c>
      <c r="AF394" t="str">
        <f>IF(VLOOKUP(AC394,moves!A:F,5,FALSE)=0, "", VLOOKUP(AC394,moves!A:F,5,FALSE))</f>
        <v/>
      </c>
      <c r="AG394" t="str">
        <f>VLOOKUP(AC394,moves!A:F,6,FALSE)</f>
        <v>When the target is next attacked, add 1 [critical_hit] to the roll.</v>
      </c>
      <c r="AH394">
        <v>0</v>
      </c>
      <c r="AI394">
        <v>0</v>
      </c>
      <c r="AJ394" t="s">
        <v>559</v>
      </c>
      <c r="AK394" t="s">
        <v>473</v>
      </c>
      <c r="AL394">
        <v>1</v>
      </c>
      <c r="AM394">
        <v>1</v>
      </c>
    </row>
    <row r="395" spans="1:40" x14ac:dyDescent="0.25">
      <c r="A395">
        <v>465</v>
      </c>
      <c r="B395" t="s">
        <v>219</v>
      </c>
      <c r="C395" t="str">
        <f t="shared" si="391"/>
        <v>Tangrowth</v>
      </c>
      <c r="D395" t="s">
        <v>552</v>
      </c>
      <c r="E395" t="str">
        <f t="shared" si="376"/>
        <v>grass</v>
      </c>
      <c r="F395" t="str">
        <f t="shared" si="377"/>
        <v/>
      </c>
      <c r="G395">
        <f t="shared" si="378"/>
        <v>100</v>
      </c>
      <c r="H395">
        <f t="shared" si="379"/>
        <v>100</v>
      </c>
      <c r="I395">
        <f t="shared" si="380"/>
        <v>125</v>
      </c>
      <c r="J395">
        <f t="shared" si="381"/>
        <v>110</v>
      </c>
      <c r="K395">
        <f t="shared" si="382"/>
        <v>50</v>
      </c>
      <c r="L395">
        <f t="shared" si="383"/>
        <v>50</v>
      </c>
      <c r="M395" t="str">
        <f t="shared" si="384"/>
        <v>Vine Pokémon</v>
      </c>
      <c r="O395" t="s">
        <v>549</v>
      </c>
      <c r="P395">
        <f t="shared" si="253"/>
        <v>8.5</v>
      </c>
      <c r="Q395">
        <f t="shared" si="254"/>
        <v>9.25</v>
      </c>
      <c r="R395">
        <v>0</v>
      </c>
      <c r="S395">
        <v>2</v>
      </c>
      <c r="T395">
        <f t="shared" si="255"/>
        <v>9</v>
      </c>
      <c r="U395">
        <f t="shared" si="256"/>
        <v>11</v>
      </c>
      <c r="V395">
        <f t="shared" si="390"/>
        <v>20</v>
      </c>
      <c r="W395" t="str">
        <f t="shared" si="385"/>
        <v>grass</v>
      </c>
      <c r="X395" t="str">
        <f t="shared" si="386"/>
        <v>rock</v>
      </c>
      <c r="Y395" t="str">
        <f t="shared" si="387"/>
        <v>poison</v>
      </c>
      <c r="Z395" t="str">
        <f t="shared" si="388"/>
        <v>ground</v>
      </c>
      <c r="AC395" t="str">
        <f t="shared" si="389"/>
        <v>Power Whip</v>
      </c>
      <c r="AD395" t="str">
        <f>VLOOKUP(AC395,moves!A:B,2,FALSE)</f>
        <v>grass</v>
      </c>
      <c r="AE395">
        <f>VLOOKUP(AC395,moves!A:D,4,FALSE)</f>
        <v>4</v>
      </c>
      <c r="AF395" t="str">
        <f>IF(VLOOKUP(AC395,moves!A:F,5,FALSE)=0, "", VLOOKUP(AC395,moves!A:F,5,FALSE))</f>
        <v>surge</v>
      </c>
      <c r="AG395" t="str">
        <f>VLOOKUP(AC395,moves!A:F,6,FALSE)</f>
        <v>Heal damage equal to the damage dealt.</v>
      </c>
      <c r="AH395">
        <v>0</v>
      </c>
      <c r="AI395">
        <v>0</v>
      </c>
      <c r="AJ395" t="s">
        <v>559</v>
      </c>
      <c r="AK395" t="s">
        <v>473</v>
      </c>
      <c r="AL395">
        <v>1</v>
      </c>
      <c r="AM395">
        <v>1</v>
      </c>
    </row>
    <row r="396" spans="1:40" x14ac:dyDescent="0.25">
      <c r="A396">
        <v>435</v>
      </c>
      <c r="B396" t="s">
        <v>189</v>
      </c>
      <c r="C396" t="str">
        <f t="shared" si="391"/>
        <v>Skuntank</v>
      </c>
      <c r="D396" t="s">
        <v>552</v>
      </c>
      <c r="E396" t="str">
        <f t="shared" si="376"/>
        <v>poison</v>
      </c>
      <c r="F396" t="str">
        <f t="shared" si="377"/>
        <v>dark</v>
      </c>
      <c r="G396">
        <f t="shared" si="378"/>
        <v>103</v>
      </c>
      <c r="H396">
        <f t="shared" si="379"/>
        <v>93</v>
      </c>
      <c r="I396">
        <f t="shared" si="380"/>
        <v>67</v>
      </c>
      <c r="J396">
        <f t="shared" si="381"/>
        <v>71</v>
      </c>
      <c r="K396">
        <f t="shared" si="382"/>
        <v>61</v>
      </c>
      <c r="L396">
        <f t="shared" si="383"/>
        <v>84</v>
      </c>
      <c r="M396" t="str">
        <f t="shared" si="384"/>
        <v>Skunk Pokémon</v>
      </c>
      <c r="O396" t="s">
        <v>549</v>
      </c>
      <c r="P396">
        <f t="shared" si="253"/>
        <v>8.7199999999999989</v>
      </c>
      <c r="Q396">
        <f t="shared" si="254"/>
        <v>7.9599999999999991</v>
      </c>
      <c r="R396">
        <v>0</v>
      </c>
      <c r="S396">
        <v>2</v>
      </c>
      <c r="T396">
        <f t="shared" si="255"/>
        <v>9</v>
      </c>
      <c r="U396">
        <f t="shared" si="256"/>
        <v>10</v>
      </c>
      <c r="V396">
        <f t="shared" si="390"/>
        <v>19</v>
      </c>
      <c r="W396" t="str">
        <f t="shared" si="385"/>
        <v>poison</v>
      </c>
      <c r="X396" t="str">
        <f t="shared" si="386"/>
        <v>dark</v>
      </c>
      <c r="Y396" t="str">
        <f t="shared" si="387"/>
        <v>fire</v>
      </c>
      <c r="Z396" t="str">
        <f t="shared" si="388"/>
        <v>normal</v>
      </c>
      <c r="AC396" t="str">
        <f t="shared" si="389"/>
        <v>Night Slash</v>
      </c>
      <c r="AD396" t="str">
        <f>VLOOKUP(AC396,moves!A:B,2,FALSE)</f>
        <v>dark</v>
      </c>
      <c r="AE396">
        <f>VLOOKUP(AC396,moves!A:D,4,FALSE)</f>
        <v>4</v>
      </c>
      <c r="AF396" t="str">
        <f>IF(VLOOKUP(AC396,moves!A:F,5,FALSE)=0, "", VLOOKUP(AC396,moves!A:F,5,FALSE))</f>
        <v/>
      </c>
      <c r="AG396" t="str">
        <f>VLOOKUP(AC396,moves!A:F,6,FALSE)</f>
        <v>[critical_hit]s deal +1 damage.</v>
      </c>
      <c r="AH396">
        <v>0</v>
      </c>
      <c r="AI396">
        <v>0</v>
      </c>
      <c r="AJ396" t="s">
        <v>559</v>
      </c>
      <c r="AK396" t="s">
        <v>473</v>
      </c>
      <c r="AL396">
        <v>1</v>
      </c>
      <c r="AM396">
        <v>1</v>
      </c>
    </row>
    <row r="397" spans="1:40" x14ac:dyDescent="0.25">
      <c r="A397">
        <v>423</v>
      </c>
      <c r="B397" t="s">
        <v>315</v>
      </c>
      <c r="C397" t="s">
        <v>439</v>
      </c>
      <c r="D397" t="s">
        <v>552</v>
      </c>
      <c r="E397" t="str">
        <f t="shared" si="376"/>
        <v>water</v>
      </c>
      <c r="F397" t="str">
        <f t="shared" si="377"/>
        <v>ground</v>
      </c>
      <c r="G397">
        <f t="shared" si="378"/>
        <v>111</v>
      </c>
      <c r="H397">
        <f t="shared" si="379"/>
        <v>83</v>
      </c>
      <c r="I397">
        <f t="shared" si="380"/>
        <v>68</v>
      </c>
      <c r="J397">
        <f t="shared" si="381"/>
        <v>92</v>
      </c>
      <c r="K397">
        <f t="shared" si="382"/>
        <v>82</v>
      </c>
      <c r="L397">
        <f t="shared" si="383"/>
        <v>39</v>
      </c>
      <c r="M397" t="str">
        <f t="shared" si="384"/>
        <v>Sea Slug Pokémon</v>
      </c>
      <c r="O397" t="s">
        <v>549</v>
      </c>
      <c r="P397">
        <f t="shared" si="253"/>
        <v>6.99</v>
      </c>
      <c r="Q397">
        <f t="shared" si="254"/>
        <v>8.9400000000000013</v>
      </c>
      <c r="R397">
        <v>0</v>
      </c>
      <c r="S397">
        <v>2</v>
      </c>
      <c r="T397">
        <f t="shared" si="255"/>
        <v>7</v>
      </c>
      <c r="U397">
        <f t="shared" si="256"/>
        <v>11</v>
      </c>
      <c r="V397">
        <f t="shared" si="390"/>
        <v>18</v>
      </c>
      <c r="W397" t="str">
        <f t="shared" si="385"/>
        <v>water</v>
      </c>
      <c r="X397" t="str">
        <f t="shared" si="386"/>
        <v>ground</v>
      </c>
      <c r="Y397" t="str">
        <f t="shared" si="387"/>
        <v>normal</v>
      </c>
      <c r="Z397" t="str">
        <f t="shared" si="388"/>
        <v>ice</v>
      </c>
      <c r="AC397" t="str">
        <f t="shared" si="389"/>
        <v>Ice Beam</v>
      </c>
      <c r="AD397" t="str">
        <f>VLOOKUP(AC397,moves!A:B,2,FALSE)</f>
        <v>ice</v>
      </c>
      <c r="AE397">
        <f>VLOOKUP(AC397,moves!A:D,4,FALSE)</f>
        <v>4</v>
      </c>
      <c r="AF397" t="str">
        <f>IF(VLOOKUP(AC397,moves!A:F,5,FALSE)=0, "", VLOOKUP(AC397,moves!A:F,5,FALSE))</f>
        <v/>
      </c>
      <c r="AG397" t="str">
        <f>VLOOKUP(AC397,moves!A:F,6,FALSE)</f>
        <v>If any [status_symbol]s are rolled: Inflict the [frozen] status on the target.</v>
      </c>
      <c r="AH397">
        <v>0</v>
      </c>
      <c r="AI397">
        <v>0</v>
      </c>
      <c r="AJ397" t="s">
        <v>559</v>
      </c>
      <c r="AK397" t="s">
        <v>473</v>
      </c>
      <c r="AL397">
        <v>1</v>
      </c>
      <c r="AM397">
        <v>1</v>
      </c>
    </row>
    <row r="398" spans="1:40" s="31" customFormat="1" ht="15.75" thickBot="1" x14ac:dyDescent="0.3">
      <c r="A398" s="31" t="s">
        <v>986</v>
      </c>
      <c r="B398" s="31" t="s">
        <v>233</v>
      </c>
      <c r="C398" s="31" t="str">
        <f t="shared" ref="C398:C415" si="392">B398</f>
        <v>Uxie</v>
      </c>
      <c r="D398" s="31" t="s">
        <v>552</v>
      </c>
      <c r="E398" s="31" t="str">
        <f t="shared" si="376"/>
        <v>psychic</v>
      </c>
      <c r="F398" s="31" t="str">
        <f t="shared" si="377"/>
        <v>ice</v>
      </c>
      <c r="G398" s="31">
        <f t="shared" si="378"/>
        <v>75</v>
      </c>
      <c r="H398" s="31">
        <f t="shared" si="379"/>
        <v>75</v>
      </c>
      <c r="I398" s="31">
        <f t="shared" si="380"/>
        <v>130</v>
      </c>
      <c r="J398" s="31">
        <f t="shared" si="381"/>
        <v>75</v>
      </c>
      <c r="K398" s="31">
        <f t="shared" si="382"/>
        <v>130</v>
      </c>
      <c r="L398" s="31">
        <f t="shared" si="383"/>
        <v>95</v>
      </c>
      <c r="M398" s="31" t="str">
        <f t="shared" si="384"/>
        <v>Knowledge Pokémon</v>
      </c>
      <c r="O398" s="31" t="s">
        <v>549</v>
      </c>
      <c r="P398" s="31">
        <f t="shared" si="253"/>
        <v>8.3000000000000007</v>
      </c>
      <c r="Q398" s="31">
        <f t="shared" si="254"/>
        <v>10.8</v>
      </c>
      <c r="R398" s="31">
        <v>0</v>
      </c>
      <c r="S398" s="31">
        <v>1</v>
      </c>
      <c r="T398" s="31">
        <f t="shared" si="255"/>
        <v>8</v>
      </c>
      <c r="U398" s="31">
        <f t="shared" si="256"/>
        <v>12</v>
      </c>
      <c r="V398" s="31">
        <f t="shared" si="390"/>
        <v>20</v>
      </c>
      <c r="W398" s="31" t="str">
        <f t="shared" si="385"/>
        <v>psychic</v>
      </c>
      <c r="X398" s="31" t="str">
        <f t="shared" si="386"/>
        <v>ice</v>
      </c>
      <c r="Y398" s="31" t="str">
        <f t="shared" si="387"/>
        <v>fairy</v>
      </c>
      <c r="Z398" s="31" t="str">
        <f t="shared" si="388"/>
        <v>normal</v>
      </c>
      <c r="AC398" s="31" t="str">
        <f t="shared" si="389"/>
        <v>Chilling Acuity</v>
      </c>
      <c r="AD398" s="31" t="str">
        <f>VLOOKUP(AC398,moves!A:B,2,FALSE)</f>
        <v>ice</v>
      </c>
      <c r="AE398" s="31">
        <f>VLOOKUP(AC398,moves!A:D,4,FALSE)</f>
        <v>4</v>
      </c>
      <c r="AF398" s="31" t="str">
        <f>IF(VLOOKUP(AC398,moves!A:F,5,FALSE)=0, "", VLOOKUP(AC398,moves!A:F,5,FALSE))</f>
        <v/>
      </c>
      <c r="AG398" s="31" t="str">
        <f>VLOOKUP(AC398,moves!A:F,6,FALSE)</f>
        <v>If any [status_symbol]s are rolled: Inflict the [frozen] status on the target and another Pokémon in the target party.</v>
      </c>
      <c r="AH398" s="31">
        <v>0</v>
      </c>
      <c r="AI398" s="31">
        <v>0</v>
      </c>
      <c r="AJ398" s="31" t="s">
        <v>559</v>
      </c>
      <c r="AK398" s="31" t="s">
        <v>473</v>
      </c>
      <c r="AL398" s="31">
        <v>1</v>
      </c>
      <c r="AM398" s="31">
        <v>1</v>
      </c>
    </row>
    <row r="399" spans="1:40" x14ac:dyDescent="0.25">
      <c r="A399">
        <v>437</v>
      </c>
      <c r="B399" t="s">
        <v>191</v>
      </c>
      <c r="C399" t="str">
        <f t="shared" si="392"/>
        <v>Bronzong</v>
      </c>
      <c r="D399" t="s">
        <v>553</v>
      </c>
      <c r="E399" t="str">
        <f t="shared" si="376"/>
        <v>steel</v>
      </c>
      <c r="F399" t="str">
        <f t="shared" si="377"/>
        <v>psychic</v>
      </c>
      <c r="G399">
        <f t="shared" si="378"/>
        <v>67</v>
      </c>
      <c r="H399">
        <f t="shared" si="379"/>
        <v>89</v>
      </c>
      <c r="I399">
        <f t="shared" si="380"/>
        <v>116</v>
      </c>
      <c r="J399">
        <f t="shared" si="381"/>
        <v>79</v>
      </c>
      <c r="K399">
        <f t="shared" si="382"/>
        <v>116</v>
      </c>
      <c r="L399">
        <f t="shared" si="383"/>
        <v>33</v>
      </c>
      <c r="M399" t="str">
        <f t="shared" si="384"/>
        <v>Bronze Bell Pokémon</v>
      </c>
      <c r="O399" t="s">
        <v>549</v>
      </c>
      <c r="P399">
        <f t="shared" si="253"/>
        <v>6.5600000000000005</v>
      </c>
      <c r="Q399">
        <f t="shared" si="254"/>
        <v>9.6399999999999988</v>
      </c>
      <c r="R399">
        <v>0</v>
      </c>
      <c r="S399">
        <v>2</v>
      </c>
      <c r="T399">
        <f t="shared" si="255"/>
        <v>7</v>
      </c>
      <c r="U399">
        <f t="shared" si="256"/>
        <v>12</v>
      </c>
      <c r="V399">
        <f t="shared" si="390"/>
        <v>19</v>
      </c>
      <c r="W399" t="str">
        <f t="shared" si="385"/>
        <v>steel</v>
      </c>
      <c r="X399" t="str">
        <f t="shared" si="386"/>
        <v>psychic</v>
      </c>
      <c r="Y399" t="str">
        <f t="shared" si="387"/>
        <v>normal</v>
      </c>
      <c r="Z399" t="str">
        <f t="shared" si="388"/>
        <v>ground</v>
      </c>
      <c r="AC399" t="str">
        <f t="shared" si="389"/>
        <v>Heavy Slam</v>
      </c>
      <c r="AD399" t="str">
        <f>VLOOKUP(AC399,moves!A:B,2,FALSE)</f>
        <v>steel</v>
      </c>
      <c r="AE399" t="str">
        <f>VLOOKUP(AC399,moves!A:D,4,FALSE)</f>
        <v/>
      </c>
      <c r="AF399" t="str">
        <f>IF(VLOOKUP(AC399,moves!A:F,5,FALSE)=0, "", VLOOKUP(AC399,moves!A:F,5,FALSE))</f>
        <v>dynamic</v>
      </c>
      <c r="AG399" t="str">
        <f>VLOOKUP(AC399,moves!A:F,6,FALSE)</f>
        <v>Attack Strength is equal to half the base Health of the user, rounded down.</v>
      </c>
      <c r="AH399">
        <v>0</v>
      </c>
      <c r="AI399">
        <v>0</v>
      </c>
      <c r="AJ399" t="s">
        <v>559</v>
      </c>
      <c r="AK399" t="s">
        <v>474</v>
      </c>
      <c r="AL399">
        <v>1</v>
      </c>
      <c r="AM399">
        <v>1</v>
      </c>
    </row>
    <row r="400" spans="1:40" x14ac:dyDescent="0.25">
      <c r="A400">
        <v>125</v>
      </c>
      <c r="B400" t="s">
        <v>54</v>
      </c>
      <c r="C400" t="str">
        <f t="shared" si="392"/>
        <v>Electabuzz</v>
      </c>
      <c r="D400" t="s">
        <v>553</v>
      </c>
      <c r="E400" t="str">
        <f t="shared" si="376"/>
        <v>electric</v>
      </c>
      <c r="F400" t="str">
        <f t="shared" si="377"/>
        <v/>
      </c>
      <c r="G400">
        <f t="shared" si="378"/>
        <v>65</v>
      </c>
      <c r="H400">
        <f t="shared" si="379"/>
        <v>83</v>
      </c>
      <c r="I400">
        <f t="shared" si="380"/>
        <v>57</v>
      </c>
      <c r="J400">
        <f t="shared" si="381"/>
        <v>95</v>
      </c>
      <c r="K400">
        <f t="shared" si="382"/>
        <v>85</v>
      </c>
      <c r="L400">
        <f t="shared" si="383"/>
        <v>105</v>
      </c>
      <c r="M400" t="str">
        <f t="shared" si="384"/>
        <v>Electric Pokémon</v>
      </c>
      <c r="O400" t="s">
        <v>549</v>
      </c>
      <c r="P400">
        <f t="shared" si="253"/>
        <v>9.7799999999999994</v>
      </c>
      <c r="Q400">
        <f t="shared" si="254"/>
        <v>6.8599999999999994</v>
      </c>
      <c r="R400">
        <v>0</v>
      </c>
      <c r="S400">
        <v>2</v>
      </c>
      <c r="T400">
        <f t="shared" si="255"/>
        <v>10</v>
      </c>
      <c r="U400">
        <f t="shared" si="256"/>
        <v>9</v>
      </c>
      <c r="V400">
        <f t="shared" si="390"/>
        <v>19</v>
      </c>
      <c r="W400" t="str">
        <f t="shared" si="385"/>
        <v>electric</v>
      </c>
      <c r="X400" t="str">
        <f t="shared" si="386"/>
        <v>fighting</v>
      </c>
      <c r="Y400" t="str">
        <f t="shared" si="387"/>
        <v>normal</v>
      </c>
      <c r="Z400" t="str">
        <f t="shared" si="388"/>
        <v>fire</v>
      </c>
      <c r="AC400" t="str">
        <f t="shared" si="389"/>
        <v>Thunderbolt</v>
      </c>
      <c r="AD400" t="str">
        <f>VLOOKUP(AC400,moves!A:B,2,FALSE)</f>
        <v>electric</v>
      </c>
      <c r="AE400">
        <f>VLOOKUP(AC400,moves!A:D,4,FALSE)</f>
        <v>4</v>
      </c>
      <c r="AF400" t="str">
        <f>IF(VLOOKUP(AC400,moves!A:F,5,FALSE)=0, "", VLOOKUP(AC400,moves!A:F,5,FALSE))</f>
        <v/>
      </c>
      <c r="AG400" t="str">
        <f>VLOOKUP(AC400,moves!A:F,6,FALSE)</f>
        <v>If any [status_symbol]s are rolled: Inflict the [paralysed] status on the target.</v>
      </c>
      <c r="AH400">
        <v>0</v>
      </c>
      <c r="AI400">
        <v>0</v>
      </c>
      <c r="AJ400" t="s">
        <v>559</v>
      </c>
      <c r="AK400" t="s">
        <v>474</v>
      </c>
      <c r="AL400">
        <v>1</v>
      </c>
      <c r="AM400">
        <v>1</v>
      </c>
    </row>
    <row r="401" spans="1:39" x14ac:dyDescent="0.25">
      <c r="A401">
        <v>432</v>
      </c>
      <c r="B401" t="s">
        <v>186</v>
      </c>
      <c r="C401" t="str">
        <f t="shared" si="392"/>
        <v>Purugly</v>
      </c>
      <c r="D401" t="s">
        <v>553</v>
      </c>
      <c r="E401" t="str">
        <f t="shared" si="376"/>
        <v>normal</v>
      </c>
      <c r="F401" t="str">
        <f t="shared" si="377"/>
        <v/>
      </c>
      <c r="G401">
        <f t="shared" si="378"/>
        <v>71</v>
      </c>
      <c r="H401">
        <f t="shared" si="379"/>
        <v>82</v>
      </c>
      <c r="I401">
        <f t="shared" si="380"/>
        <v>64</v>
      </c>
      <c r="J401">
        <f t="shared" si="381"/>
        <v>64</v>
      </c>
      <c r="K401">
        <f t="shared" si="382"/>
        <v>59</v>
      </c>
      <c r="L401">
        <f t="shared" si="383"/>
        <v>112</v>
      </c>
      <c r="M401" t="str">
        <f t="shared" si="384"/>
        <v>Tiger Cat Pokémon</v>
      </c>
      <c r="O401" t="s">
        <v>549</v>
      </c>
      <c r="P401">
        <f>(0.4*L401 + 0.5*MAX(H401,J401) + 0.1*MIN(H401,J401)) / 10</f>
        <v>9.2200000000000024</v>
      </c>
      <c r="Q401">
        <f t="shared" si="254"/>
        <v>6.5299999999999994</v>
      </c>
      <c r="R401">
        <v>0</v>
      </c>
      <c r="S401">
        <v>2</v>
      </c>
      <c r="T401">
        <f>ROUND(P401,0)+R401</f>
        <v>9</v>
      </c>
      <c r="U401">
        <f t="shared" si="256"/>
        <v>9</v>
      </c>
      <c r="V401">
        <f t="shared" si="390"/>
        <v>18</v>
      </c>
      <c r="W401" t="str">
        <f t="shared" si="385"/>
        <v>normal</v>
      </c>
      <c r="X401" t="str">
        <f t="shared" si="386"/>
        <v>fairy</v>
      </c>
      <c r="Y401" t="str">
        <f t="shared" si="387"/>
        <v>dark</v>
      </c>
      <c r="Z401" t="str">
        <f t="shared" si="388"/>
        <v>electric</v>
      </c>
      <c r="AC401" t="str">
        <f t="shared" si="389"/>
        <v>Slash</v>
      </c>
      <c r="AD401" t="str">
        <f>VLOOKUP(AC401,moves!A:B,2,FALSE)</f>
        <v>normal</v>
      </c>
      <c r="AE401">
        <f>VLOOKUP(AC401,moves!A:D,4,FALSE)</f>
        <v>4</v>
      </c>
      <c r="AF401" t="str">
        <f>IF(VLOOKUP(AC401,moves!A:F,5,FALSE)=0, "", VLOOKUP(AC401,moves!A:F,5,FALSE))</f>
        <v/>
      </c>
      <c r="AG401" t="str">
        <f>VLOOKUP(AC401,moves!A:F,6,FALSE)</f>
        <v>[critical_hit]s deal +1 damage.</v>
      </c>
      <c r="AH401">
        <v>0</v>
      </c>
      <c r="AI401">
        <v>0</v>
      </c>
      <c r="AJ401" t="s">
        <v>559</v>
      </c>
      <c r="AK401" t="s">
        <v>474</v>
      </c>
      <c r="AL401">
        <v>1</v>
      </c>
      <c r="AM401">
        <v>1</v>
      </c>
    </row>
    <row r="402" spans="1:39" x14ac:dyDescent="0.25">
      <c r="A402">
        <v>469</v>
      </c>
      <c r="B402" t="s">
        <v>223</v>
      </c>
      <c r="C402" t="str">
        <f t="shared" si="392"/>
        <v>Yanmega</v>
      </c>
      <c r="D402" t="s">
        <v>553</v>
      </c>
      <c r="E402" t="str">
        <f t="shared" si="376"/>
        <v>bug</v>
      </c>
      <c r="F402" t="str">
        <f t="shared" si="377"/>
        <v>flying</v>
      </c>
      <c r="G402">
        <f t="shared" si="378"/>
        <v>86</v>
      </c>
      <c r="H402">
        <f t="shared" si="379"/>
        <v>76</v>
      </c>
      <c r="I402">
        <f t="shared" si="380"/>
        <v>86</v>
      </c>
      <c r="J402">
        <f t="shared" si="381"/>
        <v>116</v>
      </c>
      <c r="K402">
        <f t="shared" si="382"/>
        <v>56</v>
      </c>
      <c r="L402">
        <f t="shared" si="383"/>
        <v>95</v>
      </c>
      <c r="M402" t="str">
        <f t="shared" si="384"/>
        <v>Ogre Darner Pokémon</v>
      </c>
      <c r="O402" t="s">
        <v>549</v>
      </c>
      <c r="P402">
        <f>(0.4*L402 + 0.5*MAX(H402,J402) + 0.1*MIN(H402,J402)) / 10</f>
        <v>10.36</v>
      </c>
      <c r="Q402">
        <f t="shared" si="254"/>
        <v>7.7</v>
      </c>
      <c r="R402">
        <v>0</v>
      </c>
      <c r="S402">
        <v>2</v>
      </c>
      <c r="T402">
        <f>ROUND(P402,0)+R402</f>
        <v>10</v>
      </c>
      <c r="U402">
        <f t="shared" si="256"/>
        <v>10</v>
      </c>
      <c r="V402">
        <f t="shared" si="390"/>
        <v>20</v>
      </c>
      <c r="W402" t="str">
        <f t="shared" si="385"/>
        <v>bug</v>
      </c>
      <c r="X402" t="str">
        <f t="shared" si="386"/>
        <v>flying</v>
      </c>
      <c r="Y402" t="str">
        <f t="shared" si="387"/>
        <v>rock</v>
      </c>
      <c r="Z402" t="str">
        <f t="shared" si="388"/>
        <v>dark</v>
      </c>
      <c r="AC402" t="str">
        <f t="shared" si="389"/>
        <v>Bug Buzz</v>
      </c>
      <c r="AD402" t="str">
        <f>VLOOKUP(AC402,moves!A:B,2,FALSE)</f>
        <v>bug</v>
      </c>
      <c r="AE402">
        <f>VLOOKUP(AC402,moves!A:D,4,FALSE)</f>
        <v>4</v>
      </c>
      <c r="AF402" t="str">
        <f>IF(VLOOKUP(AC402,moves!A:F,5,FALSE)=0, "", VLOOKUP(AC402,moves!A:F,5,FALSE))</f>
        <v/>
      </c>
      <c r="AG402" t="str">
        <f>VLOOKUP(AC402,moves!A:F,6,FALSE)</f>
        <v>If any [status_symbol]s are rolled: Inflict the [paralysed] status on the target.</v>
      </c>
      <c r="AH402">
        <v>0</v>
      </c>
      <c r="AI402">
        <v>0</v>
      </c>
      <c r="AJ402" t="s">
        <v>559</v>
      </c>
      <c r="AK402" t="s">
        <v>474</v>
      </c>
      <c r="AL402">
        <v>1</v>
      </c>
      <c r="AM402">
        <v>1</v>
      </c>
    </row>
    <row r="403" spans="1:39" s="31" customFormat="1" ht="15.75" thickBot="1" x14ac:dyDescent="0.3">
      <c r="A403" s="31" t="s">
        <v>987</v>
      </c>
      <c r="B403" s="31" t="s">
        <v>234</v>
      </c>
      <c r="C403" s="31" t="str">
        <f t="shared" si="392"/>
        <v>Mesprit</v>
      </c>
      <c r="D403" s="31" t="s">
        <v>553</v>
      </c>
      <c r="E403" s="31" t="str">
        <f t="shared" si="376"/>
        <v>psychic</v>
      </c>
      <c r="F403" s="31" t="str">
        <f t="shared" si="377"/>
        <v>electric</v>
      </c>
      <c r="G403" s="31">
        <f t="shared" si="378"/>
        <v>80</v>
      </c>
      <c r="H403" s="31">
        <f t="shared" si="379"/>
        <v>105</v>
      </c>
      <c r="I403" s="31">
        <f t="shared" si="380"/>
        <v>105</v>
      </c>
      <c r="J403" s="31">
        <f t="shared" si="381"/>
        <v>105</v>
      </c>
      <c r="K403" s="31">
        <f t="shared" si="382"/>
        <v>105</v>
      </c>
      <c r="L403" s="31">
        <f t="shared" si="383"/>
        <v>80</v>
      </c>
      <c r="M403" s="31" t="str">
        <f t="shared" si="384"/>
        <v>Emotion Pokémon</v>
      </c>
      <c r="O403" s="31" t="s">
        <v>549</v>
      </c>
      <c r="P403" s="31">
        <f t="shared" si="253"/>
        <v>9.5</v>
      </c>
      <c r="Q403" s="31">
        <f t="shared" si="254"/>
        <v>9.5</v>
      </c>
      <c r="R403" s="31">
        <v>0</v>
      </c>
      <c r="S403" s="31">
        <v>0</v>
      </c>
      <c r="T403" s="31">
        <f t="shared" si="255"/>
        <v>10</v>
      </c>
      <c r="U403" s="31">
        <f t="shared" si="256"/>
        <v>10</v>
      </c>
      <c r="V403" s="31">
        <f t="shared" si="390"/>
        <v>20</v>
      </c>
      <c r="W403" s="31" t="str">
        <f t="shared" si="385"/>
        <v>psychic</v>
      </c>
      <c r="X403" s="31" t="str">
        <f t="shared" si="386"/>
        <v>electric</v>
      </c>
      <c r="Y403" s="31" t="str">
        <f t="shared" si="387"/>
        <v>fairy</v>
      </c>
      <c r="Z403" s="31" t="str">
        <f t="shared" si="388"/>
        <v>normal</v>
      </c>
      <c r="AC403" s="31" t="str">
        <f t="shared" si="389"/>
        <v>Shocking Verity</v>
      </c>
      <c r="AD403" s="31" t="str">
        <f>VLOOKUP(AC403,moves!A:B,2,FALSE)</f>
        <v>electric</v>
      </c>
      <c r="AE403" s="31">
        <f>VLOOKUP(AC403,moves!A:D,4,FALSE)</f>
        <v>4</v>
      </c>
      <c r="AF403" s="31" t="str">
        <f>IF(VLOOKUP(AC403,moves!A:F,5,FALSE)=0, "", VLOOKUP(AC403,moves!A:F,5,FALSE))</f>
        <v/>
      </c>
      <c r="AG403" s="31" t="str">
        <f>VLOOKUP(AC403,moves!A:F,6,FALSE)</f>
        <v>If any [status_symbol]s are rolled: Inflict the [paralysed] status on the target and another Pokémon in the target party.</v>
      </c>
      <c r="AH403" s="31">
        <v>0</v>
      </c>
      <c r="AI403" s="31">
        <v>0</v>
      </c>
      <c r="AJ403" s="31" t="s">
        <v>559</v>
      </c>
      <c r="AK403" s="31" t="s">
        <v>474</v>
      </c>
      <c r="AL403" s="31">
        <v>1</v>
      </c>
      <c r="AM403" s="31">
        <v>1</v>
      </c>
    </row>
    <row r="404" spans="1:39" x14ac:dyDescent="0.25">
      <c r="A404">
        <v>64</v>
      </c>
      <c r="B404" t="s">
        <v>27</v>
      </c>
      <c r="C404" t="str">
        <f t="shared" si="392"/>
        <v>Kadabra</v>
      </c>
      <c r="D404" t="s">
        <v>554</v>
      </c>
      <c r="E404" t="str">
        <f t="shared" si="376"/>
        <v>psychic</v>
      </c>
      <c r="F404" t="str">
        <f t="shared" si="377"/>
        <v/>
      </c>
      <c r="G404">
        <f t="shared" si="378"/>
        <v>40</v>
      </c>
      <c r="H404">
        <f t="shared" si="379"/>
        <v>35</v>
      </c>
      <c r="I404">
        <f t="shared" si="380"/>
        <v>30</v>
      </c>
      <c r="J404">
        <f t="shared" si="381"/>
        <v>120</v>
      </c>
      <c r="K404">
        <f t="shared" si="382"/>
        <v>70</v>
      </c>
      <c r="L404">
        <f t="shared" si="383"/>
        <v>105</v>
      </c>
      <c r="M404" t="str">
        <f t="shared" si="384"/>
        <v>Psi Pokemon</v>
      </c>
      <c r="O404" t="s">
        <v>549</v>
      </c>
      <c r="P404">
        <f t="shared" si="253"/>
        <v>10.55</v>
      </c>
      <c r="Q404">
        <f t="shared" si="254"/>
        <v>4.5999999999999996</v>
      </c>
      <c r="R404">
        <v>0</v>
      </c>
      <c r="S404">
        <v>2</v>
      </c>
      <c r="T404">
        <f t="shared" si="255"/>
        <v>11</v>
      </c>
      <c r="U404">
        <f t="shared" si="256"/>
        <v>7</v>
      </c>
      <c r="V404">
        <f t="shared" si="390"/>
        <v>18</v>
      </c>
      <c r="W404" t="str">
        <f t="shared" si="385"/>
        <v>psychic</v>
      </c>
      <c r="X404" t="str">
        <f t="shared" si="386"/>
        <v>normal</v>
      </c>
      <c r="Y404" t="str">
        <f t="shared" si="387"/>
        <v>ghost</v>
      </c>
      <c r="Z404" t="str">
        <f t="shared" si="388"/>
        <v>fairy</v>
      </c>
      <c r="AC404" t="str">
        <f t="shared" si="389"/>
        <v>Kinesis</v>
      </c>
      <c r="AD404" t="str">
        <f>VLOOKUP(AC404,moves!A:B,2,FALSE)</f>
        <v>psychic</v>
      </c>
      <c r="AE404">
        <f>VLOOKUP(AC404,moves!A:D,4,FALSE)</f>
        <v>3</v>
      </c>
      <c r="AF404" t="str">
        <f>IF(VLOOKUP(AC404,moves!A:F,5,FALSE)=0, "", VLOOKUP(AC404,moves!A:F,5,FALSE))</f>
        <v/>
      </c>
      <c r="AG404" t="str">
        <f>VLOOKUP(AC404,moves!A:F,6,FALSE)</f>
        <v>Inflict the [confused] status on the target. Deals 4 extra damage to [steel]-Type Pokémon.</v>
      </c>
      <c r="AH404">
        <v>0</v>
      </c>
      <c r="AI404">
        <v>0</v>
      </c>
      <c r="AJ404" t="s">
        <v>559</v>
      </c>
      <c r="AK404" t="s">
        <v>475</v>
      </c>
      <c r="AL404">
        <v>1</v>
      </c>
      <c r="AM404">
        <v>1</v>
      </c>
    </row>
    <row r="405" spans="1:39" x14ac:dyDescent="0.25">
      <c r="A405">
        <v>126</v>
      </c>
      <c r="B405" t="s">
        <v>55</v>
      </c>
      <c r="C405" t="str">
        <f t="shared" si="392"/>
        <v>Magmar</v>
      </c>
      <c r="D405" t="s">
        <v>554</v>
      </c>
      <c r="E405" t="str">
        <f t="shared" si="376"/>
        <v>fire</v>
      </c>
      <c r="F405" t="str">
        <f t="shared" si="377"/>
        <v/>
      </c>
      <c r="G405">
        <f t="shared" si="378"/>
        <v>65</v>
      </c>
      <c r="H405">
        <f t="shared" si="379"/>
        <v>95</v>
      </c>
      <c r="I405">
        <f t="shared" si="380"/>
        <v>57</v>
      </c>
      <c r="J405">
        <f t="shared" si="381"/>
        <v>100</v>
      </c>
      <c r="K405">
        <f t="shared" si="382"/>
        <v>85</v>
      </c>
      <c r="L405">
        <f t="shared" si="383"/>
        <v>93</v>
      </c>
      <c r="M405" t="str">
        <f t="shared" si="384"/>
        <v>Spitfire Pokémon</v>
      </c>
      <c r="O405" t="s">
        <v>549</v>
      </c>
      <c r="P405">
        <f t="shared" si="253"/>
        <v>9.67</v>
      </c>
      <c r="Q405">
        <f t="shared" si="254"/>
        <v>6.8599999999999994</v>
      </c>
      <c r="R405">
        <v>0</v>
      </c>
      <c r="S405">
        <v>2</v>
      </c>
      <c r="T405">
        <f t="shared" si="255"/>
        <v>10</v>
      </c>
      <c r="U405">
        <f t="shared" si="256"/>
        <v>9</v>
      </c>
      <c r="V405">
        <f t="shared" si="390"/>
        <v>19</v>
      </c>
      <c r="W405" t="str">
        <f t="shared" si="385"/>
        <v>fire</v>
      </c>
      <c r="X405" t="str">
        <f t="shared" si="386"/>
        <v>ground</v>
      </c>
      <c r="Y405" t="str">
        <f t="shared" si="387"/>
        <v>normal</v>
      </c>
      <c r="Z405" t="str">
        <f t="shared" si="388"/>
        <v>electric</v>
      </c>
      <c r="AC405" t="str">
        <f t="shared" si="389"/>
        <v>Flamethrower</v>
      </c>
      <c r="AD405" t="str">
        <f>VLOOKUP(AC405,moves!A:B,2,FALSE)</f>
        <v>fire</v>
      </c>
      <c r="AE405">
        <f>VLOOKUP(AC405,moves!A:D,4,FALSE)</f>
        <v>4</v>
      </c>
      <c r="AF405" t="str">
        <f>IF(VLOOKUP(AC405,moves!A:F,5,FALSE)=0, "", VLOOKUP(AC405,moves!A:F,5,FALSE))</f>
        <v/>
      </c>
      <c r="AG405" t="str">
        <f>VLOOKUP(AC405,moves!A:F,6,FALSE)</f>
        <v>If any [status_symbol]s are rolled: Inflict the [burned] status on the target.</v>
      </c>
      <c r="AH405">
        <v>0</v>
      </c>
      <c r="AI405">
        <v>0</v>
      </c>
      <c r="AJ405" t="s">
        <v>559</v>
      </c>
      <c r="AK405" t="s">
        <v>475</v>
      </c>
      <c r="AL405">
        <v>1</v>
      </c>
      <c r="AM405">
        <v>1</v>
      </c>
    </row>
    <row r="406" spans="1:39" x14ac:dyDescent="0.25">
      <c r="A406">
        <v>454</v>
      </c>
      <c r="B406" t="s">
        <v>208</v>
      </c>
      <c r="C406" t="str">
        <f t="shared" si="392"/>
        <v>Toxicroak</v>
      </c>
      <c r="D406" t="s">
        <v>554</v>
      </c>
      <c r="E406" t="str">
        <f t="shared" si="376"/>
        <v>poison</v>
      </c>
      <c r="F406" t="str">
        <f t="shared" si="377"/>
        <v>fighting</v>
      </c>
      <c r="G406">
        <f t="shared" si="378"/>
        <v>83</v>
      </c>
      <c r="H406">
        <f t="shared" si="379"/>
        <v>106</v>
      </c>
      <c r="I406">
        <f t="shared" si="380"/>
        <v>65</v>
      </c>
      <c r="J406">
        <f t="shared" si="381"/>
        <v>86</v>
      </c>
      <c r="K406">
        <f t="shared" si="382"/>
        <v>65</v>
      </c>
      <c r="L406">
        <f t="shared" si="383"/>
        <v>85</v>
      </c>
      <c r="M406" t="str">
        <f t="shared" si="384"/>
        <v>Toxic Mouth Pokémon</v>
      </c>
      <c r="O406" t="s">
        <v>549</v>
      </c>
      <c r="P406">
        <f t="shared" si="253"/>
        <v>9.5599999999999987</v>
      </c>
      <c r="Q406">
        <f t="shared" si="254"/>
        <v>7.2200000000000006</v>
      </c>
      <c r="R406">
        <v>0</v>
      </c>
      <c r="S406">
        <v>2</v>
      </c>
      <c r="T406">
        <f t="shared" si="255"/>
        <v>10</v>
      </c>
      <c r="U406">
        <f t="shared" si="256"/>
        <v>9</v>
      </c>
      <c r="V406">
        <f t="shared" si="390"/>
        <v>19</v>
      </c>
      <c r="W406" t="str">
        <f t="shared" si="385"/>
        <v>poison</v>
      </c>
      <c r="X406" t="str">
        <f t="shared" si="386"/>
        <v>fighting</v>
      </c>
      <c r="Y406" t="str">
        <f t="shared" si="387"/>
        <v>dark</v>
      </c>
      <c r="Z406" t="str">
        <f t="shared" si="388"/>
        <v>ground</v>
      </c>
      <c r="AC406" t="str">
        <f t="shared" si="389"/>
        <v>Poison Jab</v>
      </c>
      <c r="AD406" t="str">
        <f>VLOOKUP(AC406,moves!A:B,2,FALSE)</f>
        <v>poison</v>
      </c>
      <c r="AE406">
        <f>VLOOKUP(AC406,moves!A:D,4,FALSE)</f>
        <v>4</v>
      </c>
      <c r="AF406" t="str">
        <f>IF(VLOOKUP(AC406,moves!A:F,5,FALSE)=0, "", VLOOKUP(AC406,moves!A:F,5,FALSE))</f>
        <v/>
      </c>
      <c r="AG406" t="str">
        <f>VLOOKUP(AC406,moves!A:F,6,FALSE)</f>
        <v>If any [status_symbol]s are rolled: Inflict the [poisoned] status on the target.</v>
      </c>
      <c r="AH406">
        <v>0</v>
      </c>
      <c r="AI406">
        <v>0</v>
      </c>
      <c r="AJ406" t="s">
        <v>559</v>
      </c>
      <c r="AK406" t="s">
        <v>475</v>
      </c>
      <c r="AL406">
        <v>1</v>
      </c>
      <c r="AM406">
        <v>1</v>
      </c>
    </row>
    <row r="407" spans="1:39" x14ac:dyDescent="0.25">
      <c r="A407">
        <v>112</v>
      </c>
      <c r="B407" t="s">
        <v>50</v>
      </c>
      <c r="C407" t="str">
        <f t="shared" si="392"/>
        <v>Rhydon</v>
      </c>
      <c r="D407" t="s">
        <v>554</v>
      </c>
      <c r="E407" t="str">
        <f t="shared" si="376"/>
        <v>ground</v>
      </c>
      <c r="F407" t="str">
        <f t="shared" si="377"/>
        <v>rock</v>
      </c>
      <c r="G407">
        <f t="shared" si="378"/>
        <v>105</v>
      </c>
      <c r="H407">
        <f t="shared" si="379"/>
        <v>130</v>
      </c>
      <c r="I407">
        <f t="shared" si="380"/>
        <v>120</v>
      </c>
      <c r="J407">
        <f t="shared" si="381"/>
        <v>45</v>
      </c>
      <c r="K407">
        <f t="shared" si="382"/>
        <v>45</v>
      </c>
      <c r="L407">
        <f t="shared" si="383"/>
        <v>40</v>
      </c>
      <c r="M407" t="str">
        <f t="shared" si="384"/>
        <v>Drill Pokémon</v>
      </c>
      <c r="O407" t="s">
        <v>549</v>
      </c>
      <c r="P407">
        <f t="shared" si="253"/>
        <v>8.5500000000000007</v>
      </c>
      <c r="Q407">
        <f t="shared" si="254"/>
        <v>9.15</v>
      </c>
      <c r="R407">
        <v>0</v>
      </c>
      <c r="S407">
        <v>2</v>
      </c>
      <c r="T407">
        <f t="shared" si="255"/>
        <v>9</v>
      </c>
      <c r="U407">
        <f t="shared" si="256"/>
        <v>11</v>
      </c>
      <c r="V407">
        <f t="shared" si="390"/>
        <v>20</v>
      </c>
      <c r="W407" t="str">
        <f t="shared" si="385"/>
        <v>ground</v>
      </c>
      <c r="X407" t="str">
        <f t="shared" si="386"/>
        <v>rock</v>
      </c>
      <c r="Y407" t="str">
        <f t="shared" si="387"/>
        <v>bug</v>
      </c>
      <c r="Z407" t="str">
        <f t="shared" si="388"/>
        <v>fighting</v>
      </c>
      <c r="AC407" t="str">
        <f t="shared" si="389"/>
        <v>Earthquake</v>
      </c>
      <c r="AD407" t="str">
        <f>VLOOKUP(AC407,moves!A:B,2,FALSE)</f>
        <v>ground</v>
      </c>
      <c r="AE407">
        <f>VLOOKUP(AC407,moves!A:D,4,FALSE)</f>
        <v>5</v>
      </c>
      <c r="AF407" t="str">
        <f>IF(VLOOKUP(AC407,moves!A:F,5,FALSE)=0, "", VLOOKUP(AC407,moves!A:F,5,FALSE))</f>
        <v/>
      </c>
      <c r="AG407" t="str">
        <f>VLOOKUP(AC407,moves!A:F,6,FALSE)</f>
        <v>If 2 or more [status_symbol]s are rolled: Deal 2 damage to a Pokémon in the target party that is not the target.</v>
      </c>
      <c r="AH407">
        <v>0</v>
      </c>
      <c r="AI407">
        <v>0</v>
      </c>
      <c r="AJ407" t="s">
        <v>559</v>
      </c>
      <c r="AK407" t="s">
        <v>475</v>
      </c>
      <c r="AL407">
        <v>1</v>
      </c>
      <c r="AM407">
        <v>1</v>
      </c>
    </row>
    <row r="408" spans="1:39" s="31" customFormat="1" ht="15.75" thickBot="1" x14ac:dyDescent="0.3">
      <c r="A408" s="31" t="s">
        <v>988</v>
      </c>
      <c r="B408" s="31" t="s">
        <v>235</v>
      </c>
      <c r="C408" s="31" t="str">
        <f t="shared" si="392"/>
        <v>Azelf</v>
      </c>
      <c r="D408" s="31" t="s">
        <v>554</v>
      </c>
      <c r="E408" s="31" t="str">
        <f t="shared" si="376"/>
        <v>psychic</v>
      </c>
      <c r="F408" s="31" t="str">
        <f t="shared" si="377"/>
        <v>fire</v>
      </c>
      <c r="G408" s="31">
        <f t="shared" si="378"/>
        <v>75</v>
      </c>
      <c r="H408" s="31">
        <f t="shared" si="379"/>
        <v>125</v>
      </c>
      <c r="I408" s="31">
        <f t="shared" si="380"/>
        <v>70</v>
      </c>
      <c r="J408" s="31">
        <f t="shared" si="381"/>
        <v>125</v>
      </c>
      <c r="K408" s="31">
        <f t="shared" si="382"/>
        <v>70</v>
      </c>
      <c r="L408" s="31">
        <f t="shared" si="383"/>
        <v>115</v>
      </c>
      <c r="M408" s="31" t="str">
        <f t="shared" si="384"/>
        <v>Willpower Pokémon</v>
      </c>
      <c r="O408" s="31" t="s">
        <v>549</v>
      </c>
      <c r="P408" s="31">
        <f t="shared" si="253"/>
        <v>12.1</v>
      </c>
      <c r="Q408" s="31">
        <f t="shared" si="254"/>
        <v>7.2</v>
      </c>
      <c r="R408" s="31">
        <v>0</v>
      </c>
      <c r="S408" s="31">
        <v>1</v>
      </c>
      <c r="T408" s="31">
        <f t="shared" si="255"/>
        <v>12</v>
      </c>
      <c r="U408" s="31">
        <f t="shared" si="256"/>
        <v>8</v>
      </c>
      <c r="V408" s="31">
        <f t="shared" si="390"/>
        <v>20</v>
      </c>
      <c r="W408" s="31" t="str">
        <f t="shared" si="385"/>
        <v>psychic</v>
      </c>
      <c r="X408" s="31" t="str">
        <f t="shared" si="386"/>
        <v>fire</v>
      </c>
      <c r="Y408" s="31" t="str">
        <f t="shared" si="387"/>
        <v>fairy</v>
      </c>
      <c r="Z408" s="31" t="str">
        <f t="shared" si="388"/>
        <v>normal</v>
      </c>
      <c r="AC408" s="31" t="str">
        <f t="shared" si="389"/>
        <v>Blazing Valor</v>
      </c>
      <c r="AD408" s="31" t="str">
        <f>VLOOKUP(AC408,moves!A:B,2,FALSE)</f>
        <v>fire</v>
      </c>
      <c r="AE408" s="31">
        <f>VLOOKUP(AC408,moves!A:D,4,FALSE)</f>
        <v>4</v>
      </c>
      <c r="AF408" s="31" t="str">
        <f>IF(VLOOKUP(AC408,moves!A:F,5,FALSE)=0, "", VLOOKUP(AC408,moves!A:F,5,FALSE))</f>
        <v/>
      </c>
      <c r="AG408" s="31" t="str">
        <f>VLOOKUP(AC408,moves!A:F,6,FALSE)</f>
        <v>If any [status_symbol]s are rolled: Inflict the [burned] status on the target and another Pokémon in the target party.</v>
      </c>
      <c r="AH408" s="31">
        <v>0</v>
      </c>
      <c r="AI408" s="31">
        <v>0</v>
      </c>
      <c r="AJ408" s="31" t="s">
        <v>559</v>
      </c>
      <c r="AK408" s="31" t="s">
        <v>475</v>
      </c>
      <c r="AL408" s="31">
        <v>1</v>
      </c>
      <c r="AM408" s="31">
        <v>1</v>
      </c>
    </row>
    <row r="409" spans="1:39" x14ac:dyDescent="0.25">
      <c r="A409">
        <v>229</v>
      </c>
      <c r="B409" t="s">
        <v>100</v>
      </c>
      <c r="C409" t="str">
        <f t="shared" si="392"/>
        <v>Houndoom</v>
      </c>
      <c r="D409" t="s">
        <v>575</v>
      </c>
      <c r="E409" t="str">
        <f t="shared" si="376"/>
        <v>dark</v>
      </c>
      <c r="F409" t="str">
        <f t="shared" si="377"/>
        <v>fire</v>
      </c>
      <c r="G409">
        <f t="shared" si="378"/>
        <v>75</v>
      </c>
      <c r="H409">
        <f t="shared" si="379"/>
        <v>90</v>
      </c>
      <c r="I409">
        <f t="shared" si="380"/>
        <v>50</v>
      </c>
      <c r="J409">
        <f t="shared" si="381"/>
        <v>110</v>
      </c>
      <c r="K409">
        <f t="shared" si="382"/>
        <v>80</v>
      </c>
      <c r="L409">
        <f t="shared" si="383"/>
        <v>95</v>
      </c>
      <c r="M409" t="str">
        <f t="shared" si="384"/>
        <v>Dark Pokémon</v>
      </c>
      <c r="O409" t="s">
        <v>549</v>
      </c>
      <c r="P409">
        <f t="shared" si="253"/>
        <v>10.199999999999999</v>
      </c>
      <c r="Q409">
        <f t="shared" si="254"/>
        <v>6.9</v>
      </c>
      <c r="R409">
        <v>1</v>
      </c>
      <c r="S409">
        <v>3</v>
      </c>
      <c r="T409">
        <f t="shared" si="255"/>
        <v>11</v>
      </c>
      <c r="U409">
        <f t="shared" si="256"/>
        <v>10</v>
      </c>
      <c r="V409">
        <f t="shared" si="390"/>
        <v>21</v>
      </c>
      <c r="W409" t="str">
        <f t="shared" si="385"/>
        <v>dark</v>
      </c>
      <c r="X409" t="str">
        <f t="shared" si="386"/>
        <v>fire</v>
      </c>
      <c r="Y409" t="str">
        <f t="shared" si="387"/>
        <v>normal</v>
      </c>
      <c r="Z409" t="str">
        <f t="shared" si="388"/>
        <v>poison</v>
      </c>
      <c r="AC409" t="str">
        <f t="shared" si="389"/>
        <v>Flamethrower</v>
      </c>
      <c r="AD409" t="str">
        <f>VLOOKUP(AC409,moves!A:B,2,FALSE)</f>
        <v>fire</v>
      </c>
      <c r="AE409">
        <f>VLOOKUP(AC409,moves!A:D,4,FALSE)</f>
        <v>4</v>
      </c>
      <c r="AF409" t="str">
        <f>IF(VLOOKUP(AC409,moves!A:F,5,FALSE)=0, "", VLOOKUP(AC409,moves!A:F,5,FALSE))</f>
        <v/>
      </c>
      <c r="AG409" t="str">
        <f>VLOOKUP(AC409,moves!A:F,6,FALSE)</f>
        <v>If any [status_symbol]s are rolled: Inflict the [burned] status on the target.</v>
      </c>
      <c r="AH409">
        <v>0</v>
      </c>
      <c r="AI409">
        <v>0</v>
      </c>
      <c r="AJ409" t="s">
        <v>560</v>
      </c>
      <c r="AK409" t="s">
        <v>476</v>
      </c>
      <c r="AL409">
        <v>1</v>
      </c>
      <c r="AM409">
        <v>1</v>
      </c>
    </row>
    <row r="410" spans="1:39" x14ac:dyDescent="0.25">
      <c r="A410">
        <v>430</v>
      </c>
      <c r="B410" t="s">
        <v>184</v>
      </c>
      <c r="C410" t="str">
        <f t="shared" si="392"/>
        <v>Honchkrow</v>
      </c>
      <c r="D410" t="s">
        <v>575</v>
      </c>
      <c r="E410" t="str">
        <f t="shared" si="376"/>
        <v>dark</v>
      </c>
      <c r="F410" t="str">
        <f t="shared" si="377"/>
        <v>flying</v>
      </c>
      <c r="G410">
        <f t="shared" si="378"/>
        <v>100</v>
      </c>
      <c r="H410">
        <f t="shared" si="379"/>
        <v>125</v>
      </c>
      <c r="I410">
        <f t="shared" si="380"/>
        <v>52</v>
      </c>
      <c r="J410">
        <f t="shared" si="381"/>
        <v>105</v>
      </c>
      <c r="K410">
        <f t="shared" si="382"/>
        <v>52</v>
      </c>
      <c r="L410">
        <f t="shared" si="383"/>
        <v>71</v>
      </c>
      <c r="M410" t="str">
        <f t="shared" si="384"/>
        <v>Big Boss Pokémon</v>
      </c>
      <c r="O410" t="s">
        <v>549</v>
      </c>
      <c r="P410">
        <f t="shared" si="253"/>
        <v>10.14</v>
      </c>
      <c r="Q410">
        <f t="shared" si="254"/>
        <v>7.12</v>
      </c>
      <c r="R410">
        <v>1</v>
      </c>
      <c r="S410">
        <v>3</v>
      </c>
      <c r="T410">
        <f t="shared" si="255"/>
        <v>11</v>
      </c>
      <c r="U410">
        <f t="shared" si="256"/>
        <v>10</v>
      </c>
      <c r="V410">
        <f t="shared" si="390"/>
        <v>21</v>
      </c>
      <c r="W410" t="str">
        <f t="shared" si="385"/>
        <v>dark</v>
      </c>
      <c r="X410" t="str">
        <f t="shared" si="386"/>
        <v>flying</v>
      </c>
      <c r="Y410" t="str">
        <f t="shared" si="387"/>
        <v>fighting</v>
      </c>
      <c r="Z410" t="str">
        <f t="shared" si="388"/>
        <v>ghost</v>
      </c>
      <c r="AC410" t="str">
        <f t="shared" si="389"/>
        <v>Night Slash</v>
      </c>
      <c r="AD410" t="str">
        <f>VLOOKUP(AC410,moves!A:B,2,FALSE)</f>
        <v>dark</v>
      </c>
      <c r="AE410">
        <f>VLOOKUP(AC410,moves!A:D,4,FALSE)</f>
        <v>4</v>
      </c>
      <c r="AF410" t="str">
        <f>IF(VLOOKUP(AC410,moves!A:F,5,FALSE)=0, "", VLOOKUP(AC410,moves!A:F,5,FALSE))</f>
        <v/>
      </c>
      <c r="AG410" t="str">
        <f>VLOOKUP(AC410,moves!A:F,6,FALSE)</f>
        <v>[critical_hit]s deal +1 damage.</v>
      </c>
      <c r="AH410">
        <v>0</v>
      </c>
      <c r="AI410">
        <v>0</v>
      </c>
      <c r="AJ410" t="s">
        <v>560</v>
      </c>
      <c r="AK410" t="s">
        <v>476</v>
      </c>
      <c r="AL410">
        <v>1</v>
      </c>
      <c r="AM410">
        <v>1</v>
      </c>
    </row>
    <row r="411" spans="1:39" x14ac:dyDescent="0.25">
      <c r="A411">
        <v>461</v>
      </c>
      <c r="B411" t="s">
        <v>215</v>
      </c>
      <c r="C411" t="str">
        <f t="shared" si="392"/>
        <v>Weavile</v>
      </c>
      <c r="D411" t="s">
        <v>575</v>
      </c>
      <c r="E411" t="str">
        <f t="shared" si="376"/>
        <v>dark</v>
      </c>
      <c r="F411" t="str">
        <f t="shared" si="377"/>
        <v>ice</v>
      </c>
      <c r="G411">
        <f t="shared" si="378"/>
        <v>70</v>
      </c>
      <c r="H411">
        <f t="shared" si="379"/>
        <v>120</v>
      </c>
      <c r="I411">
        <f t="shared" si="380"/>
        <v>65</v>
      </c>
      <c r="J411">
        <f t="shared" si="381"/>
        <v>45</v>
      </c>
      <c r="K411">
        <f t="shared" si="382"/>
        <v>85</v>
      </c>
      <c r="L411">
        <f t="shared" si="383"/>
        <v>125</v>
      </c>
      <c r="M411" t="str">
        <f t="shared" si="384"/>
        <v>Sharp Claw Pokémon</v>
      </c>
      <c r="O411" t="s">
        <v>549</v>
      </c>
      <c r="P411">
        <f t="shared" si="253"/>
        <v>11.45</v>
      </c>
      <c r="Q411">
        <f t="shared" si="254"/>
        <v>7.3</v>
      </c>
      <c r="R411">
        <v>1</v>
      </c>
      <c r="S411">
        <v>3</v>
      </c>
      <c r="T411">
        <f t="shared" si="255"/>
        <v>12</v>
      </c>
      <c r="U411">
        <f t="shared" si="256"/>
        <v>10</v>
      </c>
      <c r="V411">
        <f t="shared" si="390"/>
        <v>22</v>
      </c>
      <c r="W411" t="str">
        <f t="shared" si="385"/>
        <v>dark</v>
      </c>
      <c r="X411" t="str">
        <f t="shared" si="386"/>
        <v>ice</v>
      </c>
      <c r="Y411" t="str">
        <f t="shared" si="387"/>
        <v>normal</v>
      </c>
      <c r="Z411" t="str">
        <f t="shared" si="388"/>
        <v>fighting</v>
      </c>
      <c r="AC411" t="str">
        <f t="shared" si="389"/>
        <v>Ice Punch</v>
      </c>
      <c r="AD411" t="str">
        <f>VLOOKUP(AC411,moves!A:B,2,FALSE)</f>
        <v>ice</v>
      </c>
      <c r="AE411">
        <f>VLOOKUP(AC411,moves!A:D,4,FALSE)</f>
        <v>4</v>
      </c>
      <c r="AF411" t="str">
        <f>IF(VLOOKUP(AC411,moves!A:F,5,FALSE)=0, "", VLOOKUP(AC411,moves!A:F,5,FALSE))</f>
        <v/>
      </c>
      <c r="AG411" t="str">
        <f>VLOOKUP(AC411,moves!A:F,6,FALSE)</f>
        <v>If any [status_symbol]s are rolled: Inflict the [frozen] status on the target.</v>
      </c>
      <c r="AH411">
        <v>0</v>
      </c>
      <c r="AI411">
        <v>0</v>
      </c>
      <c r="AJ411" t="s">
        <v>560</v>
      </c>
      <c r="AK411" t="s">
        <v>476</v>
      </c>
      <c r="AL411">
        <v>1</v>
      </c>
      <c r="AM411">
        <v>1</v>
      </c>
    </row>
    <row r="412" spans="1:39" x14ac:dyDescent="0.25">
      <c r="A412">
        <v>130</v>
      </c>
      <c r="B412" t="s">
        <v>57</v>
      </c>
      <c r="C412" t="str">
        <f t="shared" si="392"/>
        <v>Gyarados</v>
      </c>
      <c r="D412" t="s">
        <v>575</v>
      </c>
      <c r="E412" t="str">
        <f t="shared" si="376"/>
        <v>water</v>
      </c>
      <c r="F412" t="str">
        <f t="shared" si="377"/>
        <v>flying</v>
      </c>
      <c r="G412">
        <f t="shared" si="378"/>
        <v>95</v>
      </c>
      <c r="H412">
        <f t="shared" si="379"/>
        <v>125</v>
      </c>
      <c r="I412">
        <f t="shared" si="380"/>
        <v>79</v>
      </c>
      <c r="J412">
        <f t="shared" si="381"/>
        <v>60</v>
      </c>
      <c r="K412">
        <f t="shared" si="382"/>
        <v>100</v>
      </c>
      <c r="L412">
        <f t="shared" si="383"/>
        <v>81</v>
      </c>
      <c r="M412" t="str">
        <f t="shared" si="384"/>
        <v>Atrocious Pokémon</v>
      </c>
      <c r="O412" t="s">
        <v>549</v>
      </c>
      <c r="P412">
        <f t="shared" si="253"/>
        <v>10.09</v>
      </c>
      <c r="Q412">
        <f t="shared" si="254"/>
        <v>9.17</v>
      </c>
      <c r="R412">
        <v>1</v>
      </c>
      <c r="S412">
        <v>3</v>
      </c>
      <c r="T412">
        <f t="shared" si="255"/>
        <v>11</v>
      </c>
      <c r="U412">
        <f t="shared" si="256"/>
        <v>12</v>
      </c>
      <c r="V412">
        <f t="shared" si="390"/>
        <v>23</v>
      </c>
      <c r="W412" t="str">
        <f t="shared" si="385"/>
        <v>water</v>
      </c>
      <c r="X412" t="str">
        <f t="shared" si="386"/>
        <v>flying</v>
      </c>
      <c r="Y412" t="str">
        <f t="shared" si="387"/>
        <v>normal</v>
      </c>
      <c r="Z412" t="str">
        <f t="shared" si="388"/>
        <v>dragon</v>
      </c>
      <c r="AC412" t="str">
        <f t="shared" si="389"/>
        <v>Outrage</v>
      </c>
      <c r="AD412" t="str">
        <f>VLOOKUP(AC412,moves!A:B,2,FALSE)</f>
        <v>dragon</v>
      </c>
      <c r="AE412">
        <f>VLOOKUP(AC412,moves!A:D,4,FALSE)</f>
        <v>5</v>
      </c>
      <c r="AF412" t="str">
        <f>IF(VLOOKUP(AC412,moves!A:F,5,FALSE)=0, "", VLOOKUP(AC412,moves!A:F,5,FALSE))</f>
        <v/>
      </c>
      <c r="AG412" t="str">
        <f>VLOOKUP(AC412,moves!A:F,6,FALSE)</f>
        <v>Inflict the [confused] status on the user. Deal any damage taken by the user during this attack to the target as well.</v>
      </c>
      <c r="AH412">
        <v>0</v>
      </c>
      <c r="AI412">
        <v>0</v>
      </c>
      <c r="AJ412" t="s">
        <v>560</v>
      </c>
      <c r="AK412" t="s">
        <v>476</v>
      </c>
      <c r="AL412">
        <v>1</v>
      </c>
      <c r="AM412">
        <v>1</v>
      </c>
    </row>
    <row r="413" spans="1:39" x14ac:dyDescent="0.25">
      <c r="A413">
        <v>450</v>
      </c>
      <c r="B413" t="s">
        <v>204</v>
      </c>
      <c r="C413" t="str">
        <f t="shared" si="392"/>
        <v>Hippowdon</v>
      </c>
      <c r="D413" t="s">
        <v>575</v>
      </c>
      <c r="E413" t="str">
        <f t="shared" si="376"/>
        <v>ground</v>
      </c>
      <c r="F413" t="str">
        <f t="shared" si="377"/>
        <v/>
      </c>
      <c r="G413">
        <f t="shared" si="378"/>
        <v>108</v>
      </c>
      <c r="H413">
        <f t="shared" si="379"/>
        <v>112</v>
      </c>
      <c r="I413">
        <f t="shared" si="380"/>
        <v>118</v>
      </c>
      <c r="J413">
        <f t="shared" si="381"/>
        <v>68</v>
      </c>
      <c r="K413">
        <f t="shared" si="382"/>
        <v>72</v>
      </c>
      <c r="L413">
        <f t="shared" si="383"/>
        <v>47</v>
      </c>
      <c r="M413" t="str">
        <f t="shared" si="384"/>
        <v>Heavyweight Pokémon</v>
      </c>
      <c r="O413" t="s">
        <v>549</v>
      </c>
      <c r="P413">
        <f t="shared" si="253"/>
        <v>8.16</v>
      </c>
      <c r="Q413">
        <f t="shared" si="254"/>
        <v>10.02</v>
      </c>
      <c r="R413">
        <v>1</v>
      </c>
      <c r="S413">
        <v>3</v>
      </c>
      <c r="T413">
        <f t="shared" si="255"/>
        <v>9</v>
      </c>
      <c r="U413">
        <f t="shared" si="256"/>
        <v>13</v>
      </c>
      <c r="V413">
        <f t="shared" si="390"/>
        <v>22</v>
      </c>
      <c r="W413" t="str">
        <f t="shared" si="385"/>
        <v>ground</v>
      </c>
      <c r="X413" t="str">
        <f t="shared" si="386"/>
        <v>normal</v>
      </c>
      <c r="Y413" t="str">
        <f t="shared" si="387"/>
        <v>dark</v>
      </c>
      <c r="Z413" t="str">
        <f t="shared" si="388"/>
        <v>water</v>
      </c>
      <c r="AC413" t="str">
        <f t="shared" si="389"/>
        <v>Fissure</v>
      </c>
      <c r="AD413" t="str">
        <f>VLOOKUP(AC413,moves!A:B,2,FALSE)</f>
        <v>ground</v>
      </c>
      <c r="AE413">
        <f>VLOOKUP(AC413,moves!A:D,4,FALSE)</f>
        <v>6</v>
      </c>
      <c r="AF413" t="str">
        <f>IF(VLOOKUP(AC413,moves!A:F,5,FALSE)=0, "", VLOOKUP(AC413,moves!A:F,5,FALSE))</f>
        <v/>
      </c>
      <c r="AG413" t="str">
        <f>VLOOKUP(AC413,moves!A:F,6,FALSE)</f>
        <v>If the target has 3 or less Health remaining after this attack, the target faints. [status_symbol]s deal -2 damage.</v>
      </c>
      <c r="AH413">
        <v>0</v>
      </c>
      <c r="AI413">
        <v>0</v>
      </c>
      <c r="AJ413" t="s">
        <v>560</v>
      </c>
      <c r="AK413" t="s">
        <v>476</v>
      </c>
      <c r="AL413">
        <v>1</v>
      </c>
      <c r="AM413">
        <v>1</v>
      </c>
    </row>
    <row r="414" spans="1:39" x14ac:dyDescent="0.25">
      <c r="A414">
        <v>476</v>
      </c>
      <c r="B414" t="s">
        <v>229</v>
      </c>
      <c r="C414" t="str">
        <f t="shared" si="392"/>
        <v>Probopass</v>
      </c>
      <c r="D414" t="s">
        <v>575</v>
      </c>
      <c r="E414" t="str">
        <f t="shared" si="376"/>
        <v>rock</v>
      </c>
      <c r="F414" t="str">
        <f t="shared" si="377"/>
        <v>steel</v>
      </c>
      <c r="G414">
        <f t="shared" si="378"/>
        <v>60</v>
      </c>
      <c r="H414">
        <f t="shared" si="379"/>
        <v>55</v>
      </c>
      <c r="I414">
        <f t="shared" si="380"/>
        <v>145</v>
      </c>
      <c r="J414">
        <f t="shared" si="381"/>
        <v>75</v>
      </c>
      <c r="K414">
        <f t="shared" si="382"/>
        <v>150</v>
      </c>
      <c r="L414">
        <f t="shared" si="383"/>
        <v>40</v>
      </c>
      <c r="M414" t="str">
        <f t="shared" si="384"/>
        <v>Compass Pokémon</v>
      </c>
      <c r="O414" t="s">
        <v>549</v>
      </c>
      <c r="P414">
        <f t="shared" si="253"/>
        <v>5.9</v>
      </c>
      <c r="Q414">
        <f t="shared" si="254"/>
        <v>11.25</v>
      </c>
      <c r="R414">
        <v>1</v>
      </c>
      <c r="S414">
        <v>3</v>
      </c>
      <c r="T414">
        <f t="shared" si="255"/>
        <v>7</v>
      </c>
      <c r="U414">
        <f t="shared" si="256"/>
        <v>14</v>
      </c>
      <c r="V414">
        <f t="shared" si="390"/>
        <v>21</v>
      </c>
      <c r="W414" t="str">
        <f t="shared" si="385"/>
        <v>rock</v>
      </c>
      <c r="X414" t="str">
        <f t="shared" si="386"/>
        <v>steel</v>
      </c>
      <c r="Y414" t="str">
        <f t="shared" si="387"/>
        <v>electric</v>
      </c>
      <c r="Z414" t="str">
        <f t="shared" si="388"/>
        <v>fighting</v>
      </c>
      <c r="AC414" t="str">
        <f t="shared" si="389"/>
        <v>Zap Cannon</v>
      </c>
      <c r="AD414" t="str">
        <f>VLOOKUP(AC414,moves!A:B,2,FALSE)</f>
        <v>electric</v>
      </c>
      <c r="AE414">
        <f>VLOOKUP(AC414,moves!A:D,4,FALSE)</f>
        <v>5</v>
      </c>
      <c r="AF414" t="str">
        <f>IF(VLOOKUP(AC414,moves!A:F,5,FALSE)=0, "", VLOOKUP(AC414,moves!A:F,5,FALSE))</f>
        <v/>
      </c>
      <c r="AG414" t="str">
        <f>VLOOKUP(AC414,moves!A:F,6,FALSE)</f>
        <v>Inflict the [paralysed] status on the target. [status_symbol]s deal -1 damage.</v>
      </c>
      <c r="AH414">
        <v>0</v>
      </c>
      <c r="AI414">
        <v>0</v>
      </c>
      <c r="AJ414" t="s">
        <v>560</v>
      </c>
      <c r="AK414" t="s">
        <v>476</v>
      </c>
      <c r="AL414">
        <v>1</v>
      </c>
      <c r="AM414">
        <v>1</v>
      </c>
    </row>
    <row r="415" spans="1:39" x14ac:dyDescent="0.25">
      <c r="A415">
        <v>474</v>
      </c>
      <c r="B415" t="s">
        <v>459</v>
      </c>
      <c r="C415" t="str">
        <f t="shared" si="392"/>
        <v>Porygon-Z</v>
      </c>
      <c r="D415" t="s">
        <v>575</v>
      </c>
      <c r="E415" t="str">
        <f t="shared" si="376"/>
        <v>normal</v>
      </c>
      <c r="F415" t="str">
        <f t="shared" si="377"/>
        <v/>
      </c>
      <c r="G415">
        <f t="shared" si="378"/>
        <v>85</v>
      </c>
      <c r="H415">
        <f t="shared" si="379"/>
        <v>80</v>
      </c>
      <c r="I415">
        <f t="shared" si="380"/>
        <v>70</v>
      </c>
      <c r="J415">
        <f t="shared" si="381"/>
        <v>135</v>
      </c>
      <c r="K415">
        <f t="shared" si="382"/>
        <v>75</v>
      </c>
      <c r="L415">
        <f t="shared" si="383"/>
        <v>90</v>
      </c>
      <c r="M415" t="str">
        <f t="shared" si="384"/>
        <v>Virtual Pokémon</v>
      </c>
      <c r="O415" t="s">
        <v>549</v>
      </c>
      <c r="P415">
        <f t="shared" si="253"/>
        <v>11.15</v>
      </c>
      <c r="Q415">
        <f t="shared" si="254"/>
        <v>7.75</v>
      </c>
      <c r="R415">
        <v>1</v>
      </c>
      <c r="S415">
        <v>3</v>
      </c>
      <c r="T415">
        <f t="shared" si="255"/>
        <v>12</v>
      </c>
      <c r="U415">
        <f t="shared" si="256"/>
        <v>11</v>
      </c>
      <c r="V415">
        <f t="shared" si="390"/>
        <v>23</v>
      </c>
      <c r="W415" t="str">
        <f t="shared" si="385"/>
        <v>normal</v>
      </c>
      <c r="X415" t="str">
        <f t="shared" si="386"/>
        <v>electric</v>
      </c>
      <c r="Y415" t="str">
        <f t="shared" si="387"/>
        <v>ice</v>
      </c>
      <c r="Z415" t="str">
        <f t="shared" si="388"/>
        <v>psychic</v>
      </c>
      <c r="AC415" t="str">
        <f t="shared" si="389"/>
        <v>Hyper Beam</v>
      </c>
      <c r="AD415" t="str">
        <f>VLOOKUP(AC415,moves!A:B,2,FALSE)</f>
        <v>normal</v>
      </c>
      <c r="AE415">
        <f>VLOOKUP(AC415,moves!A:D,4,FALSE)</f>
        <v>6</v>
      </c>
      <c r="AF415" t="str">
        <f>IF(VLOOKUP(AC415,moves!A:F,5,FALSE)=0, "", VLOOKUP(AC415,moves!A:F,5,FALSE))</f>
        <v>surge</v>
      </c>
      <c r="AG415" t="str">
        <f>VLOOKUP(AC415,moves!A:F,6,FALSE)</f>
        <v>Increase the Battle Fatigue of the user by 1.</v>
      </c>
      <c r="AH415">
        <v>0</v>
      </c>
      <c r="AI415">
        <v>0</v>
      </c>
      <c r="AJ415" t="s">
        <v>560</v>
      </c>
      <c r="AK415" t="s">
        <v>476</v>
      </c>
      <c r="AL415">
        <v>1</v>
      </c>
      <c r="AM415">
        <v>1</v>
      </c>
    </row>
  </sheetData>
  <phoneticPr fontId="18" type="noConversion"/>
  <conditionalFormatting sqref="N1:N1048576">
    <cfRule type="cellIs" dxfId="30" priority="1" operator="equal">
      <formula>"Ruins"</formula>
    </cfRule>
    <cfRule type="cellIs" dxfId="29" priority="8" operator="equal">
      <formula>"Ocean"</formula>
    </cfRule>
    <cfRule type="cellIs" dxfId="28" priority="9" operator="equal">
      <formula>"Forest"</formula>
    </cfRule>
    <cfRule type="cellIs" dxfId="27" priority="10" operator="equal">
      <formula>"Mountain"</formula>
    </cfRule>
    <cfRule type="cellIs" dxfId="26" priority="11" operator="equal">
      <formula>"Plains"</formula>
    </cfRule>
  </conditionalFormatting>
  <conditionalFormatting sqref="O1:O1048576">
    <cfRule type="cellIs" dxfId="25" priority="2" operator="equal">
      <formula>"Space"</formula>
    </cfRule>
    <cfRule type="cellIs" dxfId="24" priority="3" operator="equal">
      <formula>"Alpha"</formula>
    </cfRule>
    <cfRule type="cellIs" dxfId="23" priority="4" operator="equal">
      <formula>"Noble"</formula>
    </cfRule>
    <cfRule type="cellIs" dxfId="22" priority="5" operator="equal">
      <formula>"Cold"</formula>
    </cfRule>
    <cfRule type="cellIs" dxfId="21" priority="6" operator="equal">
      <formula>"Temperate"</formula>
    </cfRule>
    <cfRule type="cellIs" dxfId="20" priority="7" operator="equal">
      <formula>"Warm"</formula>
    </cfRule>
  </conditionalFormatting>
  <conditionalFormatting sqref="P2:Q415">
    <cfRule type="cellIs" dxfId="19" priority="68" operator="between">
      <formula>_xlfn.FLOOR.MATH(P2)+0.4</formula>
      <formula>_xlfn.FLOOR.MATH(P2)+0.6</formula>
    </cfRule>
  </conditionalFormatting>
  <conditionalFormatting sqref="R2:S1048576">
    <cfRule type="cellIs" dxfId="18" priority="20" operator="lessThan">
      <formula>0</formula>
    </cfRule>
    <cfRule type="cellIs" dxfId="17" priority="21" operator="greaterThan">
      <formula>0</formula>
    </cfRule>
    <cfRule type="cellIs" dxfId="16" priority="22" operator="equal">
      <formula>0</formula>
    </cfRule>
  </conditionalFormatting>
  <conditionalFormatting sqref="AH1:AH1048576">
    <cfRule type="cellIs" dxfId="15" priority="19" operator="equal">
      <formula>1</formula>
    </cfRule>
  </conditionalFormatting>
  <conditionalFormatting sqref="AH1:AI1048576">
    <cfRule type="cellIs" dxfId="14" priority="17" operator="equal">
      <formula>0</formula>
    </cfRule>
  </conditionalFormatting>
  <conditionalFormatting sqref="AI1:AI1048576">
    <cfRule type="cellIs" dxfId="13" priority="18" operator="equal">
      <formula>1</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1F625C-F9FA-42D6-A0B3-21764E3166C5}">
  <dimension ref="A1:J263"/>
  <sheetViews>
    <sheetView tabSelected="1" topLeftCell="A130" zoomScaleNormal="100" workbookViewId="0">
      <selection activeCell="F262" sqref="F262"/>
    </sheetView>
  </sheetViews>
  <sheetFormatPr defaultRowHeight="15" x14ac:dyDescent="0.25"/>
  <cols>
    <col min="1" max="1" width="21.85546875" bestFit="1" customWidth="1"/>
    <col min="2" max="2" width="8.42578125" bestFit="1" customWidth="1"/>
    <col min="3" max="3" width="9" bestFit="1" customWidth="1"/>
    <col min="4" max="4" width="8" bestFit="1" customWidth="1"/>
    <col min="5" max="5" width="8" style="1" customWidth="1"/>
    <col min="6" max="6" width="115.85546875" customWidth="1"/>
    <col min="7" max="7" width="6" bestFit="1" customWidth="1"/>
    <col min="8" max="8" width="9.5703125" bestFit="1" customWidth="1"/>
    <col min="9" max="9" width="9.85546875" bestFit="1" customWidth="1"/>
    <col min="10" max="10" width="8.42578125" bestFit="1" customWidth="1"/>
  </cols>
  <sheetData>
    <row r="1" spans="1:10" x14ac:dyDescent="0.25">
      <c r="A1" s="2" t="s">
        <v>509</v>
      </c>
      <c r="B1" s="2" t="s">
        <v>942</v>
      </c>
      <c r="C1" s="2" t="s">
        <v>969</v>
      </c>
      <c r="D1" s="2" t="s">
        <v>943</v>
      </c>
      <c r="E1" s="3" t="s">
        <v>1214</v>
      </c>
      <c r="F1" s="2" t="s">
        <v>968</v>
      </c>
      <c r="G1" s="2" t="s">
        <v>538</v>
      </c>
      <c r="H1" s="2" t="s">
        <v>573</v>
      </c>
      <c r="I1" s="2" t="s">
        <v>574</v>
      </c>
      <c r="J1" s="2" t="s">
        <v>578</v>
      </c>
    </row>
    <row r="2" spans="1:10" x14ac:dyDescent="0.25">
      <c r="A2" t="s">
        <v>831</v>
      </c>
      <c r="B2" s="15" t="s">
        <v>7</v>
      </c>
      <c r="C2">
        <v>50</v>
      </c>
      <c r="D2">
        <f t="shared" ref="D2:D52" si="0">IF(NOT(ISBLANK(C2)), IF(ISNUMBER(C2), ROUND((C2 - 5)/20, 0), C2), "")</f>
        <v>2</v>
      </c>
      <c r="F2" t="s">
        <v>1272</v>
      </c>
      <c r="G2" cm="1">
        <f t="array" ref="G2">COUNT(IF(($A2=pokemon!$AC$2:$AC$415)*(pokemon!$D$2:$D$415 &lt;&gt; "Noble Form")*(ISBLANK(pokemon!$AK$2:$AK$415)), pokemon!$V$2:$V$415))</f>
        <v>2</v>
      </c>
      <c r="H2" cm="1">
        <f t="array" ref="H2">MIN(IF(($A2=pokemon!$AC$2:$AC$415)*(pokemon!$D$2:$D$415 &lt;&gt; "Noble Form")*(ISBLANK(pokemon!$AK$2:$AK$415)), pokemon!$V$2:$V$415))</f>
        <v>7</v>
      </c>
      <c r="I2" cm="1">
        <f t="array" ref="I2">MAX(IF(($A2=pokemon!$AC$2:$AC$415)*(pokemon!$D$2:$D$415 &lt;&gt; "Noble Form")*(ISBLANK(pokemon!$AK$2:$AK$415)), pokemon!$V$2:$V$415))</f>
        <v>12</v>
      </c>
      <c r="J2">
        <f t="shared" ref="J2:J74" si="1">I2-H2</f>
        <v>5</v>
      </c>
    </row>
    <row r="3" spans="1:10" x14ac:dyDescent="0.25">
      <c r="A3" t="s">
        <v>513</v>
      </c>
      <c r="B3" s="15" t="s">
        <v>7</v>
      </c>
      <c r="C3">
        <v>60</v>
      </c>
      <c r="D3">
        <f t="shared" si="0"/>
        <v>3</v>
      </c>
      <c r="F3" t="s">
        <v>1238</v>
      </c>
      <c r="G3" cm="1">
        <f t="array" ref="G3">COUNT(IF(($A3=pokemon!$AC$2:$AC$415)*(pokemon!$D$2:$D$415 &lt;&gt; "Noble Form")*(ISBLANK(pokemon!$AK$2:$AK$415)), pokemon!$V$2:$V$415))</f>
        <v>3</v>
      </c>
      <c r="H3" cm="1">
        <f t="array" ref="H3">MIN(IF(($A3=pokemon!$AC$2:$AC$415)*(pokemon!$D$2:$D$415 &lt;&gt; "Noble Form")*(ISBLANK(pokemon!$AK$2:$AK$415)), pokemon!$V$2:$V$415))</f>
        <v>7</v>
      </c>
      <c r="I3" cm="1">
        <f t="array" ref="I3">MAX(IF(($A3=pokemon!$AC$2:$AC$415)*(pokemon!$D$2:$D$415 &lt;&gt; "Noble Form")*(ISBLANK(pokemon!$AK$2:$AK$415)), pokemon!$V$2:$V$415))</f>
        <v>11</v>
      </c>
      <c r="J3">
        <f t="shared" si="1"/>
        <v>4</v>
      </c>
    </row>
    <row r="4" spans="1:10" x14ac:dyDescent="0.25">
      <c r="A4" t="s">
        <v>701</v>
      </c>
      <c r="B4" s="15" t="s">
        <v>7</v>
      </c>
      <c r="C4">
        <v>60</v>
      </c>
      <c r="D4">
        <f t="shared" si="0"/>
        <v>3</v>
      </c>
      <c r="F4" t="s">
        <v>1456</v>
      </c>
      <c r="G4" cm="1">
        <f t="array" ref="G4">COUNT(IF(($A4=pokemon!$AC$2:$AC$415)*(pokemon!$D$2:$D$415 &lt;&gt; "Noble Form")*(ISBLANK(pokemon!$AK$2:$AK$415)), pokemon!$V$2:$V$415))</f>
        <v>1</v>
      </c>
      <c r="H4" cm="1">
        <f t="array" ref="H4">MIN(IF(($A4=pokemon!$AC$2:$AC$415)*(pokemon!$D$2:$D$415 &lt;&gt; "Noble Form")*(ISBLANK(pokemon!$AK$2:$AK$415)), pokemon!$V$2:$V$415))</f>
        <v>28</v>
      </c>
      <c r="I4" cm="1">
        <f t="array" ref="I4">MAX(IF(($A4=pokemon!$AC$2:$AC$415)*(pokemon!$D$2:$D$415 &lt;&gt; "Noble Form")*(ISBLANK(pokemon!$AK$2:$AK$415)), pokemon!$V$2:$V$415))</f>
        <v>28</v>
      </c>
      <c r="J4">
        <f t="shared" si="1"/>
        <v>0</v>
      </c>
    </row>
    <row r="5" spans="1:10" x14ac:dyDescent="0.25">
      <c r="A5" t="s">
        <v>482</v>
      </c>
      <c r="B5" s="15" t="s">
        <v>7</v>
      </c>
      <c r="C5">
        <v>70</v>
      </c>
      <c r="D5">
        <f t="shared" si="0"/>
        <v>3</v>
      </c>
      <c r="E5" s="1" t="s">
        <v>1227</v>
      </c>
      <c r="F5" t="s">
        <v>1417</v>
      </c>
      <c r="G5" cm="1">
        <f t="array" ref="G5">COUNT(IF(($A5=pokemon!$AC$2:$AC$415)*(pokemon!$D$2:$D$415 &lt;&gt; "Noble Form")*(ISBLANK(pokemon!$AK$2:$AK$415)), pokemon!$V$2:$V$415))</f>
        <v>1</v>
      </c>
      <c r="H5" cm="1">
        <f t="array" ref="H5">MIN(IF(($A5=pokemon!$AC$2:$AC$415)*(pokemon!$D$2:$D$415 &lt;&gt; "Noble Form")*(ISBLANK(pokemon!$AK$2:$AK$415)), pokemon!$V$2:$V$415))</f>
        <v>11</v>
      </c>
      <c r="I5" cm="1">
        <f t="array" ref="I5">MAX(IF(($A5=pokemon!$AC$2:$AC$415)*(pokemon!$D$2:$D$415 &lt;&gt; "Noble Form")*(ISBLANK(pokemon!$AK$2:$AK$415)), pokemon!$V$2:$V$415))</f>
        <v>11</v>
      </c>
      <c r="J5">
        <f t="shared" si="1"/>
        <v>0</v>
      </c>
    </row>
    <row r="6" spans="1:10" x14ac:dyDescent="0.25">
      <c r="A6" t="s">
        <v>1080</v>
      </c>
      <c r="B6" s="15" t="s">
        <v>7</v>
      </c>
      <c r="C6">
        <v>60</v>
      </c>
      <c r="D6">
        <f t="shared" si="0"/>
        <v>3</v>
      </c>
      <c r="E6" s="1" t="s">
        <v>1227</v>
      </c>
      <c r="F6" t="s">
        <v>1261</v>
      </c>
      <c r="G6" cm="1">
        <f t="array" ref="G6">COUNT(IF(($A6=pokemon!$AC$2:$AC$415)*(pokemon!$D$2:$D$415 &lt;&gt; "Noble Form")*(ISBLANK(pokemon!$AK$2:$AK$415)), pokemon!$V$2:$V$415))</f>
        <v>1</v>
      </c>
      <c r="H6" cm="1">
        <f t="array" ref="H6">MIN(IF(($A6=pokemon!$AC$2:$AC$415)*(pokemon!$D$2:$D$415 &lt;&gt; "Noble Form")*(ISBLANK(pokemon!$AK$2:$AK$415)), pokemon!$V$2:$V$415))</f>
        <v>14</v>
      </c>
      <c r="I6" cm="1">
        <f t="array" ref="I6">MAX(IF(($A6=pokemon!$AC$2:$AC$415)*(pokemon!$D$2:$D$415 &lt;&gt; "Noble Form")*(ISBLANK(pokemon!$AK$2:$AK$415)), pokemon!$V$2:$V$415))</f>
        <v>14</v>
      </c>
      <c r="J6">
        <f t="shared" si="1"/>
        <v>0</v>
      </c>
    </row>
    <row r="7" spans="1:10" x14ac:dyDescent="0.25">
      <c r="A7" t="s">
        <v>640</v>
      </c>
      <c r="B7" s="15" t="s">
        <v>7</v>
      </c>
      <c r="C7">
        <v>80</v>
      </c>
      <c r="D7">
        <f t="shared" si="0"/>
        <v>4</v>
      </c>
      <c r="F7" t="s">
        <v>1404</v>
      </c>
      <c r="G7" cm="1">
        <f t="array" ref="G7">COUNT(IF(($A7=pokemon!$AC$2:$AC$415)*(pokemon!$D$2:$D$415 &lt;&gt; "Noble Form")*(ISBLANK(pokemon!$AK$2:$AK$415)), pokemon!$V$2:$V$415))</f>
        <v>2</v>
      </c>
      <c r="H7" cm="1">
        <f t="array" ref="H7">MIN(IF(($A7=pokemon!$AC$2:$AC$415)*(pokemon!$D$2:$D$415 &lt;&gt; "Noble Form")*(ISBLANK(pokemon!$AK$2:$AK$415)), pokemon!$V$2:$V$415))</f>
        <v>14</v>
      </c>
      <c r="I7" cm="1">
        <f t="array" ref="I7">MAX(IF(($A7=pokemon!$AC$2:$AC$415)*(pokemon!$D$2:$D$415 &lt;&gt; "Noble Form")*(ISBLANK(pokemon!$AK$2:$AK$415)), pokemon!$V$2:$V$415))</f>
        <v>18</v>
      </c>
      <c r="J7">
        <f t="shared" si="1"/>
        <v>4</v>
      </c>
    </row>
    <row r="8" spans="1:10" x14ac:dyDescent="0.25">
      <c r="A8" t="s">
        <v>596</v>
      </c>
      <c r="B8" s="15" t="s">
        <v>7</v>
      </c>
      <c r="C8">
        <v>80</v>
      </c>
      <c r="D8">
        <f t="shared" si="0"/>
        <v>4</v>
      </c>
      <c r="F8" t="s">
        <v>1428</v>
      </c>
      <c r="G8" cm="1">
        <f t="array" ref="G8">COUNT(IF(($A8=pokemon!$AC$2:$AC$415)*(pokemon!$D$2:$D$415 &lt;&gt; "Noble Form")*(ISBLANK(pokemon!$AK$2:$AK$415)), pokemon!$V$2:$V$415))</f>
        <v>2</v>
      </c>
      <c r="H8" cm="1">
        <f t="array" ref="H8">MIN(IF(($A8=pokemon!$AC$2:$AC$415)*(pokemon!$D$2:$D$415 &lt;&gt; "Noble Form")*(ISBLANK(pokemon!$AK$2:$AK$415)), pokemon!$V$2:$V$415))</f>
        <v>13</v>
      </c>
      <c r="I8" cm="1">
        <f t="array" ref="I8">MAX(IF(($A8=pokemon!$AC$2:$AC$415)*(pokemon!$D$2:$D$415 &lt;&gt; "Noble Form")*(ISBLANK(pokemon!$AK$2:$AK$415)), pokemon!$V$2:$V$415))</f>
        <v>18</v>
      </c>
      <c r="J8">
        <f t="shared" si="1"/>
        <v>5</v>
      </c>
    </row>
    <row r="9" spans="1:10" x14ac:dyDescent="0.25">
      <c r="A9" t="s">
        <v>515</v>
      </c>
      <c r="B9" s="15" t="s">
        <v>7</v>
      </c>
      <c r="C9">
        <v>80</v>
      </c>
      <c r="D9">
        <f t="shared" si="0"/>
        <v>4</v>
      </c>
      <c r="E9" s="1" t="s">
        <v>1241</v>
      </c>
      <c r="F9" t="s">
        <v>1474</v>
      </c>
      <c r="G9" cm="1">
        <f t="array" ref="G9">COUNT(IF(($A9=pokemon!$AC$2:$AC$415)*(pokemon!$D$2:$D$415 &lt;&gt; "Noble Form")*(ISBLANK(pokemon!$AK$2:$AK$415)), pokemon!$V$2:$V$415))</f>
        <v>1</v>
      </c>
      <c r="H9" cm="1">
        <f t="array" ref="H9">MIN(IF(($A9=pokemon!$AC$2:$AC$415)*(pokemon!$D$2:$D$415 &lt;&gt; "Noble Form")*(ISBLANK(pokemon!$AK$2:$AK$415)), pokemon!$V$2:$V$415))</f>
        <v>15</v>
      </c>
      <c r="I9" cm="1">
        <f t="array" ref="I9">MAX(IF(($A9=pokemon!$AC$2:$AC$415)*(pokemon!$D$2:$D$415 &lt;&gt; "Noble Form")*(ISBLANK(pokemon!$AK$2:$AK$415)), pokemon!$V$2:$V$415))</f>
        <v>15</v>
      </c>
      <c r="J9">
        <f t="shared" si="1"/>
        <v>0</v>
      </c>
    </row>
    <row r="10" spans="1:10" x14ac:dyDescent="0.25">
      <c r="A10" t="s">
        <v>497</v>
      </c>
      <c r="B10" s="15" t="s">
        <v>7</v>
      </c>
      <c r="C10">
        <v>100</v>
      </c>
      <c r="D10">
        <f t="shared" si="0"/>
        <v>5</v>
      </c>
      <c r="F10" t="s">
        <v>1405</v>
      </c>
      <c r="G10" cm="1">
        <f t="array" ref="G10">COUNT(IF(($A10=pokemon!$AC$2:$AC$415)*(pokemon!$D$2:$D$415 &lt;&gt; "Noble Form")*(ISBLANK(pokemon!$AK$2:$AK$415)), pokemon!$V$2:$V$415))</f>
        <v>3</v>
      </c>
      <c r="H10" cm="1">
        <f t="array" ref="H10">MIN(IF(($A10=pokemon!$AC$2:$AC$415)*(pokemon!$D$2:$D$415 &lt;&gt; "Noble Form")*(ISBLANK(pokemon!$AK$2:$AK$415)), pokemon!$V$2:$V$415))</f>
        <v>16</v>
      </c>
      <c r="I10" cm="1">
        <f t="array" ref="I10">MAX(IF(($A10=pokemon!$AC$2:$AC$415)*(pokemon!$D$2:$D$415 &lt;&gt; "Noble Form")*(ISBLANK(pokemon!$AK$2:$AK$415)), pokemon!$V$2:$V$415))</f>
        <v>18</v>
      </c>
      <c r="J10">
        <f t="shared" si="1"/>
        <v>2</v>
      </c>
    </row>
    <row r="11" spans="1:10" x14ac:dyDescent="0.25">
      <c r="A11" t="s">
        <v>1192</v>
      </c>
      <c r="B11" s="15" t="s">
        <v>7</v>
      </c>
      <c r="C11">
        <v>0</v>
      </c>
      <c r="D11">
        <f t="shared" si="0"/>
        <v>0</v>
      </c>
      <c r="F11" t="s">
        <v>1262</v>
      </c>
      <c r="G11" cm="1">
        <f t="array" ref="G11">COUNT(IF(($A11=pokemon!$AC$2:$AC$415)*(pokemon!$D$2:$D$415 &lt;&gt; "Noble Form")*(ISBLANK(pokemon!$AK$2:$AK$415)), pokemon!$V$2:$V$415))</f>
        <v>1</v>
      </c>
      <c r="H11" cm="1">
        <f t="array" ref="H11">MIN(IF(($A11=pokemon!$AC$2:$AC$415)*(pokemon!$D$2:$D$415 &lt;&gt; "Noble Form")*(ISBLANK(pokemon!$AK$2:$AK$415)), pokemon!$V$2:$V$415))</f>
        <v>21</v>
      </c>
      <c r="I11" cm="1">
        <f t="array" ref="I11">MAX(IF(($A11=pokemon!$AC$2:$AC$415)*(pokemon!$D$2:$D$415 &lt;&gt; "Noble Form")*(ISBLANK(pokemon!$AK$2:$AK$415)), pokemon!$V$2:$V$415))</f>
        <v>21</v>
      </c>
      <c r="J11">
        <f>I11-H11</f>
        <v>0</v>
      </c>
    </row>
    <row r="12" spans="1:10" x14ac:dyDescent="0.25">
      <c r="A12" t="s">
        <v>974</v>
      </c>
      <c r="B12" s="15" t="s">
        <v>7</v>
      </c>
      <c r="C12">
        <v>75</v>
      </c>
      <c r="D12">
        <f>IF(NOT(ISBLANK(C12)), IF(ISNUMBER(C12), ROUND((C12 - 5)/20, 0), C12), "")</f>
        <v>4</v>
      </c>
      <c r="E12" s="1" t="s">
        <v>1218</v>
      </c>
      <c r="F12" t="s">
        <v>1418</v>
      </c>
      <c r="G12" cm="1">
        <f t="array" ref="G12">COUNT(IF(($A12=pokemon!$AC$2:$AC$415)*(pokemon!$D$2:$D$415 &lt;&gt; "Noble Form")*(ISBLANK(pokemon!$AK$2:$AK$415)), pokemon!$V$2:$V$415))</f>
        <v>3</v>
      </c>
      <c r="H12" cm="1">
        <f t="array" ref="H12">MIN(IF(($A12=pokemon!$AC$2:$AC$415)*(pokemon!$D$2:$D$415 &lt;&gt; "Noble Form")*(ISBLANK(pokemon!$AK$2:$AK$415)), pokemon!$V$2:$V$415))</f>
        <v>14</v>
      </c>
      <c r="I12" cm="1">
        <f t="array" ref="I12">MAX(IF(($A12=pokemon!$AC$2:$AC$415)*(pokemon!$D$2:$D$415 &lt;&gt; "Noble Form")*(ISBLANK(pokemon!$AK$2:$AK$415)), pokemon!$V$2:$V$415))</f>
        <v>14</v>
      </c>
      <c r="J12">
        <f>I12-H12</f>
        <v>0</v>
      </c>
    </row>
    <row r="13" spans="1:10" x14ac:dyDescent="0.25">
      <c r="A13" t="s">
        <v>812</v>
      </c>
      <c r="B13" s="19" t="s">
        <v>9</v>
      </c>
      <c r="C13">
        <v>20</v>
      </c>
      <c r="D13">
        <f t="shared" si="0"/>
        <v>1</v>
      </c>
      <c r="F13" t="s">
        <v>1463</v>
      </c>
      <c r="G13" cm="1">
        <f t="array" ref="G13">COUNT(IF(($A13=pokemon!$AC$2:$AC$415)*(pokemon!$D$2:$D$415 &lt;&gt; "Noble Form")*(ISBLANK(pokemon!$AK$2:$AK$415)), pokemon!$V$2:$V$415))</f>
        <v>1</v>
      </c>
      <c r="H13" cm="1">
        <f t="array" ref="H13">MIN(IF(($A13=pokemon!$AC$2:$AC$415)*(pokemon!$D$2:$D$415 &lt;&gt; "Noble Form")*(ISBLANK(pokemon!$AK$2:$AK$415)), pokemon!$V$2:$V$415))</f>
        <v>10</v>
      </c>
      <c r="I13" cm="1">
        <f t="array" ref="I13">MAX(IF(($A13=pokemon!$AC$2:$AC$415)*(pokemon!$D$2:$D$415 &lt;&gt; "Noble Form")*(ISBLANK(pokemon!$AK$2:$AK$415)), pokemon!$V$2:$V$415))</f>
        <v>10</v>
      </c>
      <c r="J13">
        <f t="shared" si="1"/>
        <v>0</v>
      </c>
    </row>
    <row r="14" spans="1:10" x14ac:dyDescent="0.25">
      <c r="A14" t="s">
        <v>1233</v>
      </c>
      <c r="B14" s="19" t="s">
        <v>9</v>
      </c>
      <c r="C14">
        <v>100</v>
      </c>
      <c r="D14">
        <f t="shared" si="0"/>
        <v>5</v>
      </c>
      <c r="F14" t="s">
        <v>1256</v>
      </c>
      <c r="G14" cm="1">
        <f t="array" ref="G14">COUNT(IF(($A14=pokemon!$AC$2:$AC$415)*(pokemon!$D$2:$D$415 &lt;&gt; "Noble Form")*(ISBLANK(pokemon!$AK$2:$AK$415)), pokemon!$V$2:$V$415))</f>
        <v>1</v>
      </c>
      <c r="H14" cm="1">
        <f t="array" ref="H14">MIN(IF(($A14=pokemon!$AC$2:$AC$415)*(pokemon!$D$2:$D$415 &lt;&gt; "Noble Form")*(ISBLANK(pokemon!$AK$2:$AK$415)), pokemon!$V$2:$V$415))</f>
        <v>20</v>
      </c>
      <c r="I14" cm="1">
        <f t="array" ref="I14">MAX(IF(($A14=pokemon!$AC$2:$AC$415)*(pokemon!$D$2:$D$415 &lt;&gt; "Noble Form")*(ISBLANK(pokemon!$AK$2:$AK$415)), pokemon!$V$2:$V$415))</f>
        <v>20</v>
      </c>
      <c r="J14">
        <f t="shared" si="1"/>
        <v>0</v>
      </c>
    </row>
    <row r="15" spans="1:10" x14ac:dyDescent="0.25">
      <c r="A15" t="s">
        <v>505</v>
      </c>
      <c r="B15" s="19" t="s">
        <v>9</v>
      </c>
      <c r="C15">
        <v>40</v>
      </c>
      <c r="D15">
        <f t="shared" si="0"/>
        <v>2</v>
      </c>
      <c r="E15" s="1" t="s">
        <v>1219</v>
      </c>
      <c r="F15" t="s">
        <v>1464</v>
      </c>
      <c r="G15" cm="1">
        <f t="array" ref="G15">COUNT(IF(($A15=pokemon!$AC$2:$AC$415)*(pokemon!$D$2:$D$415 &lt;&gt; "Noble Form")*(ISBLANK(pokemon!$AK$2:$AK$415)), pokemon!$V$2:$V$415))</f>
        <v>1</v>
      </c>
      <c r="H15" cm="1">
        <f t="array" ref="H15">MIN(IF(($A15=pokemon!$AC$2:$AC$415)*(pokemon!$D$2:$D$415 &lt;&gt; "Noble Form")*(ISBLANK(pokemon!$AK$2:$AK$415)), pokemon!$V$2:$V$415))</f>
        <v>20</v>
      </c>
      <c r="I15" cm="1">
        <f t="array" ref="I15">MAX(IF(($A15=pokemon!$AC$2:$AC$415)*(pokemon!$D$2:$D$415 &lt;&gt; "Noble Form")*(ISBLANK(pokemon!$AK$2:$AK$415)), pokemon!$V$2:$V$415))</f>
        <v>20</v>
      </c>
      <c r="J15">
        <f t="shared" si="1"/>
        <v>0</v>
      </c>
    </row>
    <row r="16" spans="1:10" x14ac:dyDescent="0.25">
      <c r="A16" t="s">
        <v>526</v>
      </c>
      <c r="B16" s="19" t="s">
        <v>9</v>
      </c>
      <c r="C16">
        <v>60</v>
      </c>
      <c r="D16">
        <f t="shared" si="0"/>
        <v>3</v>
      </c>
      <c r="F16" t="s">
        <v>1419</v>
      </c>
      <c r="G16" cm="1">
        <f t="array" ref="G16">COUNT(IF(($A16=pokemon!$AC$2:$AC$415)*(pokemon!$D$2:$D$415 &lt;&gt; "Noble Form")*(ISBLANK(pokemon!$AK$2:$AK$415)), pokemon!$V$2:$V$415))</f>
        <v>6</v>
      </c>
      <c r="H16" cm="1">
        <f t="array" ref="H16">MIN(IF(($A16=pokemon!$AC$2:$AC$415)*(pokemon!$D$2:$D$415 &lt;&gt; "Noble Form")*(ISBLANK(pokemon!$AK$2:$AK$415)), pokemon!$V$2:$V$415))</f>
        <v>11</v>
      </c>
      <c r="I16" cm="1">
        <f t="array" ref="I16">MAX(IF(($A16=pokemon!$AC$2:$AC$415)*(pokemon!$D$2:$D$415 &lt;&gt; "Noble Form")*(ISBLANK(pokemon!$AK$2:$AK$415)), pokemon!$V$2:$V$415))</f>
        <v>14</v>
      </c>
      <c r="J16">
        <f t="shared" si="1"/>
        <v>3</v>
      </c>
    </row>
    <row r="17" spans="1:10" x14ac:dyDescent="0.25">
      <c r="A17" t="s">
        <v>520</v>
      </c>
      <c r="B17" s="19" t="s">
        <v>9</v>
      </c>
      <c r="C17">
        <v>75</v>
      </c>
      <c r="D17">
        <f t="shared" si="0"/>
        <v>4</v>
      </c>
      <c r="F17" t="s">
        <v>1404</v>
      </c>
      <c r="G17" cm="1">
        <f t="array" ref="G17">COUNT(IF(($A17=pokemon!$AC$2:$AC$415)*(pokemon!$D$2:$D$415 &lt;&gt; "Noble Form")*(ISBLANK(pokemon!$AK$2:$AK$415)), pokemon!$V$2:$V$415))</f>
        <v>3</v>
      </c>
      <c r="H17" cm="1">
        <f t="array" ref="H17">MIN(IF(($A17=pokemon!$AC$2:$AC$415)*(pokemon!$D$2:$D$415 &lt;&gt; "Noble Form")*(ISBLANK(pokemon!$AK$2:$AK$415)), pokemon!$V$2:$V$415))</f>
        <v>16</v>
      </c>
      <c r="I17" cm="1">
        <f t="array" ref="I17">MAX(IF(($A17=pokemon!$AC$2:$AC$415)*(pokemon!$D$2:$D$415 &lt;&gt; "Noble Form")*(ISBLANK(pokemon!$AK$2:$AK$415)), pokemon!$V$2:$V$415))</f>
        <v>17</v>
      </c>
      <c r="J17">
        <f t="shared" si="1"/>
        <v>1</v>
      </c>
    </row>
    <row r="18" spans="1:10" x14ac:dyDescent="0.25">
      <c r="A18" t="s">
        <v>504</v>
      </c>
      <c r="B18" s="19" t="s">
        <v>9</v>
      </c>
      <c r="C18">
        <v>80</v>
      </c>
      <c r="D18">
        <f t="shared" si="0"/>
        <v>4</v>
      </c>
      <c r="F18" t="s">
        <v>1419</v>
      </c>
      <c r="G18" cm="1">
        <f t="array" ref="G18">COUNT(IF(($A18=pokemon!$AC$2:$AC$415)*(pokemon!$D$2:$D$415 &lt;&gt; "Noble Form")*(ISBLANK(pokemon!$AK$2:$AK$415)), pokemon!$V$2:$V$415))</f>
        <v>2</v>
      </c>
      <c r="H18" cm="1">
        <f t="array" ref="H18">MIN(IF(($A18=pokemon!$AC$2:$AC$415)*(pokemon!$D$2:$D$415 &lt;&gt; "Noble Form")*(ISBLANK(pokemon!$AK$2:$AK$415)), pokemon!$V$2:$V$415))</f>
        <v>14</v>
      </c>
      <c r="I18" cm="1">
        <f t="array" ref="I18">MAX(IF(($A18=pokemon!$AC$2:$AC$415)*(pokemon!$D$2:$D$415 &lt;&gt; "Noble Form")*(ISBLANK(pokemon!$AK$2:$AK$415)), pokemon!$V$2:$V$415))</f>
        <v>16</v>
      </c>
      <c r="J18">
        <f t="shared" si="1"/>
        <v>2</v>
      </c>
    </row>
    <row r="19" spans="1:10" x14ac:dyDescent="0.25">
      <c r="A19" t="s">
        <v>1043</v>
      </c>
      <c r="B19" s="19" t="s">
        <v>9</v>
      </c>
      <c r="C19">
        <v>60</v>
      </c>
      <c r="D19">
        <f t="shared" si="0"/>
        <v>3</v>
      </c>
      <c r="E19" s="1" t="s">
        <v>1218</v>
      </c>
      <c r="F19" t="s">
        <v>1465</v>
      </c>
      <c r="G19" cm="1">
        <f t="array" ref="G19">COUNT(IF(($A19=pokemon!$AC$2:$AC$415)*(pokemon!$D$2:$D$415 &lt;&gt; "Noble Form")*(ISBLANK(pokemon!$AK$2:$AK$415)), pokemon!$V$2:$V$415))</f>
        <v>1</v>
      </c>
      <c r="H19" cm="1">
        <f t="array" ref="H19">MIN(IF(($A19=pokemon!$AC$2:$AC$415)*(pokemon!$D$2:$D$415 &lt;&gt; "Noble Form")*(ISBLANK(pokemon!$AK$2:$AK$415)), pokemon!$V$2:$V$415))</f>
        <v>15</v>
      </c>
      <c r="I19" cm="1">
        <f t="array" ref="I19">MAX(IF(($A19=pokemon!$AC$2:$AC$415)*(pokemon!$D$2:$D$415 &lt;&gt; "Noble Form")*(ISBLANK(pokemon!$AK$2:$AK$415)), pokemon!$V$2:$V$415))</f>
        <v>15</v>
      </c>
      <c r="J19">
        <f t="shared" si="1"/>
        <v>0</v>
      </c>
    </row>
    <row r="20" spans="1:10" x14ac:dyDescent="0.25">
      <c r="A20" t="s">
        <v>1248</v>
      </c>
      <c r="B20" s="19" t="s">
        <v>9</v>
      </c>
      <c r="C20">
        <v>80</v>
      </c>
      <c r="D20">
        <f t="shared" si="0"/>
        <v>4</v>
      </c>
      <c r="E20" s="1" t="s">
        <v>1227</v>
      </c>
      <c r="F20" t="s">
        <v>1261</v>
      </c>
      <c r="G20" cm="1">
        <f t="array" ref="G20">COUNT(IF(($A20=pokemon!$AC$2:$AC$415)*(pokemon!$D$2:$D$415 &lt;&gt; "Noble Form")*(ISBLANK(pokemon!$AK$2:$AK$415)), pokemon!$V$2:$V$415))</f>
        <v>1</v>
      </c>
      <c r="H20" cm="1">
        <f t="array" ref="H20">MIN(IF(($A20=pokemon!$AC$2:$AC$415)*(pokemon!$D$2:$D$415 &lt;&gt; "Noble Form")*(ISBLANK(pokemon!$AK$2:$AK$415)), pokemon!$V$2:$V$415))</f>
        <v>17</v>
      </c>
      <c r="I20" cm="1">
        <f t="array" ref="I20">MAX(IF(($A20=pokemon!$AC$2:$AC$415)*(pokemon!$D$2:$D$415 &lt;&gt; "Noble Form")*(ISBLANK(pokemon!$AK$2:$AK$415)), pokemon!$V$2:$V$415))</f>
        <v>17</v>
      </c>
      <c r="J20">
        <f t="shared" si="1"/>
        <v>0</v>
      </c>
    </row>
    <row r="21" spans="1:10" x14ac:dyDescent="0.25">
      <c r="A21" t="s">
        <v>680</v>
      </c>
      <c r="B21" s="19" t="s">
        <v>9</v>
      </c>
      <c r="C21">
        <v>100</v>
      </c>
      <c r="D21">
        <f t="shared" si="0"/>
        <v>5</v>
      </c>
      <c r="F21" t="s">
        <v>1419</v>
      </c>
      <c r="G21" cm="1">
        <f t="array" ref="G21">COUNT(IF(($A21=pokemon!$AC$2:$AC$415)*(pokemon!$D$2:$D$415 &lt;&gt; "Noble Form")*(ISBLANK(pokemon!$AK$2:$AK$415)), pokemon!$V$2:$V$415))</f>
        <v>1</v>
      </c>
      <c r="H21" cm="1">
        <f t="array" ref="H21">MIN(IF(($A21=pokemon!$AC$2:$AC$415)*(pokemon!$D$2:$D$415 &lt;&gt; "Noble Form")*(ISBLANK(pokemon!$AK$2:$AK$415)), pokemon!$V$2:$V$415))</f>
        <v>28</v>
      </c>
      <c r="I21" cm="1">
        <f t="array" ref="I21">MAX(IF(($A21=pokemon!$AC$2:$AC$415)*(pokemon!$D$2:$D$415 &lt;&gt; "Noble Form")*(ISBLANK(pokemon!$AK$2:$AK$415)), pokemon!$V$2:$V$415))</f>
        <v>28</v>
      </c>
      <c r="J21">
        <f t="shared" si="1"/>
        <v>0</v>
      </c>
    </row>
    <row r="22" spans="1:10" x14ac:dyDescent="0.25">
      <c r="A22" t="s">
        <v>803</v>
      </c>
      <c r="B22" s="19" t="s">
        <v>9</v>
      </c>
      <c r="C22">
        <v>20</v>
      </c>
      <c r="D22">
        <f t="shared" si="0"/>
        <v>1</v>
      </c>
      <c r="E22" s="1" t="s">
        <v>1241</v>
      </c>
      <c r="F22" t="s">
        <v>1263</v>
      </c>
      <c r="G22" cm="1">
        <f t="array" ref="G22">COUNT(IF(($A22=pokemon!$AC$2:$AC$415)*(pokemon!$D$2:$D$415 &lt;&gt; "Noble Form")*(ISBLANK(pokemon!$AK$2:$AK$415)), pokemon!$V$2:$V$415))</f>
        <v>1</v>
      </c>
      <c r="H22" cm="1">
        <f t="array" ref="H22">MIN(IF(($A22=pokemon!$AC$2:$AC$415)*(pokemon!$D$2:$D$415 &lt;&gt; "Noble Form")*(ISBLANK(pokemon!$AK$2:$AK$415)), pokemon!$V$2:$V$415))</f>
        <v>11</v>
      </c>
      <c r="I22" cm="1">
        <f t="array" ref="I22">MAX(IF(($A22=pokemon!$AC$2:$AC$415)*(pokemon!$D$2:$D$415 &lt;&gt; "Noble Form")*(ISBLANK(pokemon!$AK$2:$AK$415)), pokemon!$V$2:$V$415))</f>
        <v>11</v>
      </c>
      <c r="J22">
        <f t="shared" si="1"/>
        <v>0</v>
      </c>
    </row>
    <row r="23" spans="1:10" x14ac:dyDescent="0.25">
      <c r="A23" t="s">
        <v>1168</v>
      </c>
      <c r="B23" s="19" t="s">
        <v>9</v>
      </c>
      <c r="C23">
        <v>80</v>
      </c>
      <c r="D23">
        <f t="shared" si="0"/>
        <v>4</v>
      </c>
      <c r="F23" t="s">
        <v>1390</v>
      </c>
      <c r="G23" cm="1">
        <f t="array" ref="G23">COUNT(IF(($A23=pokemon!$AC$2:$AC$415)*(pokemon!$D$2:$D$415 &lt;&gt; "Noble Form")*(ISBLANK(pokemon!$AK$2:$AK$415)), pokemon!$V$2:$V$415))</f>
        <v>1</v>
      </c>
      <c r="H23" cm="1">
        <f t="array" ref="H23">MIN(IF(($A23=pokemon!$AC$2:$AC$415)*(pokemon!$D$2:$D$415 &lt;&gt; "Noble Form")*(ISBLANK(pokemon!$AK$2:$AK$415)), pokemon!$V$2:$V$415))</f>
        <v>21</v>
      </c>
      <c r="I23" cm="1">
        <f t="array" ref="I23">MAX(IF(($A23=pokemon!$AC$2:$AC$415)*(pokemon!$D$2:$D$415 &lt;&gt; "Noble Form")*(ISBLANK(pokemon!$AK$2:$AK$415)), pokemon!$V$2:$V$415))</f>
        <v>21</v>
      </c>
      <c r="J23">
        <f t="shared" ref="J23:J24" si="2">I23-H23</f>
        <v>0</v>
      </c>
    </row>
    <row r="24" spans="1:10" x14ac:dyDescent="0.25">
      <c r="A24" t="s">
        <v>1246</v>
      </c>
      <c r="B24" s="19" t="s">
        <v>9</v>
      </c>
      <c r="C24">
        <v>100</v>
      </c>
      <c r="D24">
        <f t="shared" si="0"/>
        <v>5</v>
      </c>
      <c r="F24" t="s">
        <v>1466</v>
      </c>
      <c r="G24" cm="1">
        <f t="array" ref="G24">COUNT(IF(($A24=pokemon!$AC$2:$AC$415)*(pokemon!$D$2:$D$415 &lt;&gt; "Noble Form")*(ISBLANK(pokemon!$AK$2:$AK$415)), pokemon!$V$2:$V$415))</f>
        <v>1</v>
      </c>
      <c r="H24" cm="1">
        <f t="array" ref="H24">MIN(IF(($A24=pokemon!$AC$2:$AC$415)*(pokemon!$D$2:$D$415 &lt;&gt; "Noble Form")*(ISBLANK(pokemon!$AK$2:$AK$415)), pokemon!$V$2:$V$415))</f>
        <v>18</v>
      </c>
      <c r="I24" cm="1">
        <f t="array" ref="I24">MAX(IF(($A24=pokemon!$AC$2:$AC$415)*(pokemon!$D$2:$D$415 &lt;&gt; "Noble Form")*(ISBLANK(pokemon!$AK$2:$AK$415)), pokemon!$V$2:$V$415))</f>
        <v>18</v>
      </c>
      <c r="J24">
        <f t="shared" si="2"/>
        <v>0</v>
      </c>
    </row>
    <row r="25" spans="1:10" x14ac:dyDescent="0.25">
      <c r="A25" t="s">
        <v>584</v>
      </c>
      <c r="B25" s="18" t="s">
        <v>67</v>
      </c>
      <c r="C25">
        <v>45</v>
      </c>
      <c r="D25">
        <f t="shared" si="0"/>
        <v>2</v>
      </c>
      <c r="F25" t="s">
        <v>1429</v>
      </c>
      <c r="G25" cm="1">
        <f t="array" ref="G25">COUNT(IF(($A25=pokemon!$AC$2:$AC$415)*(pokemon!$D$2:$D$415 &lt;&gt; "Noble Form")*(ISBLANK(pokemon!$AK$2:$AK$415)), pokemon!$V$2:$V$415))</f>
        <v>1</v>
      </c>
      <c r="H25" cm="1">
        <f t="array" ref="H25">MIN(IF(($A25=pokemon!$AC$2:$AC$415)*(pokemon!$D$2:$D$415 &lt;&gt; "Noble Form")*(ISBLANK(pokemon!$AK$2:$AK$415)), pokemon!$V$2:$V$415))</f>
        <v>10</v>
      </c>
      <c r="I25" cm="1">
        <f t="array" ref="I25">MAX(IF(($A25=pokemon!$AC$2:$AC$415)*(pokemon!$D$2:$D$415 &lt;&gt; "Noble Form")*(ISBLANK(pokemon!$AK$2:$AK$415)), pokemon!$V$2:$V$415))</f>
        <v>10</v>
      </c>
      <c r="J25">
        <f t="shared" si="1"/>
        <v>0</v>
      </c>
    </row>
    <row r="26" spans="1:10" x14ac:dyDescent="0.25">
      <c r="A26" t="s">
        <v>1015</v>
      </c>
      <c r="B26" s="18" t="s">
        <v>67</v>
      </c>
      <c r="C26">
        <v>40</v>
      </c>
      <c r="D26">
        <f t="shared" si="0"/>
        <v>2</v>
      </c>
      <c r="F26" t="s">
        <v>1420</v>
      </c>
      <c r="G26" cm="1">
        <f t="array" ref="G26">COUNT(IF(($A26=pokemon!$AC$2:$AC$415)*(pokemon!$D$2:$D$415 &lt;&gt; "Noble Form")*(ISBLANK(pokemon!$AK$2:$AK$415)), pokemon!$V$2:$V$415))</f>
        <v>1</v>
      </c>
      <c r="H26" cm="1">
        <f t="array" ref="H26">MIN(IF(($A26=pokemon!$AC$2:$AC$415)*(pokemon!$D$2:$D$415 &lt;&gt; "Noble Form")*(ISBLANK(pokemon!$AK$2:$AK$415)), pokemon!$V$2:$V$415))</f>
        <v>14</v>
      </c>
      <c r="I26" cm="1">
        <f t="array" ref="I26">MAX(IF(($A26=pokemon!$AC$2:$AC$415)*(pokemon!$D$2:$D$415 &lt;&gt; "Noble Form")*(ISBLANK(pokemon!$AK$2:$AK$415)), pokemon!$V$2:$V$415))</f>
        <v>14</v>
      </c>
      <c r="J26">
        <f t="shared" si="1"/>
        <v>0</v>
      </c>
    </row>
    <row r="27" spans="1:10" x14ac:dyDescent="0.25">
      <c r="A27" t="s">
        <v>1060</v>
      </c>
      <c r="B27" s="18" t="s">
        <v>67</v>
      </c>
      <c r="C27">
        <v>60</v>
      </c>
      <c r="D27">
        <f t="shared" si="0"/>
        <v>3</v>
      </c>
      <c r="F27" t="s">
        <v>1443</v>
      </c>
      <c r="G27" cm="1">
        <f t="array" ref="G27">COUNT(IF(($A27=pokemon!$AC$2:$AC$415)*(pokemon!$D$2:$D$415 &lt;&gt; "Noble Form")*(ISBLANK(pokemon!$AK$2:$AK$415)), pokemon!$V$2:$V$415))</f>
        <v>1</v>
      </c>
      <c r="H27" cm="1">
        <f t="array" ref="H27">MIN(IF(($A27=pokemon!$AC$2:$AC$415)*(pokemon!$D$2:$D$415 &lt;&gt; "Noble Form")*(ISBLANK(pokemon!$AK$2:$AK$415)), pokemon!$V$2:$V$415))</f>
        <v>10</v>
      </c>
      <c r="I27" cm="1">
        <f t="array" ref="I27">MAX(IF(($A27=pokemon!$AC$2:$AC$415)*(pokemon!$D$2:$D$415 &lt;&gt; "Noble Form")*(ISBLANK(pokemon!$AK$2:$AK$415)), pokemon!$V$2:$V$415))</f>
        <v>10</v>
      </c>
      <c r="J27">
        <f t="shared" si="1"/>
        <v>0</v>
      </c>
    </row>
    <row r="28" spans="1:10" x14ac:dyDescent="0.25">
      <c r="A28" t="s">
        <v>477</v>
      </c>
      <c r="B28" s="18" t="s">
        <v>67</v>
      </c>
      <c r="C28">
        <v>90</v>
      </c>
      <c r="D28">
        <f t="shared" si="0"/>
        <v>4</v>
      </c>
      <c r="F28" t="s">
        <v>1406</v>
      </c>
      <c r="G28" cm="1">
        <f t="array" ref="G28">COUNT(IF(($A28=pokemon!$AC$2:$AC$415)*(pokemon!$D$2:$D$415 &lt;&gt; "Noble Form")*(ISBLANK(pokemon!$AK$2:$AK$415)), pokemon!$V$2:$V$415))</f>
        <v>1</v>
      </c>
      <c r="H28" cm="1">
        <f t="array" ref="H28">MIN(IF(($A28=pokemon!$AC$2:$AC$415)*(pokemon!$D$2:$D$415 &lt;&gt; "Noble Form")*(ISBLANK(pokemon!$AK$2:$AK$415)), pokemon!$V$2:$V$415))</f>
        <v>24</v>
      </c>
      <c r="I28" cm="1">
        <f t="array" ref="I28">MAX(IF(($A28=pokemon!$AC$2:$AC$415)*(pokemon!$D$2:$D$415 &lt;&gt; "Noble Form")*(ISBLANK(pokemon!$AK$2:$AK$415)), pokemon!$V$2:$V$415))</f>
        <v>24</v>
      </c>
      <c r="J28">
        <f t="shared" si="1"/>
        <v>0</v>
      </c>
    </row>
    <row r="29" spans="1:10" x14ac:dyDescent="0.25">
      <c r="A29" t="s">
        <v>758</v>
      </c>
      <c r="B29" s="18" t="s">
        <v>67</v>
      </c>
      <c r="C29">
        <v>80</v>
      </c>
      <c r="D29">
        <f t="shared" si="0"/>
        <v>4</v>
      </c>
      <c r="F29" t="s">
        <v>1390</v>
      </c>
      <c r="G29" cm="1">
        <f t="array" ref="G29">COUNT(IF(($A29=pokemon!$AC$2:$AC$415)*(pokemon!$D$2:$D$415 &lt;&gt; "Noble Form")*(ISBLANK(pokemon!$AK$2:$AK$415)), pokemon!$V$2:$V$415))</f>
        <v>3</v>
      </c>
      <c r="H29" cm="1">
        <f t="array" ref="H29">MIN(IF(($A29=pokemon!$AC$2:$AC$415)*(pokemon!$D$2:$D$415 &lt;&gt; "Noble Form")*(ISBLANK(pokemon!$AK$2:$AK$415)), pokemon!$V$2:$V$415))</f>
        <v>16</v>
      </c>
      <c r="I29" cm="1">
        <f t="array" ref="I29">MAX(IF(($A29=pokemon!$AC$2:$AC$415)*(pokemon!$D$2:$D$415 &lt;&gt; "Noble Form")*(ISBLANK(pokemon!$AK$2:$AK$415)), pokemon!$V$2:$V$415))</f>
        <v>20</v>
      </c>
      <c r="J29">
        <f t="shared" si="1"/>
        <v>4</v>
      </c>
    </row>
    <row r="30" spans="1:10" x14ac:dyDescent="0.25">
      <c r="A30" t="s">
        <v>1059</v>
      </c>
      <c r="B30" s="18" t="s">
        <v>67</v>
      </c>
      <c r="C30">
        <v>100</v>
      </c>
      <c r="D30">
        <f t="shared" si="0"/>
        <v>5</v>
      </c>
      <c r="F30" t="s">
        <v>1391</v>
      </c>
      <c r="G30" cm="1">
        <f t="array" ref="G30">COUNT(IF(($A30=pokemon!$AC$2:$AC$415)*(pokemon!$D$2:$D$415 &lt;&gt; "Noble Form")*(ISBLANK(pokemon!$AK$2:$AK$415)), pokemon!$V$2:$V$415))</f>
        <v>1</v>
      </c>
      <c r="H30" cm="1">
        <f t="array" ref="H30">MIN(IF(($A30=pokemon!$AC$2:$AC$415)*(pokemon!$D$2:$D$415 &lt;&gt; "Noble Form")*(ISBLANK(pokemon!$AK$2:$AK$415)), pokemon!$V$2:$V$415))</f>
        <v>20</v>
      </c>
      <c r="I30" cm="1">
        <f t="array" ref="I30">MAX(IF(($A30=pokemon!$AC$2:$AC$415)*(pokemon!$D$2:$D$415 &lt;&gt; "Noble Form")*(ISBLANK(pokemon!$AK$2:$AK$415)), pokemon!$V$2:$V$415))</f>
        <v>20</v>
      </c>
      <c r="J30">
        <f t="shared" si="1"/>
        <v>0</v>
      </c>
    </row>
    <row r="31" spans="1:10" x14ac:dyDescent="0.25">
      <c r="A31" t="s">
        <v>585</v>
      </c>
      <c r="B31" s="18" t="s">
        <v>67</v>
      </c>
      <c r="C31">
        <v>100</v>
      </c>
      <c r="D31">
        <f t="shared" si="0"/>
        <v>5</v>
      </c>
      <c r="F31" t="s">
        <v>1430</v>
      </c>
      <c r="G31" cm="1">
        <f t="array" ref="G31">COUNT(IF(($A31=pokemon!$AC$2:$AC$415)*(pokemon!$D$2:$D$415 &lt;&gt; "Noble Form")*(ISBLANK(pokemon!$AK$2:$AK$415)), pokemon!$V$2:$V$415))</f>
        <v>2</v>
      </c>
      <c r="H31" cm="1">
        <f t="array" ref="H31">MIN(IF(($A31=pokemon!$AC$2:$AC$415)*(pokemon!$D$2:$D$415 &lt;&gt; "Noble Form")*(ISBLANK(pokemon!$AK$2:$AK$415)), pokemon!$V$2:$V$415))</f>
        <v>20</v>
      </c>
      <c r="I31" cm="1">
        <f t="array" ref="I31">MAX(IF(($A31=pokemon!$AC$2:$AC$415)*(pokemon!$D$2:$D$415 &lt;&gt; "Noble Form")*(ISBLANK(pokemon!$AK$2:$AK$415)), pokemon!$V$2:$V$415))</f>
        <v>20</v>
      </c>
      <c r="J31">
        <f t="shared" si="1"/>
        <v>0</v>
      </c>
    </row>
    <row r="32" spans="1:10" x14ac:dyDescent="0.25">
      <c r="A32" t="s">
        <v>1071</v>
      </c>
      <c r="B32" s="18" t="s">
        <v>67</v>
      </c>
      <c r="C32">
        <v>120</v>
      </c>
      <c r="D32">
        <f t="shared" si="0"/>
        <v>6</v>
      </c>
      <c r="F32" t="s">
        <v>775</v>
      </c>
      <c r="G32" cm="1">
        <f t="array" ref="G32">COUNT(IF(($A32=pokemon!$AC$2:$AC$415)*(pokemon!$D$2:$D$415 &lt;&gt; "Noble Form")*(ISBLANK(pokemon!$AK$2:$AK$415)), pokemon!$V$2:$V$415))</f>
        <v>1</v>
      </c>
      <c r="H32" cm="1">
        <f t="array" ref="H32">MIN(IF(($A32=pokemon!$AC$2:$AC$415)*(pokemon!$D$2:$D$415 &lt;&gt; "Noble Form")*(ISBLANK(pokemon!$AK$2:$AK$415)), pokemon!$V$2:$V$415))</f>
        <v>22</v>
      </c>
      <c r="I32" cm="1">
        <f t="array" ref="I32">MAX(IF(($A32=pokemon!$AC$2:$AC$415)*(pokemon!$D$2:$D$415 &lt;&gt; "Noble Form")*(ISBLANK(pokemon!$AK$2:$AK$415)), pokemon!$V$2:$V$415))</f>
        <v>22</v>
      </c>
      <c r="J32">
        <f t="shared" si="1"/>
        <v>0</v>
      </c>
    </row>
    <row r="33" spans="1:10" x14ac:dyDescent="0.25">
      <c r="A33" t="s">
        <v>502</v>
      </c>
      <c r="B33" s="18" t="s">
        <v>67</v>
      </c>
      <c r="C33">
        <v>100</v>
      </c>
      <c r="D33">
        <f t="shared" si="0"/>
        <v>5</v>
      </c>
      <c r="F33" t="s">
        <v>1457</v>
      </c>
      <c r="G33" cm="1">
        <f t="array" ref="G33">COUNT(IF(($A33=pokemon!$AC$2:$AC$415)*(pokemon!$D$2:$D$415 &lt;&gt; "Noble Form")*(ISBLANK(pokemon!$AK$2:$AK$415)), pokemon!$V$2:$V$415))</f>
        <v>2</v>
      </c>
      <c r="H33" cm="1">
        <f t="array" ref="H33">MIN(IF(($A33=pokemon!$AC$2:$AC$415)*(pokemon!$D$2:$D$415 &lt;&gt; "Noble Form")*(ISBLANK(pokemon!$AK$2:$AK$415)), pokemon!$V$2:$V$415))</f>
        <v>19</v>
      </c>
      <c r="I33" cm="1">
        <f t="array" ref="I33">MAX(IF(($A33=pokemon!$AC$2:$AC$415)*(pokemon!$D$2:$D$415 &lt;&gt; "Noble Form")*(ISBLANK(pokemon!$AK$2:$AK$415)), pokemon!$V$2:$V$415))</f>
        <v>20</v>
      </c>
      <c r="J33">
        <f t="shared" si="1"/>
        <v>1</v>
      </c>
    </row>
    <row r="34" spans="1:10" x14ac:dyDescent="0.25">
      <c r="A34" t="s">
        <v>503</v>
      </c>
      <c r="B34" s="18" t="s">
        <v>67</v>
      </c>
      <c r="C34">
        <v>140</v>
      </c>
      <c r="D34">
        <f t="shared" si="0"/>
        <v>7</v>
      </c>
      <c r="E34" s="1" t="s">
        <v>1242</v>
      </c>
      <c r="F34" t="s">
        <v>1489</v>
      </c>
      <c r="G34" cm="1">
        <f t="array" ref="G34">COUNT(IF(($A34=pokemon!$AC$2:$AC$415)*(pokemon!$D$2:$D$415 &lt;&gt; "Noble Form")*(ISBLANK(pokemon!$AK$2:$AK$415)), pokemon!$V$2:$V$415))</f>
        <v>1</v>
      </c>
      <c r="H34" cm="1">
        <f t="array" ref="H34">MIN(IF(($A34=pokemon!$AC$2:$AC$415)*(pokemon!$D$2:$D$415 &lt;&gt; "Noble Form")*(ISBLANK(pokemon!$AK$2:$AK$415)), pokemon!$V$2:$V$415))</f>
        <v>24</v>
      </c>
      <c r="I34" cm="1">
        <f t="array" ref="I34">MAX(IF(($A34=pokemon!$AC$2:$AC$415)*(pokemon!$D$2:$D$415 &lt;&gt; "Noble Form")*(ISBLANK(pokemon!$AK$2:$AK$415)), pokemon!$V$2:$V$415))</f>
        <v>24</v>
      </c>
      <c r="J34">
        <f t="shared" si="1"/>
        <v>0</v>
      </c>
    </row>
    <row r="35" spans="1:10" x14ac:dyDescent="0.25">
      <c r="A35" t="s">
        <v>1173</v>
      </c>
      <c r="B35" s="18" t="s">
        <v>67</v>
      </c>
      <c r="C35">
        <v>80</v>
      </c>
      <c r="D35">
        <f t="shared" si="0"/>
        <v>4</v>
      </c>
      <c r="F35" t="s">
        <v>1428</v>
      </c>
      <c r="G35" cm="1">
        <f t="array" ref="G35">COUNT(IF(($A35=pokemon!$AC$2:$AC$415)*(pokemon!$D$2:$D$415 &lt;&gt; "Noble Form")*(ISBLANK(pokemon!$AK$2:$AK$415)), pokemon!$V$2:$V$415))</f>
        <v>1</v>
      </c>
      <c r="H35" cm="1">
        <f t="array" ref="H35">MIN(IF(($A35=pokemon!$AC$2:$AC$415)*(pokemon!$D$2:$D$415 &lt;&gt; "Noble Form")*(ISBLANK(pokemon!$AK$2:$AK$415)), pokemon!$V$2:$V$415))</f>
        <v>21</v>
      </c>
      <c r="I35" cm="1">
        <f t="array" ref="I35">MAX(IF(($A35=pokemon!$AC$2:$AC$415)*(pokemon!$D$2:$D$415 &lt;&gt; "Noble Form")*(ISBLANK(pokemon!$AK$2:$AK$415)), pokemon!$V$2:$V$415))</f>
        <v>21</v>
      </c>
      <c r="J35">
        <f t="shared" ref="J35:J36" si="3">I35-H35</f>
        <v>0</v>
      </c>
    </row>
    <row r="36" spans="1:10" x14ac:dyDescent="0.25">
      <c r="A36" t="s">
        <v>1185</v>
      </c>
      <c r="B36" s="18" t="s">
        <v>67</v>
      </c>
      <c r="C36">
        <v>60</v>
      </c>
      <c r="D36">
        <f t="shared" si="0"/>
        <v>3</v>
      </c>
      <c r="E36" s="1" t="s">
        <v>1228</v>
      </c>
      <c r="F36" t="s">
        <v>1270</v>
      </c>
      <c r="G36" cm="1">
        <f t="array" ref="G36">COUNT(IF(($A36=pokemon!$AC$2:$AC$415)*(pokemon!$D$2:$D$415 &lt;&gt; "Noble Form")*(ISBLANK(pokemon!$AK$2:$AK$415)), pokemon!$V$2:$V$415))</f>
        <v>1</v>
      </c>
      <c r="H36" cm="1">
        <f t="array" ref="H36">MIN(IF(($A36=pokemon!$AC$2:$AC$415)*(pokemon!$D$2:$D$415 &lt;&gt; "Noble Form")*(ISBLANK(pokemon!$AK$2:$AK$415)), pokemon!$V$2:$V$415))</f>
        <v>20</v>
      </c>
      <c r="I36" cm="1">
        <f t="array" ref="I36">MAX(IF(($A36=pokemon!$AC$2:$AC$415)*(pokemon!$D$2:$D$415 &lt;&gt; "Noble Form")*(ISBLANK(pokemon!$AK$2:$AK$415)), pokemon!$V$2:$V$415))</f>
        <v>20</v>
      </c>
      <c r="J36">
        <f t="shared" si="3"/>
        <v>0</v>
      </c>
    </row>
    <row r="37" spans="1:10" x14ac:dyDescent="0.25">
      <c r="A37" t="s">
        <v>629</v>
      </c>
      <c r="B37" s="8" t="s">
        <v>11</v>
      </c>
      <c r="C37">
        <v>20</v>
      </c>
      <c r="D37">
        <f t="shared" si="0"/>
        <v>1</v>
      </c>
      <c r="E37" s="1" t="s">
        <v>1219</v>
      </c>
      <c r="F37" t="s">
        <v>1429</v>
      </c>
      <c r="G37" cm="1">
        <f t="array" ref="G37">COUNT(IF(($A37=pokemon!$AC$2:$AC$415)*(pokemon!$D$2:$D$415 &lt;&gt; "Noble Form")*(ISBLANK(pokemon!$AK$2:$AK$415)), pokemon!$V$2:$V$415))</f>
        <v>1</v>
      </c>
      <c r="H37" cm="1">
        <f t="array" ref="H37">MIN(IF(($A37=pokemon!$AC$2:$AC$415)*(pokemon!$D$2:$D$415 &lt;&gt; "Noble Form")*(ISBLANK(pokemon!$AK$2:$AK$415)), pokemon!$V$2:$V$415))</f>
        <v>14</v>
      </c>
      <c r="I37" cm="1">
        <f t="array" ref="I37">MAX(IF(($A37=pokemon!$AC$2:$AC$415)*(pokemon!$D$2:$D$415 &lt;&gt; "Noble Form")*(ISBLANK(pokemon!$AK$2:$AK$415)), pokemon!$V$2:$V$415))</f>
        <v>14</v>
      </c>
      <c r="J37">
        <f t="shared" si="1"/>
        <v>0</v>
      </c>
    </row>
    <row r="38" spans="1:10" x14ac:dyDescent="0.25">
      <c r="A38" t="s">
        <v>819</v>
      </c>
      <c r="B38" s="8" t="s">
        <v>11</v>
      </c>
      <c r="C38">
        <v>80</v>
      </c>
      <c r="D38">
        <f t="shared" si="0"/>
        <v>4</v>
      </c>
      <c r="F38" t="s">
        <v>1245</v>
      </c>
      <c r="G38" cm="1">
        <f t="array" ref="G38">COUNT(IF(($A38=pokemon!$AC$2:$AC$415)*(pokemon!$D$2:$D$415 &lt;&gt; "Noble Form")*(ISBLANK(pokemon!$AK$2:$AK$415)), pokemon!$V$2:$V$415))</f>
        <v>1</v>
      </c>
      <c r="H38" cm="1">
        <f t="array" ref="H38">MIN(IF(($A38=pokemon!$AC$2:$AC$415)*(pokemon!$D$2:$D$415 &lt;&gt; "Noble Form")*(ISBLANK(pokemon!$AK$2:$AK$415)), pokemon!$V$2:$V$415))</f>
        <v>17</v>
      </c>
      <c r="I38" cm="1">
        <f t="array" ref="I38">MAX(IF(($A38=pokemon!$AC$2:$AC$415)*(pokemon!$D$2:$D$415 &lt;&gt; "Noble Form")*(ISBLANK(pokemon!$AK$2:$AK$415)), pokemon!$V$2:$V$415))</f>
        <v>17</v>
      </c>
      <c r="J38">
        <f t="shared" si="1"/>
        <v>0</v>
      </c>
    </row>
    <row r="39" spans="1:10" x14ac:dyDescent="0.25">
      <c r="A39" t="s">
        <v>567</v>
      </c>
      <c r="B39" s="8" t="s">
        <v>11</v>
      </c>
      <c r="C39">
        <v>40</v>
      </c>
      <c r="D39">
        <f t="shared" si="0"/>
        <v>2</v>
      </c>
      <c r="F39" t="s">
        <v>1429</v>
      </c>
      <c r="G39" cm="1">
        <f t="array" ref="G39">COUNT(IF(($A39=pokemon!$AC$2:$AC$415)*(pokemon!$D$2:$D$415 &lt;&gt; "Noble Form")*(ISBLANK(pokemon!$AK$2:$AK$415)), pokemon!$V$2:$V$415))</f>
        <v>2</v>
      </c>
      <c r="H39" cm="1">
        <f t="array" ref="H39">MIN(IF(($A39=pokemon!$AC$2:$AC$415)*(pokemon!$D$2:$D$415 &lt;&gt; "Noble Form")*(ISBLANK(pokemon!$AK$2:$AK$415)), pokemon!$V$2:$V$415))</f>
        <v>12</v>
      </c>
      <c r="I39" cm="1">
        <f t="array" ref="I39">MAX(IF(($A39=pokemon!$AC$2:$AC$415)*(pokemon!$D$2:$D$415 &lt;&gt; "Noble Form")*(ISBLANK(pokemon!$AK$2:$AK$415)), pokemon!$V$2:$V$415))</f>
        <v>13</v>
      </c>
      <c r="J39">
        <f t="shared" si="1"/>
        <v>1</v>
      </c>
    </row>
    <row r="40" spans="1:10" x14ac:dyDescent="0.25">
      <c r="A40" t="s">
        <v>818</v>
      </c>
      <c r="B40" s="8" t="s">
        <v>11</v>
      </c>
      <c r="C40">
        <v>50</v>
      </c>
      <c r="D40">
        <f t="shared" si="0"/>
        <v>2</v>
      </c>
      <c r="F40" t="s">
        <v>1407</v>
      </c>
      <c r="G40" cm="1">
        <f t="array" ref="G40">COUNT(IF(($A40=pokemon!$AC$2:$AC$415)*(pokemon!$D$2:$D$415 &lt;&gt; "Noble Form")*(ISBLANK(pokemon!$AK$2:$AK$415)), pokemon!$V$2:$V$415))</f>
        <v>1</v>
      </c>
      <c r="H40" cm="1">
        <f t="array" ref="H40">MIN(IF(($A40=pokemon!$AC$2:$AC$415)*(pokemon!$D$2:$D$415 &lt;&gt; "Noble Form")*(ISBLANK(pokemon!$AK$2:$AK$415)), pokemon!$V$2:$V$415))</f>
        <v>10</v>
      </c>
      <c r="I40" cm="1">
        <f t="array" ref="I40">MAX(IF(($A40=pokemon!$AC$2:$AC$415)*(pokemon!$D$2:$D$415 &lt;&gt; "Noble Form")*(ISBLANK(pokemon!$AK$2:$AK$415)), pokemon!$V$2:$V$415))</f>
        <v>10</v>
      </c>
      <c r="J40">
        <f t="shared" si="1"/>
        <v>0</v>
      </c>
    </row>
    <row r="41" spans="1:10" x14ac:dyDescent="0.25">
      <c r="A41" t="s">
        <v>1042</v>
      </c>
      <c r="B41" s="8" t="s">
        <v>11</v>
      </c>
      <c r="C41">
        <v>60</v>
      </c>
      <c r="D41">
        <f t="shared" si="0"/>
        <v>3</v>
      </c>
      <c r="E41" s="1" t="s">
        <v>1218</v>
      </c>
      <c r="F41" t="s">
        <v>1429</v>
      </c>
      <c r="G41" cm="1">
        <f t="array" ref="G41">COUNT(IF(($A41=pokemon!$AC$2:$AC$415)*(pokemon!$D$2:$D$415 &lt;&gt; "Noble Form")*(ISBLANK(pokemon!$AK$2:$AK$415)), pokemon!$V$2:$V$415))</f>
        <v>1</v>
      </c>
      <c r="H41" cm="1">
        <f t="array" ref="H41">MIN(IF(($A41=pokemon!$AC$2:$AC$415)*(pokemon!$D$2:$D$415 &lt;&gt; "Noble Form")*(ISBLANK(pokemon!$AK$2:$AK$415)), pokemon!$V$2:$V$415))</f>
        <v>15</v>
      </c>
      <c r="I41" cm="1">
        <f t="array" ref="I41">MAX(IF(($A41=pokemon!$AC$2:$AC$415)*(pokemon!$D$2:$D$415 &lt;&gt; "Noble Form")*(ISBLANK(pokemon!$AK$2:$AK$415)), pokemon!$V$2:$V$415))</f>
        <v>15</v>
      </c>
      <c r="J41">
        <f t="shared" si="1"/>
        <v>0</v>
      </c>
    </row>
    <row r="42" spans="1:10" x14ac:dyDescent="0.25">
      <c r="A42" t="s">
        <v>481</v>
      </c>
      <c r="B42" s="8" t="s">
        <v>11</v>
      </c>
      <c r="C42">
        <v>70</v>
      </c>
      <c r="D42">
        <f t="shared" si="0"/>
        <v>3</v>
      </c>
      <c r="E42" s="1" t="s">
        <v>1227</v>
      </c>
      <c r="F42" t="s">
        <v>1417</v>
      </c>
      <c r="G42" cm="1">
        <f t="array" ref="G42">COUNT(IF(($A42=pokemon!$AC$2:$AC$415)*(pokemon!$D$2:$D$415 &lt;&gt; "Noble Form")*(ISBLANK(pokemon!$AK$2:$AK$415)), pokemon!$V$2:$V$415))</f>
        <v>1</v>
      </c>
      <c r="H42" cm="1">
        <f t="array" ref="H42">MIN(IF(($A42=pokemon!$AC$2:$AC$415)*(pokemon!$D$2:$D$415 &lt;&gt; "Noble Form")*(ISBLANK(pokemon!$AK$2:$AK$415)), pokemon!$V$2:$V$415))</f>
        <v>10</v>
      </c>
      <c r="I42" cm="1">
        <f t="array" ref="I42">MAX(IF(($A42=pokemon!$AC$2:$AC$415)*(pokemon!$D$2:$D$415 &lt;&gt; "Noble Form")*(ISBLANK(pokemon!$AK$2:$AK$415)), pokemon!$V$2:$V$415))</f>
        <v>10</v>
      </c>
      <c r="J42">
        <f t="shared" si="1"/>
        <v>0</v>
      </c>
    </row>
    <row r="43" spans="1:10" x14ac:dyDescent="0.25">
      <c r="A43" t="s">
        <v>700</v>
      </c>
      <c r="B43" s="8" t="s">
        <v>11</v>
      </c>
      <c r="C43">
        <v>60</v>
      </c>
      <c r="D43">
        <f t="shared" si="0"/>
        <v>3</v>
      </c>
      <c r="E43" s="1" t="s">
        <v>1228</v>
      </c>
      <c r="F43" t="s">
        <v>1421</v>
      </c>
      <c r="G43" cm="1">
        <f t="array" ref="G43">COUNT(IF(($A43=pokemon!$AC$2:$AC$415)*(pokemon!$D$2:$D$415 &lt;&gt; "Noble Form")*(ISBLANK(pokemon!$AK$2:$AK$415)), pokemon!$V$2:$V$415))</f>
        <v>1</v>
      </c>
      <c r="H43" cm="1">
        <f t="array" ref="H43">MIN(IF(($A43=pokemon!$AC$2:$AC$415)*(pokemon!$D$2:$D$415 &lt;&gt; "Noble Form")*(ISBLANK(pokemon!$AK$2:$AK$415)), pokemon!$V$2:$V$415))</f>
        <v>28</v>
      </c>
      <c r="I43" cm="1">
        <f t="array" ref="I43">MAX(IF(($A43=pokemon!$AC$2:$AC$415)*(pokemon!$D$2:$D$415 &lt;&gt; "Noble Form")*(ISBLANK(pokemon!$AK$2:$AK$415)), pokemon!$V$2:$V$415))</f>
        <v>28</v>
      </c>
      <c r="J43">
        <f t="shared" si="1"/>
        <v>0</v>
      </c>
    </row>
    <row r="44" spans="1:10" x14ac:dyDescent="0.25">
      <c r="A44" t="s">
        <v>568</v>
      </c>
      <c r="B44" s="8" t="s">
        <v>11</v>
      </c>
      <c r="C44">
        <v>80</v>
      </c>
      <c r="D44">
        <f t="shared" si="0"/>
        <v>4</v>
      </c>
      <c r="F44" t="s">
        <v>1431</v>
      </c>
      <c r="G44" cm="1">
        <f t="array" ref="G44">COUNT(IF(($A44=pokemon!$AC$2:$AC$415)*(pokemon!$D$2:$D$415 &lt;&gt; "Noble Form")*(ISBLANK(pokemon!$AK$2:$AK$415)), pokemon!$V$2:$V$415))</f>
        <v>1</v>
      </c>
      <c r="H44" cm="1">
        <f t="array" ref="H44">MIN(IF(($A44=pokemon!$AC$2:$AC$415)*(pokemon!$D$2:$D$415 &lt;&gt; "Noble Form")*(ISBLANK(pokemon!$AK$2:$AK$415)), pokemon!$V$2:$V$415))</f>
        <v>20</v>
      </c>
      <c r="I44" cm="1">
        <f t="array" ref="I44">MAX(IF(($A44=pokemon!$AC$2:$AC$415)*(pokemon!$D$2:$D$415 &lt;&gt; "Noble Form")*(ISBLANK(pokemon!$AK$2:$AK$415)), pokemon!$V$2:$V$415))</f>
        <v>20</v>
      </c>
      <c r="J44">
        <f t="shared" si="1"/>
        <v>0</v>
      </c>
    </row>
    <row r="45" spans="1:10" x14ac:dyDescent="0.25">
      <c r="A45" t="s">
        <v>485</v>
      </c>
      <c r="B45" s="8" t="s">
        <v>11</v>
      </c>
      <c r="C45">
        <v>80</v>
      </c>
      <c r="D45">
        <f t="shared" si="0"/>
        <v>4</v>
      </c>
      <c r="F45" t="s">
        <v>1428</v>
      </c>
      <c r="G45" cm="1">
        <f t="array" ref="G45">COUNT(IF(($A45=pokemon!$AC$2:$AC$415)*(pokemon!$D$2:$D$415 &lt;&gt; "Noble Form")*(ISBLANK(pokemon!$AK$2:$AK$415)), pokemon!$V$2:$V$415))</f>
        <v>1</v>
      </c>
      <c r="H45" cm="1">
        <f t="array" ref="H45">MIN(IF(($A45=pokemon!$AC$2:$AC$415)*(pokemon!$D$2:$D$415 &lt;&gt; "Noble Form")*(ISBLANK(pokemon!$AK$2:$AK$415)), pokemon!$V$2:$V$415))</f>
        <v>17</v>
      </c>
      <c r="I45" cm="1">
        <f t="array" ref="I45">MAX(IF(($A45=pokemon!$AC$2:$AC$415)*(pokemon!$D$2:$D$415 &lt;&gt; "Noble Form")*(ISBLANK(pokemon!$AK$2:$AK$415)), pokemon!$V$2:$V$415))</f>
        <v>17</v>
      </c>
      <c r="J45">
        <f t="shared" si="1"/>
        <v>0</v>
      </c>
    </row>
    <row r="46" spans="1:10" x14ac:dyDescent="0.25">
      <c r="A46" t="s">
        <v>661</v>
      </c>
      <c r="B46" s="8" t="s">
        <v>11</v>
      </c>
      <c r="C46">
        <v>85</v>
      </c>
      <c r="D46">
        <f t="shared" si="0"/>
        <v>4</v>
      </c>
      <c r="F46" t="s">
        <v>1475</v>
      </c>
      <c r="G46" cm="1">
        <f t="array" ref="G46">COUNT(IF(($A46=pokemon!$AC$2:$AC$415)*(pokemon!$D$2:$D$415 &lt;&gt; "Noble Form")*(ISBLANK(pokemon!$AK$2:$AK$415)), pokemon!$V$2:$V$415))</f>
        <v>2</v>
      </c>
      <c r="H46" cm="1">
        <f t="array" ref="H46">MIN(IF(($A46=pokemon!$AC$2:$AC$415)*(pokemon!$D$2:$D$415 &lt;&gt; "Noble Form")*(ISBLANK(pokemon!$AK$2:$AK$415)), pokemon!$V$2:$V$415))</f>
        <v>18</v>
      </c>
      <c r="I46" cm="1">
        <f t="array" ref="I46">MAX(IF(($A46=pokemon!$AC$2:$AC$415)*(pokemon!$D$2:$D$415 &lt;&gt; "Noble Form")*(ISBLANK(pokemon!$AK$2:$AK$415)), pokemon!$V$2:$V$415))</f>
        <v>19</v>
      </c>
      <c r="J46">
        <f t="shared" si="1"/>
        <v>1</v>
      </c>
    </row>
    <row r="47" spans="1:10" x14ac:dyDescent="0.25">
      <c r="A47" t="s">
        <v>1088</v>
      </c>
      <c r="B47" s="8" t="s">
        <v>11</v>
      </c>
      <c r="C47">
        <v>100</v>
      </c>
      <c r="D47">
        <f t="shared" si="0"/>
        <v>5</v>
      </c>
      <c r="E47" s="1" t="s">
        <v>1241</v>
      </c>
      <c r="F47" t="s">
        <v>1264</v>
      </c>
      <c r="G47" cm="1">
        <f t="array" ref="G47">COUNT(IF(($A47=pokemon!$AC$2:$AC$415)*(pokemon!$D$2:$D$415 &lt;&gt; "Noble Form")*(ISBLANK(pokemon!$AK$2:$AK$415)), pokemon!$V$2:$V$415))</f>
        <v>1</v>
      </c>
      <c r="H47" cm="1">
        <f t="array" ref="H47">MIN(IF(($A47=pokemon!$AC$2:$AC$415)*(pokemon!$D$2:$D$415 &lt;&gt; "Noble Form")*(ISBLANK(pokemon!$AK$2:$AK$415)), pokemon!$V$2:$V$415))</f>
        <v>20</v>
      </c>
      <c r="I47" cm="1">
        <f t="array" ref="I47">MAX(IF(($A47=pokemon!$AC$2:$AC$415)*(pokemon!$D$2:$D$415 &lt;&gt; "Noble Form")*(ISBLANK(pokemon!$AK$2:$AK$415)), pokemon!$V$2:$V$415))</f>
        <v>20</v>
      </c>
      <c r="J47">
        <f t="shared" si="1"/>
        <v>0</v>
      </c>
    </row>
    <row r="48" spans="1:10" x14ac:dyDescent="0.25">
      <c r="A48" t="s">
        <v>486</v>
      </c>
      <c r="B48" s="8" t="s">
        <v>11</v>
      </c>
      <c r="C48">
        <v>100</v>
      </c>
      <c r="D48">
        <f t="shared" si="0"/>
        <v>5</v>
      </c>
      <c r="F48" t="s">
        <v>1430</v>
      </c>
      <c r="G48" cm="1">
        <f t="array" ref="G48">COUNT(IF(($A48=pokemon!$AC$2:$AC$415)*(pokemon!$D$2:$D$415 &lt;&gt; "Noble Form")*(ISBLANK(pokemon!$AK$2:$AK$415)), pokemon!$V$2:$V$415))</f>
        <v>2</v>
      </c>
      <c r="H48" cm="1">
        <f t="array" ref="H48">MIN(IF(($A48=pokemon!$AC$2:$AC$415)*(pokemon!$D$2:$D$415 &lt;&gt; "Noble Form")*(ISBLANK(pokemon!$AK$2:$AK$415)), pokemon!$V$2:$V$415))</f>
        <v>18</v>
      </c>
      <c r="I48" cm="1">
        <f t="array" ref="I48">MAX(IF(($A48=pokemon!$AC$2:$AC$415)*(pokemon!$D$2:$D$415 &lt;&gt; "Noble Form")*(ISBLANK(pokemon!$AK$2:$AK$415)), pokemon!$V$2:$V$415))</f>
        <v>18</v>
      </c>
      <c r="J48">
        <f t="shared" si="1"/>
        <v>0</v>
      </c>
    </row>
    <row r="49" spans="1:10" x14ac:dyDescent="0.25">
      <c r="A49" t="s">
        <v>571</v>
      </c>
      <c r="B49" s="8" t="s">
        <v>11</v>
      </c>
      <c r="C49">
        <v>110</v>
      </c>
      <c r="D49">
        <f t="shared" si="0"/>
        <v>5</v>
      </c>
      <c r="F49" t="s">
        <v>1432</v>
      </c>
      <c r="G49" cm="1">
        <f t="array" ref="G49">COUNT(IF(($A49=pokemon!$AC$2:$AC$415)*(pokemon!$D$2:$D$415 &lt;&gt; "Noble Form")*(ISBLANK(pokemon!$AK$2:$AK$415)), pokemon!$V$2:$V$415))</f>
        <v>1</v>
      </c>
      <c r="H49" cm="1">
        <f t="array" ref="H49">MIN(IF(($A49=pokemon!$AC$2:$AC$415)*(pokemon!$D$2:$D$415 &lt;&gt; "Noble Form")*(ISBLANK(pokemon!$AK$2:$AK$415)), pokemon!$V$2:$V$415))</f>
        <v>17</v>
      </c>
      <c r="I49" cm="1">
        <f t="array" ref="I49">MAX(IF(($A49=pokemon!$AC$2:$AC$415)*(pokemon!$D$2:$D$415 &lt;&gt; "Noble Form")*(ISBLANK(pokemon!$AK$2:$AK$415)), pokemon!$V$2:$V$415))</f>
        <v>17</v>
      </c>
      <c r="J49">
        <f t="shared" si="1"/>
        <v>0</v>
      </c>
    </row>
    <row r="50" spans="1:10" x14ac:dyDescent="0.25">
      <c r="A50" t="s">
        <v>648</v>
      </c>
      <c r="B50" s="8" t="s">
        <v>11</v>
      </c>
      <c r="D50" t="str">
        <f t="shared" si="0"/>
        <v/>
      </c>
      <c r="E50" s="1" t="s">
        <v>1241</v>
      </c>
      <c r="F50" t="s">
        <v>1271</v>
      </c>
      <c r="G50" cm="1">
        <f t="array" ref="G50">COUNT(IF(($A50=pokemon!$AC$2:$AC$415)*(pokemon!$D$2:$D$415 &lt;&gt; "Noble Form")*(ISBLANK(pokemon!$AK$2:$AK$415)), pokemon!$V$2:$V$415))</f>
        <v>1</v>
      </c>
      <c r="H50" cm="1">
        <f t="array" ref="H50">MIN(IF(($A50=pokemon!$AC$2:$AC$415)*(pokemon!$D$2:$D$415 &lt;&gt; "Noble Form")*(ISBLANK(pokemon!$AK$2:$AK$415)), pokemon!$V$2:$V$415))</f>
        <v>12</v>
      </c>
      <c r="I50" cm="1">
        <f t="array" ref="I50">MAX(IF(($A50=pokemon!$AC$2:$AC$415)*(pokemon!$D$2:$D$415 &lt;&gt; "Noble Form")*(ISBLANK(pokemon!$AK$2:$AK$415)), pokemon!$V$2:$V$415))</f>
        <v>12</v>
      </c>
      <c r="J50">
        <f t="shared" si="1"/>
        <v>0</v>
      </c>
    </row>
    <row r="51" spans="1:10" x14ac:dyDescent="0.25">
      <c r="A51" t="s">
        <v>1184</v>
      </c>
      <c r="B51" s="8" t="s">
        <v>11</v>
      </c>
      <c r="C51">
        <v>60</v>
      </c>
      <c r="D51">
        <f t="shared" si="0"/>
        <v>3</v>
      </c>
      <c r="E51" s="1" t="s">
        <v>1228</v>
      </c>
      <c r="F51" t="s">
        <v>1408</v>
      </c>
      <c r="G51" cm="1">
        <f t="array" ref="G51">COUNT(IF(($A51=pokemon!$AC$2:$AC$415)*(pokemon!$D$2:$D$415 &lt;&gt; "Noble Form")*(ISBLANK(pokemon!$AK$2:$AK$415)), pokemon!$V$2:$V$415))</f>
        <v>1</v>
      </c>
      <c r="H51" cm="1">
        <f t="array" ref="H51">MIN(IF(($A51=pokemon!$AC$2:$AC$415)*(pokemon!$D$2:$D$415 &lt;&gt; "Noble Form")*(ISBLANK(pokemon!$AK$2:$AK$415)), pokemon!$V$2:$V$415))</f>
        <v>20</v>
      </c>
      <c r="I51" cm="1">
        <f t="array" ref="I51">MAX(IF(($A51=pokemon!$AC$2:$AC$415)*(pokemon!$D$2:$D$415 &lt;&gt; "Noble Form")*(ISBLANK(pokemon!$AK$2:$AK$415)), pokemon!$V$2:$V$415))</f>
        <v>20</v>
      </c>
      <c r="J51">
        <f t="shared" si="1"/>
        <v>0</v>
      </c>
    </row>
    <row r="52" spans="1:10" x14ac:dyDescent="0.25">
      <c r="A52" t="s">
        <v>1388</v>
      </c>
      <c r="B52" s="8" t="s">
        <v>11</v>
      </c>
      <c r="C52">
        <v>80</v>
      </c>
      <c r="D52">
        <f t="shared" si="0"/>
        <v>4</v>
      </c>
      <c r="E52" s="1" t="s">
        <v>1242</v>
      </c>
      <c r="F52" t="s">
        <v>1422</v>
      </c>
      <c r="G52" cm="1">
        <f t="array" ref="G52">COUNT(IF(($A52=pokemon!$AC$2:$AC$415)*(pokemon!$D$2:$D$415 &lt;&gt; "Noble Form")*(ISBLANK(pokemon!$AK$2:$AK$415)), pokemon!$V$2:$V$415))</f>
        <v>1</v>
      </c>
      <c r="H52" cm="1">
        <f t="array" ref="H52">MIN(IF(($A52=pokemon!$AC$2:$AC$415)*(pokemon!$D$2:$D$415 &lt;&gt; "Noble Form")*(ISBLANK(pokemon!$AK$2:$AK$415)), pokemon!$V$2:$V$415))</f>
        <v>10</v>
      </c>
      <c r="I52" cm="1">
        <f t="array" ref="I52">MAX(IF(($A52=pokemon!$AC$2:$AC$415)*(pokemon!$D$2:$D$415 &lt;&gt; "Noble Form")*(ISBLANK(pokemon!$AK$2:$AK$415)), pokemon!$V$2:$V$415))</f>
        <v>10</v>
      </c>
      <c r="J52">
        <f t="shared" si="1"/>
        <v>0</v>
      </c>
    </row>
    <row r="53" spans="1:10" x14ac:dyDescent="0.25">
      <c r="A53" t="s">
        <v>835</v>
      </c>
      <c r="B53" s="21" t="s">
        <v>16</v>
      </c>
      <c r="C53">
        <v>20</v>
      </c>
      <c r="D53">
        <v>1</v>
      </c>
      <c r="E53" s="1" t="s">
        <v>1219</v>
      </c>
      <c r="F53" t="s">
        <v>1458</v>
      </c>
      <c r="G53" cm="1">
        <f t="array" ref="G53">COUNT(IF(($A53=pokemon!$AC$2:$AC$415)*(pokemon!$D$2:$D$415 &lt;&gt; "Noble Form")*(ISBLANK(pokemon!$AK$2:$AK$415)), pokemon!$V$2:$V$415))</f>
        <v>1</v>
      </c>
      <c r="H53" cm="1">
        <f t="array" ref="H53">MIN(IF(($A53=pokemon!$AC$2:$AC$415)*(pokemon!$D$2:$D$415 &lt;&gt; "Noble Form")*(ISBLANK(pokemon!$AK$2:$AK$415)), pokemon!$V$2:$V$415))</f>
        <v>8</v>
      </c>
      <c r="I53" cm="1">
        <f t="array" ref="I53">MAX(IF(($A53=pokemon!$AC$2:$AC$415)*(pokemon!$D$2:$D$415 &lt;&gt; "Noble Form")*(ISBLANK(pokemon!$AK$2:$AK$415)), pokemon!$V$2:$V$415))</f>
        <v>8</v>
      </c>
      <c r="J53">
        <f t="shared" si="1"/>
        <v>0</v>
      </c>
    </row>
    <row r="54" spans="1:10" x14ac:dyDescent="0.25">
      <c r="A54" t="s">
        <v>1031</v>
      </c>
      <c r="B54" s="21" t="s">
        <v>16</v>
      </c>
      <c r="C54">
        <v>50</v>
      </c>
      <c r="D54">
        <f t="shared" ref="D54:D117" si="4">IF(NOT(ISBLANK(C54)), IF(ISNUMBER(C54), ROUND((C54 - 5)/20, 0), C54), "")</f>
        <v>2</v>
      </c>
      <c r="F54" t="s">
        <v>1467</v>
      </c>
      <c r="G54" cm="1">
        <f t="array" ref="G54">COUNT(IF(($A54=pokemon!$AC$2:$AC$415)*(pokemon!$D$2:$D$415 &lt;&gt; "Noble Form")*(ISBLANK(pokemon!$AK$2:$AK$415)), pokemon!$V$2:$V$415))</f>
        <v>1</v>
      </c>
      <c r="H54" cm="1">
        <f t="array" ref="H54">MIN(IF(($A54=pokemon!$AC$2:$AC$415)*(pokemon!$D$2:$D$415 &lt;&gt; "Noble Form")*(ISBLANK(pokemon!$AK$2:$AK$415)), pokemon!$V$2:$V$415))</f>
        <v>10</v>
      </c>
      <c r="I54" cm="1">
        <f t="array" ref="I54">MAX(IF(($A54=pokemon!$AC$2:$AC$415)*(pokemon!$D$2:$D$415 &lt;&gt; "Noble Form")*(ISBLANK(pokemon!$AK$2:$AK$415)), pokemon!$V$2:$V$415))</f>
        <v>10</v>
      </c>
      <c r="J54">
        <f t="shared" si="1"/>
        <v>0</v>
      </c>
    </row>
    <row r="55" spans="1:10" x14ac:dyDescent="0.25">
      <c r="A55" t="s">
        <v>829</v>
      </c>
      <c r="B55" s="21" t="s">
        <v>16</v>
      </c>
      <c r="C55">
        <v>40</v>
      </c>
      <c r="D55">
        <f t="shared" si="4"/>
        <v>2</v>
      </c>
      <c r="E55" s="1" t="s">
        <v>1228</v>
      </c>
      <c r="F55" t="s">
        <v>1215</v>
      </c>
      <c r="G55" cm="1">
        <f t="array" ref="G55">COUNT(IF(($A55=pokemon!$AC$2:$AC$415)*(pokemon!$D$2:$D$415 &lt;&gt; "Noble Form")*(ISBLANK(pokemon!$AK$2:$AK$415)), pokemon!$V$2:$V$415))</f>
        <v>1</v>
      </c>
      <c r="H55" cm="1">
        <f t="array" ref="H55">MIN(IF(($A55=pokemon!$AC$2:$AC$415)*(pokemon!$D$2:$D$415 &lt;&gt; "Noble Form")*(ISBLANK(pokemon!$AK$2:$AK$415)), pokemon!$V$2:$V$415))</f>
        <v>14</v>
      </c>
      <c r="I55" cm="1">
        <f t="array" ref="I55">MAX(IF(($A55=pokemon!$AC$2:$AC$415)*(pokemon!$D$2:$D$415 &lt;&gt; "Noble Form")*(ISBLANK(pokemon!$AK$2:$AK$415)), pokemon!$V$2:$V$415))</f>
        <v>14</v>
      </c>
      <c r="J55">
        <f t="shared" si="1"/>
        <v>0</v>
      </c>
    </row>
    <row r="56" spans="1:10" x14ac:dyDescent="0.25">
      <c r="A56" t="s">
        <v>834</v>
      </c>
      <c r="B56" s="21" t="s">
        <v>16</v>
      </c>
      <c r="C56">
        <v>40</v>
      </c>
      <c r="D56">
        <f t="shared" si="4"/>
        <v>2</v>
      </c>
      <c r="F56" t="s">
        <v>1409</v>
      </c>
      <c r="G56" cm="1">
        <f t="array" ref="G56">COUNT(IF(($A56=pokemon!$AC$2:$AC$415)*(pokemon!$D$2:$D$415 &lt;&gt; "Noble Form")*(ISBLANK(pokemon!$AK$2:$AK$415)), pokemon!$V$2:$V$415))</f>
        <v>1</v>
      </c>
      <c r="H56" cm="1">
        <f t="array" ref="H56">MIN(IF(($A56=pokemon!$AC$2:$AC$415)*(pokemon!$D$2:$D$415 &lt;&gt; "Noble Form")*(ISBLANK(pokemon!$AK$2:$AK$415)), pokemon!$V$2:$V$415))</f>
        <v>10</v>
      </c>
      <c r="I56" cm="1">
        <f t="array" ref="I56">MAX(IF(($A56=pokemon!$AC$2:$AC$415)*(pokemon!$D$2:$D$415 &lt;&gt; "Noble Form")*(ISBLANK(pokemon!$AK$2:$AK$415)), pokemon!$V$2:$V$415))</f>
        <v>10</v>
      </c>
      <c r="J56">
        <f t="shared" si="1"/>
        <v>0</v>
      </c>
    </row>
    <row r="57" spans="1:10" x14ac:dyDescent="0.25">
      <c r="A57" t="s">
        <v>1086</v>
      </c>
      <c r="B57" s="21" t="s">
        <v>16</v>
      </c>
      <c r="C57">
        <v>40</v>
      </c>
      <c r="D57">
        <f t="shared" si="4"/>
        <v>2</v>
      </c>
      <c r="F57" s="26" t="s">
        <v>1433</v>
      </c>
      <c r="G57" cm="1">
        <f t="array" ref="G57">COUNT(IF(($A57=pokemon!$AC$2:$AC$415)*(pokemon!$D$2:$D$415 &lt;&gt; "Noble Form")*(ISBLANK(pokemon!$AK$2:$AK$415)), pokemon!$V$2:$V$415))</f>
        <v>1</v>
      </c>
      <c r="H57" cm="1">
        <f t="array" ref="H57">MIN(IF(($A57=pokemon!$AC$2:$AC$415)*(pokemon!$D$2:$D$415 &lt;&gt; "Noble Form")*(ISBLANK(pokemon!$AK$2:$AK$415)), pokemon!$V$2:$V$415))</f>
        <v>16</v>
      </c>
      <c r="I57" cm="1">
        <f t="array" ref="I57">MAX(IF(($A57=pokemon!$AC$2:$AC$415)*(pokemon!$D$2:$D$415 &lt;&gt; "Noble Form")*(ISBLANK(pokemon!$AK$2:$AK$415)), pokemon!$V$2:$V$415))</f>
        <v>16</v>
      </c>
      <c r="J57">
        <f t="shared" si="1"/>
        <v>0</v>
      </c>
    </row>
    <row r="58" spans="1:10" x14ac:dyDescent="0.25">
      <c r="A58" t="s">
        <v>508</v>
      </c>
      <c r="B58" s="21" t="s">
        <v>16</v>
      </c>
      <c r="C58">
        <v>70</v>
      </c>
      <c r="D58">
        <f t="shared" si="4"/>
        <v>3</v>
      </c>
      <c r="F58" t="s">
        <v>1417</v>
      </c>
      <c r="G58" cm="1">
        <f t="array" ref="G58">COUNT(IF(($A58=pokemon!$AC$2:$AC$415)*(pokemon!$D$2:$D$415 &lt;&gt; "Noble Form")*(ISBLANK(pokemon!$AK$2:$AK$415)), pokemon!$V$2:$V$415))</f>
        <v>3</v>
      </c>
      <c r="H58" cm="1">
        <f t="array" ref="H58">MIN(IF(($A58=pokemon!$AC$2:$AC$415)*(pokemon!$D$2:$D$415 &lt;&gt; "Noble Form")*(ISBLANK(pokemon!$AK$2:$AK$415)), pokemon!$V$2:$V$415))</f>
        <v>10</v>
      </c>
      <c r="I58" cm="1">
        <f t="array" ref="I58">MAX(IF(($A58=pokemon!$AC$2:$AC$415)*(pokemon!$D$2:$D$415 &lt;&gt; "Noble Form")*(ISBLANK(pokemon!$AK$2:$AK$415)), pokemon!$V$2:$V$415))</f>
        <v>11</v>
      </c>
      <c r="J58">
        <f t="shared" si="1"/>
        <v>1</v>
      </c>
    </row>
    <row r="59" spans="1:10" x14ac:dyDescent="0.25">
      <c r="A59" t="s">
        <v>706</v>
      </c>
      <c r="B59" s="21" t="s">
        <v>16</v>
      </c>
      <c r="C59">
        <v>75</v>
      </c>
      <c r="D59">
        <f t="shared" si="4"/>
        <v>4</v>
      </c>
      <c r="F59" t="s">
        <v>1392</v>
      </c>
      <c r="G59" cm="1">
        <f t="array" ref="G59">COUNT(IF(($A59=pokemon!$AC$2:$AC$415)*(pokemon!$D$2:$D$415 &lt;&gt; "Noble Form")*(ISBLANK(pokemon!$AK$2:$AK$415)), pokemon!$V$2:$V$415))</f>
        <v>1</v>
      </c>
      <c r="H59" cm="1">
        <f t="array" ref="H59">MIN(IF(($A59=pokemon!$AC$2:$AC$415)*(pokemon!$D$2:$D$415 &lt;&gt; "Noble Form")*(ISBLANK(pokemon!$AK$2:$AK$415)), pokemon!$V$2:$V$415))</f>
        <v>14</v>
      </c>
      <c r="I59" cm="1">
        <f t="array" ref="I59">MAX(IF(($A59=pokemon!$AC$2:$AC$415)*(pokemon!$D$2:$D$415 &lt;&gt; "Noble Form")*(ISBLANK(pokemon!$AK$2:$AK$415)), pokemon!$V$2:$V$415))</f>
        <v>14</v>
      </c>
      <c r="J59">
        <f t="shared" si="1"/>
        <v>0</v>
      </c>
    </row>
    <row r="60" spans="1:10" x14ac:dyDescent="0.25">
      <c r="A60" t="s">
        <v>534</v>
      </c>
      <c r="B60" s="21" t="s">
        <v>16</v>
      </c>
      <c r="C60">
        <v>100</v>
      </c>
      <c r="D60">
        <f t="shared" si="4"/>
        <v>5</v>
      </c>
      <c r="F60" t="s">
        <v>1466</v>
      </c>
      <c r="G60" cm="1">
        <f t="array" ref="G60">COUNT(IF(($A60=pokemon!$AC$2:$AC$415)*(pokemon!$D$2:$D$415 &lt;&gt; "Noble Form")*(ISBLANK(pokemon!$AK$2:$AK$415)), pokemon!$V$2:$V$415))</f>
        <v>3</v>
      </c>
      <c r="H60" cm="1">
        <f t="array" ref="H60">MIN(IF(($A60=pokemon!$AC$2:$AC$415)*(pokemon!$D$2:$D$415 &lt;&gt; "Noble Form")*(ISBLANK(pokemon!$AK$2:$AK$415)), pokemon!$V$2:$V$415))</f>
        <v>17</v>
      </c>
      <c r="I60" cm="1">
        <f t="array" ref="I60">MAX(IF(($A60=pokemon!$AC$2:$AC$415)*(pokemon!$D$2:$D$415 &lt;&gt; "Noble Form")*(ISBLANK(pokemon!$AK$2:$AK$415)), pokemon!$V$2:$V$415))</f>
        <v>18</v>
      </c>
      <c r="J60">
        <f t="shared" si="1"/>
        <v>1</v>
      </c>
    </row>
    <row r="61" spans="1:10" x14ac:dyDescent="0.25">
      <c r="A61" t="s">
        <v>1167</v>
      </c>
      <c r="B61" s="21" t="s">
        <v>16</v>
      </c>
      <c r="C61">
        <v>80</v>
      </c>
      <c r="D61">
        <f t="shared" si="4"/>
        <v>4</v>
      </c>
      <c r="F61" t="s">
        <v>1393</v>
      </c>
      <c r="G61" cm="1">
        <f t="array" ref="G61">COUNT(IF(($A61=pokemon!$AC$2:$AC$415)*(pokemon!$D$2:$D$415 &lt;&gt; "Noble Form")*(ISBLANK(pokemon!$AK$2:$AK$415)), pokemon!$V$2:$V$415))</f>
        <v>1</v>
      </c>
      <c r="H61" cm="1">
        <f t="array" ref="H61">MIN(IF(($A61=pokemon!$AC$2:$AC$415)*(pokemon!$D$2:$D$415 &lt;&gt; "Noble Form")*(ISBLANK(pokemon!$AK$2:$AK$415)), pokemon!$V$2:$V$415))</f>
        <v>21</v>
      </c>
      <c r="I61" cm="1">
        <f t="array" ref="I61">MAX(IF(($A61=pokemon!$AC$2:$AC$415)*(pokemon!$D$2:$D$415 &lt;&gt; "Noble Form")*(ISBLANK(pokemon!$AK$2:$AK$415)), pokemon!$V$2:$V$415))</f>
        <v>21</v>
      </c>
      <c r="J61">
        <f t="shared" si="1"/>
        <v>0</v>
      </c>
    </row>
    <row r="62" spans="1:10" x14ac:dyDescent="0.25">
      <c r="A62" t="s">
        <v>715</v>
      </c>
      <c r="B62" s="4" t="s">
        <v>22</v>
      </c>
      <c r="C62">
        <v>40</v>
      </c>
      <c r="D62">
        <f t="shared" si="4"/>
        <v>2</v>
      </c>
      <c r="E62" s="1" t="s">
        <v>1219</v>
      </c>
      <c r="F62" t="s">
        <v>1394</v>
      </c>
      <c r="G62" cm="1">
        <f t="array" ref="G62">COUNT(IF(($A62=pokemon!$AC$2:$AC$415)*(pokemon!$D$2:$D$415 &lt;&gt; "Noble Form")*(ISBLANK(pokemon!$AK$2:$AK$415)), pokemon!$V$2:$V$415))</f>
        <v>1</v>
      </c>
      <c r="H62" cm="1">
        <f t="array" ref="H62">MIN(IF(($A62=pokemon!$AC$2:$AC$415)*(pokemon!$D$2:$D$415 &lt;&gt; "Noble Form")*(ISBLANK(pokemon!$AK$2:$AK$415)), pokemon!$V$2:$V$415))</f>
        <v>14</v>
      </c>
      <c r="I62" cm="1">
        <f t="array" ref="I62">MAX(IF(($A62=pokemon!$AC$2:$AC$415)*(pokemon!$D$2:$D$415 &lt;&gt; "Noble Form")*(ISBLANK(pokemon!$AK$2:$AK$415)), pokemon!$V$2:$V$415))</f>
        <v>14</v>
      </c>
      <c r="J62">
        <f t="shared" si="1"/>
        <v>0</v>
      </c>
    </row>
    <row r="63" spans="1:10" x14ac:dyDescent="0.25">
      <c r="A63" t="s">
        <v>527</v>
      </c>
      <c r="B63" s="4" t="s">
        <v>22</v>
      </c>
      <c r="C63">
        <v>50</v>
      </c>
      <c r="D63">
        <f t="shared" si="4"/>
        <v>2</v>
      </c>
      <c r="E63" s="1" t="s">
        <v>1241</v>
      </c>
      <c r="F63" t="s">
        <v>1251</v>
      </c>
      <c r="G63" cm="1">
        <f t="array" ref="G63">COUNT(IF(($A63=pokemon!$AC$2:$AC$415)*(pokemon!$D$2:$D$415 &lt;&gt; "Noble Form")*(ISBLANK(pokemon!$AK$2:$AK$415)), pokemon!$V$2:$V$415))</f>
        <v>1</v>
      </c>
      <c r="H63" cm="1">
        <f t="array" ref="H63">MIN(IF(($A63=pokemon!$AC$2:$AC$415)*(pokemon!$D$2:$D$415 &lt;&gt; "Noble Form")*(ISBLANK(pokemon!$AK$2:$AK$415)), pokemon!$V$2:$V$415))</f>
        <v>10</v>
      </c>
      <c r="I63" cm="1">
        <f t="array" ref="I63">MAX(IF(($A63=pokemon!$AC$2:$AC$415)*(pokemon!$D$2:$D$415 &lt;&gt; "Noble Form")*(ISBLANK(pokemon!$AK$2:$AK$415)), pokemon!$V$2:$V$415))</f>
        <v>10</v>
      </c>
      <c r="J63">
        <f t="shared" si="1"/>
        <v>0</v>
      </c>
    </row>
    <row r="64" spans="1:10" x14ac:dyDescent="0.25">
      <c r="A64" t="s">
        <v>1016</v>
      </c>
      <c r="B64" s="4" t="s">
        <v>22</v>
      </c>
      <c r="C64">
        <v>40</v>
      </c>
      <c r="D64">
        <f t="shared" si="4"/>
        <v>2</v>
      </c>
      <c r="E64" s="1" t="s">
        <v>1228</v>
      </c>
      <c r="F64" t="s">
        <v>1423</v>
      </c>
      <c r="G64" cm="1">
        <f t="array" ref="G64">COUNT(IF(($A64=pokemon!$AC$2:$AC$415)*(pokemon!$D$2:$D$415 &lt;&gt; "Noble Form")*(ISBLANK(pokemon!$AK$2:$AK$415)), pokemon!$V$2:$V$415))</f>
        <v>1</v>
      </c>
      <c r="H64" cm="1">
        <f t="array" ref="H64">MIN(IF(($A64=pokemon!$AC$2:$AC$415)*(pokemon!$D$2:$D$415 &lt;&gt; "Noble Form")*(ISBLANK(pokemon!$AK$2:$AK$415)), pokemon!$V$2:$V$415))</f>
        <v>10</v>
      </c>
      <c r="I64" cm="1">
        <f t="array" ref="I64">MAX(IF(($A64=pokemon!$AC$2:$AC$415)*(pokemon!$D$2:$D$415 &lt;&gt; "Noble Form")*(ISBLANK(pokemon!$AK$2:$AK$415)), pokemon!$V$2:$V$415))</f>
        <v>10</v>
      </c>
      <c r="J64">
        <f t="shared" si="1"/>
        <v>0</v>
      </c>
    </row>
    <row r="65" spans="1:10" x14ac:dyDescent="0.25">
      <c r="A65" t="s">
        <v>577</v>
      </c>
      <c r="B65" s="4" t="s">
        <v>22</v>
      </c>
      <c r="C65">
        <v>80</v>
      </c>
      <c r="D65">
        <f t="shared" si="4"/>
        <v>4</v>
      </c>
      <c r="F65" t="s">
        <v>1434</v>
      </c>
      <c r="G65" cm="1">
        <f t="array" ref="G65">COUNT(IF(($A65=pokemon!$AC$2:$AC$415)*(pokemon!$D$2:$D$415 &lt;&gt; "Noble Form")*(ISBLANK(pokemon!$AK$2:$AK$415)), pokemon!$V$2:$V$415))</f>
        <v>1</v>
      </c>
      <c r="H65" cm="1">
        <f t="array" ref="H65">MIN(IF(($A65=pokemon!$AC$2:$AC$415)*(pokemon!$D$2:$D$415 &lt;&gt; "Noble Form")*(ISBLANK(pokemon!$AK$2:$AK$415)), pokemon!$V$2:$V$415))</f>
        <v>17</v>
      </c>
      <c r="I65" cm="1">
        <f t="array" ref="I65">MAX(IF(($A65=pokemon!$AC$2:$AC$415)*(pokemon!$D$2:$D$415 &lt;&gt; "Noble Form")*(ISBLANK(pokemon!$AK$2:$AK$415)), pokemon!$V$2:$V$415))</f>
        <v>17</v>
      </c>
      <c r="J65">
        <f t="shared" si="1"/>
        <v>0</v>
      </c>
    </row>
    <row r="66" spans="1:10" x14ac:dyDescent="0.25">
      <c r="A66" t="s">
        <v>564</v>
      </c>
      <c r="B66" s="4" t="s">
        <v>22</v>
      </c>
      <c r="C66">
        <v>60</v>
      </c>
      <c r="D66">
        <f t="shared" si="4"/>
        <v>3</v>
      </c>
      <c r="F66" t="s">
        <v>1420</v>
      </c>
      <c r="G66" cm="1">
        <f t="array" ref="G66">COUNT(IF(($A66=pokemon!$AC$2:$AC$415)*(pokemon!$D$2:$D$415 &lt;&gt; "Noble Form")*(ISBLANK(pokemon!$AK$2:$AK$415)), pokemon!$V$2:$V$415))</f>
        <v>1</v>
      </c>
      <c r="H66" cm="1">
        <f t="array" ref="H66">MIN(IF(($A66=pokemon!$AC$2:$AC$415)*(pokemon!$D$2:$D$415 &lt;&gt; "Noble Form")*(ISBLANK(pokemon!$AK$2:$AK$415)), pokemon!$V$2:$V$415))</f>
        <v>16</v>
      </c>
      <c r="I66" cm="1">
        <f t="array" ref="I66">MAX(IF(($A66=pokemon!$AC$2:$AC$415)*(pokemon!$D$2:$D$415 &lt;&gt; "Noble Form")*(ISBLANK(pokemon!$AK$2:$AK$415)), pokemon!$V$2:$V$415))</f>
        <v>16</v>
      </c>
      <c r="J66">
        <f t="shared" si="1"/>
        <v>0</v>
      </c>
    </row>
    <row r="67" spans="1:10" x14ac:dyDescent="0.25">
      <c r="A67" t="s">
        <v>699</v>
      </c>
      <c r="B67" s="4" t="s">
        <v>22</v>
      </c>
      <c r="C67">
        <v>75</v>
      </c>
      <c r="D67">
        <f t="shared" si="4"/>
        <v>4</v>
      </c>
      <c r="F67" t="s">
        <v>1410</v>
      </c>
      <c r="G67" cm="1">
        <f t="array" ref="G67">COUNT(IF(($A67=pokemon!$AC$2:$AC$415)*(pokemon!$D$2:$D$415 &lt;&gt; "Noble Form")*(ISBLANK(pokemon!$AK$2:$AK$415)), pokemon!$V$2:$V$415))</f>
        <v>1</v>
      </c>
      <c r="H67" cm="1">
        <f t="array" ref="H67">MIN(IF(($A67=pokemon!$AC$2:$AC$415)*(pokemon!$D$2:$D$415 &lt;&gt; "Noble Form")*(ISBLANK(pokemon!$AK$2:$AK$415)), pokemon!$V$2:$V$415))</f>
        <v>28</v>
      </c>
      <c r="I67" cm="1">
        <f t="array" ref="I67">MAX(IF(($A67=pokemon!$AC$2:$AC$415)*(pokemon!$D$2:$D$415 &lt;&gt; "Noble Form")*(ISBLANK(pokemon!$AK$2:$AK$415)), pokemon!$V$2:$V$415))</f>
        <v>28</v>
      </c>
      <c r="J67">
        <f t="shared" si="1"/>
        <v>0</v>
      </c>
    </row>
    <row r="68" spans="1:10" x14ac:dyDescent="0.25">
      <c r="A68" t="s">
        <v>491</v>
      </c>
      <c r="B68" s="4" t="s">
        <v>22</v>
      </c>
      <c r="C68">
        <v>80</v>
      </c>
      <c r="D68">
        <f t="shared" si="4"/>
        <v>4</v>
      </c>
      <c r="F68" t="s">
        <v>1390</v>
      </c>
      <c r="G68" cm="1">
        <f t="array" ref="G68">COUNT(IF(($A68=pokemon!$AC$2:$AC$415)*(pokemon!$D$2:$D$415 &lt;&gt; "Noble Form")*(ISBLANK(pokemon!$AK$2:$AK$415)), pokemon!$V$2:$V$415))</f>
        <v>1</v>
      </c>
      <c r="H68" cm="1">
        <f t="array" ref="H68">MIN(IF(($A68=pokemon!$AC$2:$AC$415)*(pokemon!$D$2:$D$415 &lt;&gt; "Noble Form")*(ISBLANK(pokemon!$AK$2:$AK$415)), pokemon!$V$2:$V$415))</f>
        <v>18</v>
      </c>
      <c r="I68" cm="1">
        <f t="array" ref="I68">MAX(IF(($A68=pokemon!$AC$2:$AC$415)*(pokemon!$D$2:$D$415 &lt;&gt; "Noble Form")*(ISBLANK(pokemon!$AK$2:$AK$415)), pokemon!$V$2:$V$415))</f>
        <v>18</v>
      </c>
      <c r="J68">
        <f t="shared" si="1"/>
        <v>0</v>
      </c>
    </row>
    <row r="69" spans="1:10" x14ac:dyDescent="0.25">
      <c r="A69" t="s">
        <v>963</v>
      </c>
      <c r="B69" s="4" t="s">
        <v>22</v>
      </c>
      <c r="C69">
        <v>90</v>
      </c>
      <c r="D69">
        <f t="shared" si="4"/>
        <v>4</v>
      </c>
      <c r="F69" t="s">
        <v>1018</v>
      </c>
      <c r="G69" cm="1">
        <f t="array" ref="G69">COUNT(IF(($A69=pokemon!$AC$2:$AC$415)*(pokemon!$D$2:$D$415 &lt;&gt; "Noble Form")*(ISBLANK(pokemon!$AK$2:$AK$415)), pokemon!$V$2:$V$415))</f>
        <v>1</v>
      </c>
      <c r="H69" cm="1">
        <f t="array" ref="H69">MIN(IF(($A69=pokemon!$AC$2:$AC$415)*(pokemon!$D$2:$D$415 &lt;&gt; "Noble Form")*(ISBLANK(pokemon!$AK$2:$AK$415)), pokemon!$V$2:$V$415))</f>
        <v>15</v>
      </c>
      <c r="I69" cm="1">
        <f t="array" ref="I69">MAX(IF(($A69=pokemon!$AC$2:$AC$415)*(pokemon!$D$2:$D$415 &lt;&gt; "Noble Form")*(ISBLANK(pokemon!$AK$2:$AK$415)), pokemon!$V$2:$V$415))</f>
        <v>15</v>
      </c>
      <c r="J69">
        <f t="shared" si="1"/>
        <v>0</v>
      </c>
    </row>
    <row r="70" spans="1:10" x14ac:dyDescent="0.25">
      <c r="A70" t="s">
        <v>563</v>
      </c>
      <c r="B70" s="4" t="s">
        <v>22</v>
      </c>
      <c r="C70">
        <v>100</v>
      </c>
      <c r="D70">
        <f t="shared" si="4"/>
        <v>5</v>
      </c>
      <c r="F70" t="s">
        <v>1476</v>
      </c>
      <c r="G70" cm="1">
        <f t="array" ref="G70">COUNT(IF(($A70=pokemon!$AC$2:$AC$415)*(pokemon!$D$2:$D$415 &lt;&gt; "Noble Form")*(ISBLANK(pokemon!$AK$2:$AK$415)), pokemon!$V$2:$V$415))</f>
        <v>2</v>
      </c>
      <c r="H70" cm="1">
        <f t="array" ref="H70">MIN(IF(($A70=pokemon!$AC$2:$AC$415)*(pokemon!$D$2:$D$415 &lt;&gt; "Noble Form")*(ISBLANK(pokemon!$AK$2:$AK$415)), pokemon!$V$2:$V$415))</f>
        <v>16</v>
      </c>
      <c r="I70" cm="1">
        <f t="array" ref="I70">MAX(IF(($A70=pokemon!$AC$2:$AC$415)*(pokemon!$D$2:$D$415 &lt;&gt; "Noble Form")*(ISBLANK(pokemon!$AK$2:$AK$415)), pokemon!$V$2:$V$415))</f>
        <v>17</v>
      </c>
      <c r="J70">
        <f t="shared" si="1"/>
        <v>1</v>
      </c>
    </row>
    <row r="71" spans="1:10" x14ac:dyDescent="0.25">
      <c r="A71" t="s">
        <v>492</v>
      </c>
      <c r="B71" s="4" t="s">
        <v>22</v>
      </c>
      <c r="C71">
        <v>100</v>
      </c>
      <c r="D71">
        <f t="shared" si="4"/>
        <v>5</v>
      </c>
      <c r="F71" t="s">
        <v>1391</v>
      </c>
      <c r="G71" cm="1">
        <f t="array" ref="G71">COUNT(IF(($A71=pokemon!$AC$2:$AC$415)*(pokemon!$D$2:$D$415 &lt;&gt; "Noble Form")*(ISBLANK(pokemon!$AK$2:$AK$415)), pokemon!$V$2:$V$415))</f>
        <v>2</v>
      </c>
      <c r="H71" cm="1">
        <f t="array" ref="H71">MIN(IF(($A71=pokemon!$AC$2:$AC$415)*(pokemon!$D$2:$D$415 &lt;&gt; "Noble Form")*(ISBLANK(pokemon!$AK$2:$AK$415)), pokemon!$V$2:$V$415))</f>
        <v>18</v>
      </c>
      <c r="I71" cm="1">
        <f t="array" ref="I71">MAX(IF(($A71=pokemon!$AC$2:$AC$415)*(pokemon!$D$2:$D$415 &lt;&gt; "Noble Form")*(ISBLANK(pokemon!$AK$2:$AK$415)), pokemon!$V$2:$V$415))</f>
        <v>18</v>
      </c>
      <c r="J71">
        <f t="shared" si="1"/>
        <v>0</v>
      </c>
    </row>
    <row r="72" spans="1:10" x14ac:dyDescent="0.25">
      <c r="A72" t="s">
        <v>704</v>
      </c>
      <c r="B72" s="4" t="s">
        <v>22</v>
      </c>
      <c r="D72" t="str">
        <f t="shared" si="4"/>
        <v/>
      </c>
      <c r="E72" s="1" t="s">
        <v>1241</v>
      </c>
      <c r="F72" t="s">
        <v>1273</v>
      </c>
      <c r="G72" cm="1">
        <f t="array" ref="G72">COUNT(IF(($A72=pokemon!$AC$2:$AC$415)*(pokemon!$D$2:$D$415 &lt;&gt; "Noble Form")*(ISBLANK(pokemon!$AK$2:$AK$415)), pokemon!$V$2:$V$415))</f>
        <v>1</v>
      </c>
      <c r="H72" cm="1">
        <f t="array" ref="H72">MIN(IF(($A72=pokemon!$AC$2:$AC$415)*(pokemon!$D$2:$D$415 &lt;&gt; "Noble Form")*(ISBLANK(pokemon!$AK$2:$AK$415)), pokemon!$V$2:$V$415))</f>
        <v>19</v>
      </c>
      <c r="I72" cm="1">
        <f t="array" ref="I72">MAX(IF(($A72=pokemon!$AC$2:$AC$415)*(pokemon!$D$2:$D$415 &lt;&gt; "Noble Form")*(ISBLANK(pokemon!$AK$2:$AK$415)), pokemon!$V$2:$V$415))</f>
        <v>19</v>
      </c>
      <c r="J72">
        <f t="shared" si="1"/>
        <v>0</v>
      </c>
    </row>
    <row r="73" spans="1:10" x14ac:dyDescent="0.25">
      <c r="A73" t="s">
        <v>722</v>
      </c>
      <c r="B73" s="6" t="s">
        <v>4</v>
      </c>
      <c r="C73">
        <v>20</v>
      </c>
      <c r="D73">
        <f t="shared" si="4"/>
        <v>1</v>
      </c>
      <c r="E73" s="1" t="s">
        <v>1219</v>
      </c>
      <c r="F73" t="s">
        <v>1444</v>
      </c>
      <c r="G73" cm="1">
        <f t="array" ref="G73">COUNT(IF(($A73=pokemon!$AC$2:$AC$415)*(pokemon!$D$2:$D$415 &lt;&gt; "Noble Form")*(ISBLANK(pokemon!$AK$2:$AK$415)), pokemon!$V$2:$V$415))</f>
        <v>1</v>
      </c>
      <c r="H73" cm="1">
        <f t="array" ref="H73">MIN(IF(($A73=pokemon!$AC$2:$AC$415)*(pokemon!$D$2:$D$415 &lt;&gt; "Noble Form")*(ISBLANK(pokemon!$AK$2:$AK$415)), pokemon!$V$2:$V$415))</f>
        <v>10</v>
      </c>
      <c r="I73" cm="1">
        <f t="array" ref="I73">MAX(IF(($A73=pokemon!$AC$2:$AC$415)*(pokemon!$D$2:$D$415 &lt;&gt; "Noble Form")*(ISBLANK(pokemon!$AK$2:$AK$415)), pokemon!$V$2:$V$415))</f>
        <v>10</v>
      </c>
      <c r="J73">
        <f t="shared" si="1"/>
        <v>0</v>
      </c>
    </row>
    <row r="74" spans="1:10" x14ac:dyDescent="0.25">
      <c r="A74" t="s">
        <v>1048</v>
      </c>
      <c r="B74" s="6" t="s">
        <v>4</v>
      </c>
      <c r="C74">
        <v>40</v>
      </c>
      <c r="D74">
        <f t="shared" si="4"/>
        <v>2</v>
      </c>
      <c r="F74" t="s">
        <v>1445</v>
      </c>
      <c r="G74" cm="1">
        <f t="array" ref="G74">COUNT(IF(($A74=pokemon!$AC$2:$AC$415)*(pokemon!$D$2:$D$415 &lt;&gt; "Noble Form")*(ISBLANK(pokemon!$AK$2:$AK$415)), pokemon!$V$2:$V$415))</f>
        <v>1</v>
      </c>
      <c r="H74" cm="1">
        <f t="array" ref="H74">MIN(IF(($A74=pokemon!$AC$2:$AC$415)*(pokemon!$D$2:$D$415 &lt;&gt; "Noble Form")*(ISBLANK(pokemon!$AK$2:$AK$415)), pokemon!$V$2:$V$415))</f>
        <v>17</v>
      </c>
      <c r="I74" cm="1">
        <f t="array" ref="I74">MAX(IF(($A74=pokemon!$AC$2:$AC$415)*(pokemon!$D$2:$D$415 &lt;&gt; "Noble Form")*(ISBLANK(pokemon!$AK$2:$AK$415)), pokemon!$V$2:$V$415))</f>
        <v>17</v>
      </c>
      <c r="J74">
        <f t="shared" si="1"/>
        <v>0</v>
      </c>
    </row>
    <row r="75" spans="1:10" x14ac:dyDescent="0.25">
      <c r="A75" t="s">
        <v>801</v>
      </c>
      <c r="B75" s="6" t="s">
        <v>4</v>
      </c>
      <c r="C75">
        <v>40</v>
      </c>
      <c r="D75">
        <f t="shared" si="4"/>
        <v>2</v>
      </c>
      <c r="F75" t="s">
        <v>1444</v>
      </c>
      <c r="G75" cm="1">
        <f t="array" ref="G75">COUNT(IF(($A75=pokemon!$AC$2:$AC$415)*(pokemon!$D$2:$D$415 &lt;&gt; "Noble Form")*(ISBLANK(pokemon!$AK$2:$AK$415)), pokemon!$V$2:$V$415))</f>
        <v>3</v>
      </c>
      <c r="H75" cm="1">
        <f t="array" ref="H75">MIN(IF(($A75=pokemon!$AC$2:$AC$415)*(pokemon!$D$2:$D$415 &lt;&gt; "Noble Form")*(ISBLANK(pokemon!$AK$2:$AK$415)), pokemon!$V$2:$V$415))</f>
        <v>10</v>
      </c>
      <c r="I75" cm="1">
        <f t="array" ref="I75">MAX(IF(($A75=pokemon!$AC$2:$AC$415)*(pokemon!$D$2:$D$415 &lt;&gt; "Noble Form")*(ISBLANK(pokemon!$AK$2:$AK$415)), pokemon!$V$2:$V$415))</f>
        <v>13</v>
      </c>
      <c r="J75">
        <f t="shared" ref="J75:J141" si="5">I75-H75</f>
        <v>3</v>
      </c>
    </row>
    <row r="76" spans="1:10" x14ac:dyDescent="0.25">
      <c r="A76" t="s">
        <v>675</v>
      </c>
      <c r="B76" s="6" t="s">
        <v>4</v>
      </c>
      <c r="C76">
        <v>40</v>
      </c>
      <c r="D76">
        <f t="shared" si="4"/>
        <v>2</v>
      </c>
      <c r="F76" t="s">
        <v>1411</v>
      </c>
      <c r="G76" cm="1">
        <f t="array" ref="G76">COUNT(IF(($A76=pokemon!$AC$2:$AC$415)*(pokemon!$D$2:$D$415 &lt;&gt; "Noble Form")*(ISBLANK(pokemon!$AK$2:$AK$415)), pokemon!$V$2:$V$415))</f>
        <v>1</v>
      </c>
      <c r="H76" cm="1">
        <f t="array" ref="H76">MIN(IF(($A76=pokemon!$AC$2:$AC$415)*(pokemon!$D$2:$D$415 &lt;&gt; "Noble Form")*(ISBLANK(pokemon!$AK$2:$AK$415)), pokemon!$V$2:$V$415))</f>
        <v>16</v>
      </c>
      <c r="I76" cm="1">
        <f t="array" ref="I76">MAX(IF(($A76=pokemon!$AC$2:$AC$415)*(pokemon!$D$2:$D$415 &lt;&gt; "Noble Form")*(ISBLANK(pokemon!$AK$2:$AK$415)), pokemon!$V$2:$V$415))</f>
        <v>16</v>
      </c>
      <c r="J76">
        <f t="shared" si="5"/>
        <v>0</v>
      </c>
    </row>
    <row r="77" spans="1:10" x14ac:dyDescent="0.25">
      <c r="A77" t="s">
        <v>669</v>
      </c>
      <c r="B77" s="6" t="s">
        <v>4</v>
      </c>
      <c r="C77">
        <v>65</v>
      </c>
      <c r="D77">
        <f t="shared" si="4"/>
        <v>3</v>
      </c>
      <c r="F77" t="s">
        <v>1390</v>
      </c>
      <c r="G77" cm="1">
        <f t="array" ref="G77">COUNT(IF(($A77=pokemon!$AC$2:$AC$415)*(pokemon!$D$2:$D$415 &lt;&gt; "Noble Form")*(ISBLANK(pokemon!$AK$2:$AK$415)), pokemon!$V$2:$V$415))</f>
        <v>1</v>
      </c>
      <c r="H77" cm="1">
        <f t="array" ref="H77">MIN(IF(($A77=pokemon!$AC$2:$AC$415)*(pokemon!$D$2:$D$415 &lt;&gt; "Noble Form")*(ISBLANK(pokemon!$AK$2:$AK$415)), pokemon!$V$2:$V$415))</f>
        <v>12</v>
      </c>
      <c r="I77" cm="1">
        <f t="array" ref="I77">MAX(IF(($A77=pokemon!$AC$2:$AC$415)*(pokemon!$D$2:$D$415 &lt;&gt; "Noble Form")*(ISBLANK(pokemon!$AK$2:$AK$415)), pokemon!$V$2:$V$415))</f>
        <v>12</v>
      </c>
      <c r="J77">
        <f t="shared" si="5"/>
        <v>0</v>
      </c>
    </row>
    <row r="78" spans="1:10" x14ac:dyDescent="0.25">
      <c r="A78" t="s">
        <v>720</v>
      </c>
      <c r="B78" s="6" t="s">
        <v>4</v>
      </c>
      <c r="C78">
        <v>60</v>
      </c>
      <c r="D78">
        <f t="shared" si="4"/>
        <v>3</v>
      </c>
      <c r="E78" s="1" t="s">
        <v>1227</v>
      </c>
      <c r="F78" t="s">
        <v>1417</v>
      </c>
      <c r="G78" cm="1">
        <f t="array" ref="G78">COUNT(IF(($A78=pokemon!$AC$2:$AC$415)*(pokemon!$D$2:$D$415 &lt;&gt; "Noble Form")*(ISBLANK(pokemon!$AK$2:$AK$415)), pokemon!$V$2:$V$415))</f>
        <v>1</v>
      </c>
      <c r="H78" cm="1">
        <f t="array" ref="H78">MIN(IF(($A78=pokemon!$AC$2:$AC$415)*(pokemon!$D$2:$D$415 &lt;&gt; "Noble Form")*(ISBLANK(pokemon!$AK$2:$AK$415)), pokemon!$V$2:$V$415))</f>
        <v>10</v>
      </c>
      <c r="I78" cm="1">
        <f t="array" ref="I78">MAX(IF(($A78=pokemon!$AC$2:$AC$415)*(pokemon!$D$2:$D$415 &lt;&gt; "Noble Form")*(ISBLANK(pokemon!$AK$2:$AK$415)), pokemon!$V$2:$V$415))</f>
        <v>10</v>
      </c>
      <c r="J78">
        <f t="shared" si="5"/>
        <v>0</v>
      </c>
    </row>
    <row r="79" spans="1:10" x14ac:dyDescent="0.25">
      <c r="A79" t="s">
        <v>581</v>
      </c>
      <c r="B79" s="6" t="s">
        <v>4</v>
      </c>
      <c r="C79">
        <v>60</v>
      </c>
      <c r="D79">
        <f t="shared" si="4"/>
        <v>3</v>
      </c>
      <c r="E79" s="1" t="s">
        <v>1219</v>
      </c>
      <c r="F79" t="s">
        <v>1482</v>
      </c>
      <c r="G79" cm="1">
        <f t="array" ref="G79">COUNT(IF(($A79=pokemon!$AC$2:$AC$415)*(pokemon!$D$2:$D$415 &lt;&gt; "Noble Form")*(ISBLANK(pokemon!$AK$2:$AK$415)), pokemon!$V$2:$V$415))</f>
        <v>1</v>
      </c>
      <c r="H79" cm="1">
        <f t="array" ref="H79">MIN(IF(($A79=pokemon!$AC$2:$AC$415)*(pokemon!$D$2:$D$415 &lt;&gt; "Noble Form")*(ISBLANK(pokemon!$AK$2:$AK$415)), pokemon!$V$2:$V$415))</f>
        <v>17</v>
      </c>
      <c r="I79" cm="1">
        <f t="array" ref="I79">MAX(IF(($A79=pokemon!$AC$2:$AC$415)*(pokemon!$D$2:$D$415 &lt;&gt; "Noble Form")*(ISBLANK(pokemon!$AK$2:$AK$415)), pokemon!$V$2:$V$415))</f>
        <v>17</v>
      </c>
      <c r="J79">
        <f t="shared" si="5"/>
        <v>0</v>
      </c>
    </row>
    <row r="80" spans="1:10" x14ac:dyDescent="0.25">
      <c r="A80" t="s">
        <v>472</v>
      </c>
      <c r="B80" s="6" t="s">
        <v>4</v>
      </c>
      <c r="C80">
        <v>80</v>
      </c>
      <c r="D80">
        <f t="shared" si="4"/>
        <v>4</v>
      </c>
      <c r="F80" t="s">
        <v>1446</v>
      </c>
      <c r="G80" cm="1">
        <f t="array" ref="G80">COUNT(IF(($A80=pokemon!$AC$2:$AC$415)*(pokemon!$D$2:$D$415 &lt;&gt; "Noble Form")*(ISBLANK(pokemon!$AK$2:$AK$415)), pokemon!$V$2:$V$415))</f>
        <v>1</v>
      </c>
      <c r="H80" cm="1">
        <f t="array" ref="H80">MIN(IF(($A80=pokemon!$AC$2:$AC$415)*(pokemon!$D$2:$D$415 &lt;&gt; "Noble Form")*(ISBLANK(pokemon!$AK$2:$AK$415)), pokemon!$V$2:$V$415))</f>
        <v>20</v>
      </c>
      <c r="I80" cm="1">
        <f t="array" ref="I80">MAX(IF(($A80=pokemon!$AC$2:$AC$415)*(pokemon!$D$2:$D$415 &lt;&gt; "Noble Form")*(ISBLANK(pokemon!$AK$2:$AK$415)), pokemon!$V$2:$V$415))</f>
        <v>20</v>
      </c>
      <c r="J80">
        <f t="shared" si="5"/>
        <v>0</v>
      </c>
    </row>
    <row r="81" spans="1:10" x14ac:dyDescent="0.25">
      <c r="A81" t="s">
        <v>480</v>
      </c>
      <c r="B81" s="6" t="s">
        <v>4</v>
      </c>
      <c r="C81">
        <v>80</v>
      </c>
      <c r="D81">
        <f t="shared" si="4"/>
        <v>4</v>
      </c>
      <c r="F81" t="s">
        <v>1443</v>
      </c>
      <c r="G81" cm="1">
        <f t="array" ref="G81">COUNT(IF(($A81=pokemon!$AC$2:$AC$415)*(pokemon!$D$2:$D$415 &lt;&gt; "Noble Form")*(ISBLANK(pokemon!$AK$2:$AK$415)), pokemon!$V$2:$V$415))</f>
        <v>2</v>
      </c>
      <c r="H81" cm="1">
        <f t="array" ref="H81">MIN(IF(($A81=pokemon!$AC$2:$AC$415)*(pokemon!$D$2:$D$415 &lt;&gt; "Noble Form")*(ISBLANK(pokemon!$AK$2:$AK$415)), pokemon!$V$2:$V$415))</f>
        <v>17</v>
      </c>
      <c r="I81" cm="1">
        <f t="array" ref="I81">MAX(IF(($A81=pokemon!$AC$2:$AC$415)*(pokemon!$D$2:$D$415 &lt;&gt; "Noble Form")*(ISBLANK(pokemon!$AK$2:$AK$415)), pokemon!$V$2:$V$415))</f>
        <v>17</v>
      </c>
      <c r="J81">
        <f t="shared" si="5"/>
        <v>0</v>
      </c>
    </row>
    <row r="82" spans="1:10" x14ac:dyDescent="0.25">
      <c r="A82" t="s">
        <v>802</v>
      </c>
      <c r="B82" s="6" t="s">
        <v>4</v>
      </c>
      <c r="C82">
        <v>80</v>
      </c>
      <c r="D82">
        <f t="shared" si="4"/>
        <v>4</v>
      </c>
      <c r="F82" t="s">
        <v>1477</v>
      </c>
      <c r="G82" cm="1">
        <f t="array" ref="G82">COUNT(IF(($A82=pokemon!$AC$2:$AC$415)*(pokemon!$D$2:$D$415 &lt;&gt; "Noble Form")*(ISBLANK(pokemon!$AK$2:$AK$415)), pokemon!$V$2:$V$415))</f>
        <v>1</v>
      </c>
      <c r="H82" cm="1">
        <f t="array" ref="H82">MIN(IF(($A82=pokemon!$AC$2:$AC$415)*(pokemon!$D$2:$D$415 &lt;&gt; "Noble Form")*(ISBLANK(pokemon!$AK$2:$AK$415)), pokemon!$V$2:$V$415))</f>
        <v>19</v>
      </c>
      <c r="I82" cm="1">
        <f t="array" ref="I82">MAX(IF(($A82=pokemon!$AC$2:$AC$415)*(pokemon!$D$2:$D$415 &lt;&gt; "Noble Form")*(ISBLANK(pokemon!$AK$2:$AK$415)), pokemon!$V$2:$V$415))</f>
        <v>19</v>
      </c>
      <c r="J82">
        <f t="shared" si="5"/>
        <v>0</v>
      </c>
    </row>
    <row r="83" spans="1:10" x14ac:dyDescent="0.25">
      <c r="A83" t="s">
        <v>535</v>
      </c>
      <c r="B83" s="6" t="s">
        <v>4</v>
      </c>
      <c r="C83">
        <v>100</v>
      </c>
      <c r="D83">
        <f t="shared" si="4"/>
        <v>5</v>
      </c>
      <c r="E83" s="1" t="s">
        <v>1242</v>
      </c>
      <c r="F83" t="s">
        <v>1447</v>
      </c>
      <c r="G83" cm="1">
        <f t="array" ref="G83">COUNT(IF(($A83=pokemon!$AC$2:$AC$415)*(pokemon!$D$2:$D$415 &lt;&gt; "Noble Form")*(ISBLANK(pokemon!$AK$2:$AK$415)), pokemon!$V$2:$V$415))</f>
        <v>1</v>
      </c>
      <c r="H83" cm="1">
        <f t="array" ref="H83">MIN(IF(($A83=pokemon!$AC$2:$AC$415)*(pokemon!$D$2:$D$415 &lt;&gt; "Noble Form")*(ISBLANK(pokemon!$AK$2:$AK$415)), pokemon!$V$2:$V$415))</f>
        <v>20</v>
      </c>
      <c r="I83" cm="1">
        <f t="array" ref="I83">MAX(IF(($A83=pokemon!$AC$2:$AC$415)*(pokemon!$D$2:$D$415 &lt;&gt; "Noble Form")*(ISBLANK(pokemon!$AK$2:$AK$415)), pokemon!$V$2:$V$415))</f>
        <v>20</v>
      </c>
      <c r="J83">
        <f t="shared" si="5"/>
        <v>0</v>
      </c>
    </row>
    <row r="84" spans="1:10" x14ac:dyDescent="0.25">
      <c r="A84" t="s">
        <v>1078</v>
      </c>
      <c r="B84" s="6" t="s">
        <v>4</v>
      </c>
      <c r="C84">
        <v>80</v>
      </c>
      <c r="D84">
        <f t="shared" si="4"/>
        <v>4</v>
      </c>
      <c r="E84" s="1" t="s">
        <v>1228</v>
      </c>
      <c r="F84" t="s">
        <v>1424</v>
      </c>
      <c r="G84" cm="1">
        <f t="array" ref="G84">COUNT(IF(($A84=pokemon!$AC$2:$AC$415)*(pokemon!$D$2:$D$415 &lt;&gt; "Noble Form")*(ISBLANK(pokemon!$AK$2:$AK$415)), pokemon!$V$2:$V$415))</f>
        <v>1</v>
      </c>
      <c r="H84" cm="1">
        <f t="array" ref="H84">MIN(IF(($A84=pokemon!$AC$2:$AC$415)*(pokemon!$D$2:$D$415 &lt;&gt; "Noble Form")*(ISBLANK(pokemon!$AK$2:$AK$415)), pokemon!$V$2:$V$415))</f>
        <v>20</v>
      </c>
      <c r="I84" cm="1">
        <f t="array" ref="I84">MAX(IF(($A84=pokemon!$AC$2:$AC$415)*(pokemon!$D$2:$D$415 &lt;&gt; "Noble Form")*(ISBLANK(pokemon!$AK$2:$AK$415)), pokemon!$V$2:$V$415))</f>
        <v>20</v>
      </c>
      <c r="J84">
        <f t="shared" si="5"/>
        <v>0</v>
      </c>
    </row>
    <row r="85" spans="1:10" x14ac:dyDescent="0.25">
      <c r="A85" t="s">
        <v>670</v>
      </c>
      <c r="B85" s="6" t="s">
        <v>4</v>
      </c>
      <c r="C85">
        <v>100</v>
      </c>
      <c r="D85">
        <f t="shared" si="4"/>
        <v>5</v>
      </c>
      <c r="F85" t="s">
        <v>1412</v>
      </c>
      <c r="G85" cm="1">
        <f t="array" ref="G85">COUNT(IF(($A85=pokemon!$AC$2:$AC$415)*(pokemon!$D$2:$D$415 &lt;&gt; "Noble Form")*(ISBLANK(pokemon!$AK$2:$AK$415)), pokemon!$V$2:$V$415))</f>
        <v>1</v>
      </c>
      <c r="H85" cm="1">
        <f t="array" ref="H85">MIN(IF(($A85=pokemon!$AC$2:$AC$415)*(pokemon!$D$2:$D$415 &lt;&gt; "Noble Form")*(ISBLANK(pokemon!$AK$2:$AK$415)), pokemon!$V$2:$V$415))</f>
        <v>17</v>
      </c>
      <c r="I85" cm="1">
        <f t="array" ref="I85">MAX(IF(($A85=pokemon!$AC$2:$AC$415)*(pokemon!$D$2:$D$415 &lt;&gt; "Noble Form")*(ISBLANK(pokemon!$AK$2:$AK$415)), pokemon!$V$2:$V$415))</f>
        <v>17</v>
      </c>
      <c r="J85">
        <f t="shared" si="5"/>
        <v>0</v>
      </c>
    </row>
    <row r="86" spans="1:10" x14ac:dyDescent="0.25">
      <c r="A86" t="s">
        <v>945</v>
      </c>
      <c r="B86" s="6" t="s">
        <v>4</v>
      </c>
      <c r="C86">
        <v>100</v>
      </c>
      <c r="D86">
        <f t="shared" si="4"/>
        <v>5</v>
      </c>
      <c r="F86" t="s">
        <v>1391</v>
      </c>
      <c r="G86" cm="1">
        <f t="array" ref="G86">COUNT(IF(($A86=pokemon!$AC$2:$AC$415)*(pokemon!$D$2:$D$415 &lt;&gt; "Noble Form")*(ISBLANK(pokemon!$AK$2:$AK$415)), pokemon!$V$2:$V$415))</f>
        <v>1</v>
      </c>
      <c r="H86" cm="1">
        <f t="array" ref="H86">MIN(IF(($A86=pokemon!$AC$2:$AC$415)*(pokemon!$D$2:$D$415 &lt;&gt; "Noble Form")*(ISBLANK(pokemon!$AK$2:$AK$415)), pokemon!$V$2:$V$415))</f>
        <v>20</v>
      </c>
      <c r="I86" cm="1">
        <f t="array" ref="I86">MAX(IF(($A86=pokemon!$AC$2:$AC$415)*(pokemon!$D$2:$D$415 &lt;&gt; "Noble Form")*(ISBLANK(pokemon!$AK$2:$AK$415)), pokemon!$V$2:$V$415))</f>
        <v>20</v>
      </c>
      <c r="J86">
        <f t="shared" si="5"/>
        <v>0</v>
      </c>
    </row>
    <row r="87" spans="1:10" x14ac:dyDescent="0.25">
      <c r="A87" t="s">
        <v>1089</v>
      </c>
      <c r="B87" s="6" t="s">
        <v>4</v>
      </c>
      <c r="C87">
        <v>100</v>
      </c>
      <c r="D87">
        <f t="shared" si="4"/>
        <v>5</v>
      </c>
      <c r="E87" s="1" t="s">
        <v>1241</v>
      </c>
      <c r="F87" t="s">
        <v>1264</v>
      </c>
      <c r="G87" cm="1">
        <f t="array" ref="G87">COUNT(IF(($A87=pokemon!$AC$2:$AC$415)*(pokemon!$D$2:$D$415 &lt;&gt; "Noble Form")*(ISBLANK(pokemon!$AK$2:$AK$415)), pokemon!$V$2:$V$415))</f>
        <v>1</v>
      </c>
      <c r="H87" cm="1">
        <f t="array" ref="H87">MIN(IF(($A87=pokemon!$AC$2:$AC$415)*(pokemon!$D$2:$D$415 &lt;&gt; "Noble Form")*(ISBLANK(pokemon!$AK$2:$AK$415)), pokemon!$V$2:$V$415))</f>
        <v>20</v>
      </c>
      <c r="I87" cm="1">
        <f t="array" ref="I87">MAX(IF(($A87=pokemon!$AC$2:$AC$415)*(pokemon!$D$2:$D$415 &lt;&gt; "Noble Form")*(ISBLANK(pokemon!$AK$2:$AK$415)), pokemon!$V$2:$V$415))</f>
        <v>20</v>
      </c>
      <c r="J87">
        <f t="shared" si="5"/>
        <v>0</v>
      </c>
    </row>
    <row r="88" spans="1:10" x14ac:dyDescent="0.25">
      <c r="A88" t="s">
        <v>478</v>
      </c>
      <c r="B88" s="6" t="s">
        <v>4</v>
      </c>
      <c r="C88">
        <v>100</v>
      </c>
      <c r="D88">
        <f t="shared" si="4"/>
        <v>5</v>
      </c>
      <c r="F88" t="s">
        <v>1448</v>
      </c>
      <c r="G88" cm="1">
        <f t="array" ref="G88">COUNT(IF(($A88=pokemon!$AC$2:$AC$415)*(pokemon!$D$2:$D$415 &lt;&gt; "Noble Form")*(ISBLANK(pokemon!$AK$2:$AK$415)), pokemon!$V$2:$V$415))</f>
        <v>2</v>
      </c>
      <c r="H88" cm="1">
        <f t="array" ref="H88">MIN(IF(($A88=pokemon!$AC$2:$AC$415)*(pokemon!$D$2:$D$415 &lt;&gt; "Noble Form")*(ISBLANK(pokemon!$AK$2:$AK$415)), pokemon!$V$2:$V$415))</f>
        <v>17</v>
      </c>
      <c r="I88" cm="1">
        <f t="array" ref="I88">MAX(IF(($A88=pokemon!$AC$2:$AC$415)*(pokemon!$D$2:$D$415 &lt;&gt; "Noble Form")*(ISBLANK(pokemon!$AK$2:$AK$415)), pokemon!$V$2:$V$415))</f>
        <v>18</v>
      </c>
      <c r="J88">
        <f t="shared" si="5"/>
        <v>1</v>
      </c>
    </row>
    <row r="89" spans="1:10" x14ac:dyDescent="0.25">
      <c r="A89" t="s">
        <v>723</v>
      </c>
      <c r="B89" s="6" t="s">
        <v>4</v>
      </c>
      <c r="C89">
        <v>110</v>
      </c>
      <c r="D89">
        <f t="shared" si="4"/>
        <v>5</v>
      </c>
      <c r="F89" t="s">
        <v>1449</v>
      </c>
      <c r="G89" cm="1">
        <f t="array" ref="G89">COUNT(IF(($A89=pokemon!$AC$2:$AC$415)*(pokemon!$D$2:$D$415 &lt;&gt; "Noble Form")*(ISBLANK(pokemon!$AK$2:$AK$415)), pokemon!$V$2:$V$415))</f>
        <v>1</v>
      </c>
      <c r="H89" cm="1">
        <f t="array" ref="H89">MIN(IF(($A89=pokemon!$AC$2:$AC$415)*(pokemon!$D$2:$D$415 &lt;&gt; "Noble Form")*(ISBLANK(pokemon!$AK$2:$AK$415)), pokemon!$V$2:$V$415))</f>
        <v>18</v>
      </c>
      <c r="I89" cm="1">
        <f t="array" ref="I89">MAX(IF(($A89=pokemon!$AC$2:$AC$415)*(pokemon!$D$2:$D$415 &lt;&gt; "Noble Form")*(ISBLANK(pokemon!$AK$2:$AK$415)), pokemon!$V$2:$V$415))</f>
        <v>18</v>
      </c>
      <c r="J89">
        <f t="shared" si="5"/>
        <v>0</v>
      </c>
    </row>
    <row r="90" spans="1:10" x14ac:dyDescent="0.25">
      <c r="A90" t="s">
        <v>767</v>
      </c>
      <c r="B90" s="6" t="s">
        <v>4</v>
      </c>
      <c r="C90">
        <v>100</v>
      </c>
      <c r="D90">
        <f t="shared" si="4"/>
        <v>5</v>
      </c>
      <c r="F90" t="s">
        <v>1457</v>
      </c>
      <c r="G90" cm="1">
        <f t="array" ref="G90">COUNT(IF(($A90=pokemon!$AC$2:$AC$415)*(pokemon!$D$2:$D$415 &lt;&gt; "Noble Form")*(ISBLANK(pokemon!$AK$2:$AK$415)), pokemon!$V$2:$V$415))</f>
        <v>1</v>
      </c>
      <c r="H90" cm="1">
        <f t="array" ref="H90">MIN(IF(($A90=pokemon!$AC$2:$AC$415)*(pokemon!$D$2:$D$415 &lt;&gt; "Noble Form")*(ISBLANK(pokemon!$AK$2:$AK$415)), pokemon!$V$2:$V$415))</f>
        <v>18</v>
      </c>
      <c r="I90" cm="1">
        <f t="array" ref="I90">MAX(IF(($A90=pokemon!$AC$2:$AC$415)*(pokemon!$D$2:$D$415 &lt;&gt; "Noble Form")*(ISBLANK(pokemon!$AK$2:$AK$415)), pokemon!$V$2:$V$415))</f>
        <v>18</v>
      </c>
      <c r="J90">
        <f t="shared" si="5"/>
        <v>0</v>
      </c>
    </row>
    <row r="91" spans="1:10" x14ac:dyDescent="0.25">
      <c r="A91" t="s">
        <v>698</v>
      </c>
      <c r="B91" s="6" t="s">
        <v>4</v>
      </c>
      <c r="C91">
        <v>180</v>
      </c>
      <c r="D91">
        <f t="shared" si="4"/>
        <v>9</v>
      </c>
      <c r="E91" s="1" t="s">
        <v>1242</v>
      </c>
      <c r="F91" t="s">
        <v>1239</v>
      </c>
      <c r="G91" cm="1">
        <f t="array" ref="G91">COUNT(IF(($A91=pokemon!$AC$2:$AC$415)*(pokemon!$D$2:$D$415 &lt;&gt; "Noble Form")*(ISBLANK(pokemon!$AK$2:$AK$415)), pokemon!$V$2:$V$415))</f>
        <v>1</v>
      </c>
      <c r="H91" cm="1">
        <f t="array" ref="H91">MIN(IF(($A91=pokemon!$AC$2:$AC$415)*(pokemon!$D$2:$D$415 &lt;&gt; "Noble Form")*(ISBLANK(pokemon!$AK$2:$AK$415)), pokemon!$V$2:$V$415))</f>
        <v>28</v>
      </c>
      <c r="I91" cm="1">
        <f t="array" ref="I91">MAX(IF(($A91=pokemon!$AC$2:$AC$415)*(pokemon!$D$2:$D$415 &lt;&gt; "Noble Form")*(ISBLANK(pokemon!$AK$2:$AK$415)), pokemon!$V$2:$V$415))</f>
        <v>28</v>
      </c>
      <c r="J91">
        <f t="shared" si="5"/>
        <v>0</v>
      </c>
    </row>
    <row r="92" spans="1:10" x14ac:dyDescent="0.25">
      <c r="A92" t="s">
        <v>1025</v>
      </c>
      <c r="B92" s="6" t="s">
        <v>4</v>
      </c>
      <c r="C92">
        <v>120</v>
      </c>
      <c r="D92">
        <f t="shared" si="4"/>
        <v>6</v>
      </c>
      <c r="E92" s="1" t="s">
        <v>1218</v>
      </c>
      <c r="F92" t="s">
        <v>1216</v>
      </c>
      <c r="G92" cm="1">
        <f t="array" ref="G92">COUNT(IF(($A92=pokemon!$AC$2:$AC$415)*(pokemon!$D$2:$D$415 &lt;&gt; "Noble Form")*(ISBLANK(pokemon!$AK$2:$AK$415)), pokemon!$V$2:$V$415))</f>
        <v>1</v>
      </c>
      <c r="H92" cm="1">
        <f t="array" ref="H92">MIN(IF(($A92=pokemon!$AC$2:$AC$415)*(pokemon!$D$2:$D$415 &lt;&gt; "Noble Form")*(ISBLANK(pokemon!$AK$2:$AK$415)), pokemon!$V$2:$V$415))</f>
        <v>19</v>
      </c>
      <c r="I92" cm="1">
        <f t="array" ref="I92">MAX(IF(($A92=pokemon!$AC$2:$AC$415)*(pokemon!$D$2:$D$415 &lt;&gt; "Noble Form")*(ISBLANK(pokemon!$AK$2:$AK$415)), pokemon!$V$2:$V$415))</f>
        <v>19</v>
      </c>
      <c r="J92">
        <f t="shared" si="5"/>
        <v>0</v>
      </c>
    </row>
    <row r="93" spans="1:10" x14ac:dyDescent="0.25">
      <c r="A93" t="s">
        <v>725</v>
      </c>
      <c r="B93" s="6" t="s">
        <v>4</v>
      </c>
      <c r="D93" t="str">
        <f t="shared" si="4"/>
        <v/>
      </c>
      <c r="E93" s="1" t="s">
        <v>1241</v>
      </c>
      <c r="F93" t="s">
        <v>1274</v>
      </c>
      <c r="G93" cm="1">
        <f t="array" ref="G93">COUNT(IF(($A93=pokemon!$AC$2:$AC$415)*(pokemon!$D$2:$D$415 &lt;&gt; "Noble Form")*(ISBLANK(pokemon!$AK$2:$AK$415)), pokemon!$V$2:$V$415))</f>
        <v>1</v>
      </c>
      <c r="H93" cm="1">
        <f t="array" ref="H93">MIN(IF(($A93=pokemon!$AC$2:$AC$415)*(pokemon!$D$2:$D$415 &lt;&gt; "Noble Form")*(ISBLANK(pokemon!$AK$2:$AK$415)), pokemon!$V$2:$V$415))</f>
        <v>18</v>
      </c>
      <c r="I93" cm="1">
        <f t="array" ref="I93">MAX(IF(($A93=pokemon!$AC$2:$AC$415)*(pokemon!$D$2:$D$415 &lt;&gt; "Noble Form")*(ISBLANK(pokemon!$AK$2:$AK$415)), pokemon!$V$2:$V$415))</f>
        <v>18</v>
      </c>
      <c r="J93">
        <f t="shared" si="5"/>
        <v>0</v>
      </c>
    </row>
    <row r="94" spans="1:10" x14ac:dyDescent="0.25">
      <c r="A94" t="s">
        <v>728</v>
      </c>
      <c r="B94" s="13" t="s">
        <v>5</v>
      </c>
      <c r="C94">
        <v>35</v>
      </c>
      <c r="D94">
        <f t="shared" si="4"/>
        <v>2</v>
      </c>
      <c r="F94" t="s">
        <v>1407</v>
      </c>
      <c r="G94" cm="1">
        <f t="array" ref="G94">COUNT(IF(($A94=pokemon!$AC$2:$AC$415)*(pokemon!$D$2:$D$415 &lt;&gt; "Noble Form")*(ISBLANK(pokemon!$AK$2:$AK$415)), pokemon!$V$2:$V$415))</f>
        <v>1</v>
      </c>
      <c r="H94" cm="1">
        <f t="array" ref="H94">MIN(IF(($A94=pokemon!$AC$2:$AC$415)*(pokemon!$D$2:$D$415 &lt;&gt; "Noble Form")*(ISBLANK(pokemon!$AK$2:$AK$415)), pokemon!$V$2:$V$415))</f>
        <v>10</v>
      </c>
      <c r="I94" cm="1">
        <f t="array" ref="I94">MAX(IF(($A94=pokemon!$AC$2:$AC$415)*(pokemon!$D$2:$D$415 &lt;&gt; "Noble Form")*(ISBLANK(pokemon!$AK$2:$AK$415)), pokemon!$V$2:$V$415))</f>
        <v>10</v>
      </c>
      <c r="J94">
        <f t="shared" si="5"/>
        <v>0</v>
      </c>
    </row>
    <row r="95" spans="1:10" x14ac:dyDescent="0.25">
      <c r="A95" t="s">
        <v>523</v>
      </c>
      <c r="B95" s="13" t="s">
        <v>5</v>
      </c>
      <c r="C95">
        <v>40</v>
      </c>
      <c r="D95">
        <f t="shared" si="4"/>
        <v>2</v>
      </c>
      <c r="F95" t="s">
        <v>1459</v>
      </c>
      <c r="G95" cm="1">
        <f t="array" ref="G95">COUNT(IF(($A95=pokemon!$AC$2:$AC$415)*(pokemon!$D$2:$D$415 &lt;&gt; "Noble Form")*(ISBLANK(pokemon!$AK$2:$AK$415)), pokemon!$V$2:$V$415))</f>
        <v>1</v>
      </c>
      <c r="H95" cm="1">
        <f t="array" ref="H95">MIN(IF(($A95=pokemon!$AC$2:$AC$415)*(pokemon!$D$2:$D$415 &lt;&gt; "Noble Form")*(ISBLANK(pokemon!$AK$2:$AK$415)), pokemon!$V$2:$V$415))</f>
        <v>15</v>
      </c>
      <c r="I95" cm="1">
        <f t="array" ref="I95">MAX(IF(($A95=pokemon!$AC$2:$AC$415)*(pokemon!$D$2:$D$415 &lt;&gt; "Noble Form")*(ISBLANK(pokemon!$AK$2:$AK$415)), pokemon!$V$2:$V$415))</f>
        <v>15</v>
      </c>
      <c r="J95">
        <f t="shared" si="5"/>
        <v>0</v>
      </c>
    </row>
    <row r="96" spans="1:10" x14ac:dyDescent="0.25">
      <c r="A96" t="s">
        <v>579</v>
      </c>
      <c r="B96" s="13" t="s">
        <v>5</v>
      </c>
      <c r="C96">
        <v>55</v>
      </c>
      <c r="D96">
        <f t="shared" si="4"/>
        <v>3</v>
      </c>
      <c r="E96" s="1" t="s">
        <v>1227</v>
      </c>
      <c r="F96" t="s">
        <v>1261</v>
      </c>
      <c r="G96" cm="1">
        <f t="array" ref="G96">COUNT(IF(($A96=pokemon!$AC$2:$AC$415)*(pokemon!$D$2:$D$415 &lt;&gt; "Noble Form")*(ISBLANK(pokemon!$AK$2:$AK$415)), pokemon!$V$2:$V$415))</f>
        <v>1</v>
      </c>
      <c r="H96" cm="1">
        <f t="array" ref="H96">MIN(IF(($A96=pokemon!$AC$2:$AC$415)*(pokemon!$D$2:$D$415 &lt;&gt; "Noble Form")*(ISBLANK(pokemon!$AK$2:$AK$415)), pokemon!$V$2:$V$415))</f>
        <v>16</v>
      </c>
      <c r="I96" cm="1">
        <f t="array" ref="I96">MAX(IF(($A96=pokemon!$AC$2:$AC$415)*(pokemon!$D$2:$D$415 &lt;&gt; "Noble Form")*(ISBLANK(pokemon!$AK$2:$AK$415)), pokemon!$V$2:$V$415))</f>
        <v>16</v>
      </c>
      <c r="J96">
        <f t="shared" si="5"/>
        <v>0</v>
      </c>
    </row>
    <row r="97" spans="1:10" x14ac:dyDescent="0.25">
      <c r="A97" t="s">
        <v>1083</v>
      </c>
      <c r="B97" s="13" t="s">
        <v>5</v>
      </c>
      <c r="C97">
        <v>60</v>
      </c>
      <c r="D97">
        <f t="shared" si="4"/>
        <v>3</v>
      </c>
      <c r="F97" t="s">
        <v>1407</v>
      </c>
      <c r="G97" cm="1">
        <f t="array" ref="G97">COUNT(IF(($A97=pokemon!$AC$2:$AC$415)*(pokemon!$D$2:$D$415 &lt;&gt; "Noble Form")*(ISBLANK(pokemon!$AK$2:$AK$415)), pokemon!$V$2:$V$415))</f>
        <v>1</v>
      </c>
      <c r="H97" cm="1">
        <f t="array" ref="H97">MIN(IF(($A97=pokemon!$AC$2:$AC$415)*(pokemon!$D$2:$D$415 &lt;&gt; "Noble Form")*(ISBLANK(pokemon!$AK$2:$AK$415)), pokemon!$V$2:$V$415))</f>
        <v>16</v>
      </c>
      <c r="I97" cm="1">
        <f t="array" ref="I97">MAX(IF(($A97=pokemon!$AC$2:$AC$415)*(pokemon!$D$2:$D$415 &lt;&gt; "Noble Form")*(ISBLANK(pokemon!$AK$2:$AK$415)), pokemon!$V$2:$V$415))</f>
        <v>16</v>
      </c>
      <c r="J97">
        <f t="shared" si="5"/>
        <v>0</v>
      </c>
    </row>
    <row r="98" spans="1:10" x14ac:dyDescent="0.25">
      <c r="A98" t="s">
        <v>494</v>
      </c>
      <c r="B98" s="13" t="s">
        <v>5</v>
      </c>
      <c r="C98">
        <v>60</v>
      </c>
      <c r="D98">
        <f t="shared" si="4"/>
        <v>3</v>
      </c>
      <c r="F98" t="s">
        <v>1417</v>
      </c>
      <c r="G98" cm="1">
        <f t="array" ref="G98">COUNT(IF(($A98=pokemon!$AC$2:$AC$415)*(pokemon!$D$2:$D$415 &lt;&gt; "Noble Form")*(ISBLANK(pokemon!$AK$2:$AK$415)), pokemon!$V$2:$V$415))</f>
        <v>4</v>
      </c>
      <c r="H98" cm="1">
        <f t="array" ref="H98">MIN(IF(($A98=pokemon!$AC$2:$AC$415)*(pokemon!$D$2:$D$415 &lt;&gt; "Noble Form")*(ISBLANK(pokemon!$AK$2:$AK$415)), pokemon!$V$2:$V$415))</f>
        <v>10</v>
      </c>
      <c r="I98" cm="1">
        <f t="array" ref="I98">MAX(IF(($A98=pokemon!$AC$2:$AC$415)*(pokemon!$D$2:$D$415 &lt;&gt; "Noble Form")*(ISBLANK(pokemon!$AK$2:$AK$415)), pokemon!$V$2:$V$415))</f>
        <v>14</v>
      </c>
      <c r="J98">
        <f t="shared" si="5"/>
        <v>4</v>
      </c>
    </row>
    <row r="99" spans="1:10" x14ac:dyDescent="0.25">
      <c r="A99" t="s">
        <v>514</v>
      </c>
      <c r="B99" s="13" t="s">
        <v>5</v>
      </c>
      <c r="C99">
        <v>75</v>
      </c>
      <c r="D99">
        <f t="shared" si="4"/>
        <v>4</v>
      </c>
      <c r="F99" t="s">
        <v>1404</v>
      </c>
      <c r="G99" cm="1">
        <f t="array" ref="G99">COUNT(IF(($A99=pokemon!$AC$2:$AC$415)*(pokemon!$D$2:$D$415 &lt;&gt; "Noble Form")*(ISBLANK(pokemon!$AK$2:$AK$415)), pokemon!$V$2:$V$415))</f>
        <v>3</v>
      </c>
      <c r="H99" cm="1">
        <f t="array" ref="H99">MIN(IF(($A99=pokemon!$AC$2:$AC$415)*(pokemon!$D$2:$D$415 &lt;&gt; "Noble Form")*(ISBLANK(pokemon!$AK$2:$AK$415)), pokemon!$V$2:$V$415))</f>
        <v>16</v>
      </c>
      <c r="I99" cm="1">
        <f t="array" ref="I99">MAX(IF(($A99=pokemon!$AC$2:$AC$415)*(pokemon!$D$2:$D$415 &lt;&gt; "Noble Form")*(ISBLANK(pokemon!$AK$2:$AK$415)), pokemon!$V$2:$V$415))</f>
        <v>20</v>
      </c>
      <c r="J99">
        <f t="shared" si="5"/>
        <v>4</v>
      </c>
    </row>
    <row r="100" spans="1:10" x14ac:dyDescent="0.25">
      <c r="A100" t="s">
        <v>1230</v>
      </c>
      <c r="B100" s="13" t="s">
        <v>5</v>
      </c>
      <c r="C100">
        <v>100</v>
      </c>
      <c r="D100">
        <f t="shared" ref="D100" si="6">IF(NOT(ISBLANK(C100)), IF(ISNUMBER(C100), ROUND((C100 - 5)/20, 0), C100), "")</f>
        <v>5</v>
      </c>
      <c r="F100" t="s">
        <v>1404</v>
      </c>
      <c r="G100" cm="1">
        <f t="array" ref="G100">COUNT(IF(($A100=pokemon!$AC$2:$AC$415)*(pokemon!$D$2:$D$415 &lt;&gt; "Noble Form")*(ISBLANK(pokemon!$AK$2:$AK$415)), pokemon!$V$2:$V$415))</f>
        <v>1</v>
      </c>
      <c r="H100" cm="1">
        <f t="array" ref="H100">MIN(IF(($A100=pokemon!$AC$2:$AC$415)*(pokemon!$D$2:$D$415 &lt;&gt; "Noble Form")*(ISBLANK(pokemon!$AK$2:$AK$415)), pokemon!$V$2:$V$415))</f>
        <v>20</v>
      </c>
      <c r="I100" cm="1">
        <f t="array" ref="I100">MAX(IF(($A100=pokemon!$AC$2:$AC$415)*(pokemon!$D$2:$D$415 &lt;&gt; "Noble Form")*(ISBLANK(pokemon!$AK$2:$AK$415)), pokemon!$V$2:$V$415))</f>
        <v>20</v>
      </c>
      <c r="J100">
        <f t="shared" ref="J100" si="7">I100-H100</f>
        <v>0</v>
      </c>
    </row>
    <row r="101" spans="1:10" x14ac:dyDescent="0.25">
      <c r="A101" t="s">
        <v>658</v>
      </c>
      <c r="B101" s="13" t="s">
        <v>5</v>
      </c>
      <c r="C101">
        <v>100</v>
      </c>
      <c r="D101">
        <f t="shared" si="4"/>
        <v>5</v>
      </c>
      <c r="F101" t="s">
        <v>1412</v>
      </c>
      <c r="G101" cm="1">
        <f t="array" ref="G101">COUNT(IF(($A101=pokemon!$AC$2:$AC$415)*(pokemon!$D$2:$D$415 &lt;&gt; "Noble Form")*(ISBLANK(pokemon!$AK$2:$AK$415)), pokemon!$V$2:$V$415))</f>
        <v>1</v>
      </c>
      <c r="H101" cm="1">
        <f t="array" ref="H101">MIN(IF(($A101=pokemon!$AC$2:$AC$415)*(pokemon!$D$2:$D$415 &lt;&gt; "Noble Form")*(ISBLANK(pokemon!$AK$2:$AK$415)), pokemon!$V$2:$V$415))</f>
        <v>19</v>
      </c>
      <c r="I101" cm="1">
        <f t="array" ref="I101">MAX(IF(($A101=pokemon!$AC$2:$AC$415)*(pokemon!$D$2:$D$415 &lt;&gt; "Noble Form")*(ISBLANK(pokemon!$AK$2:$AK$415)), pokemon!$V$2:$V$415))</f>
        <v>19</v>
      </c>
      <c r="J101">
        <f t="shared" si="5"/>
        <v>0</v>
      </c>
    </row>
    <row r="102" spans="1:10" x14ac:dyDescent="0.25">
      <c r="A102" t="s">
        <v>570</v>
      </c>
      <c r="B102" s="13" t="s">
        <v>5</v>
      </c>
      <c r="C102">
        <v>100</v>
      </c>
      <c r="D102">
        <f t="shared" si="4"/>
        <v>5</v>
      </c>
      <c r="E102" s="1" t="s">
        <v>1242</v>
      </c>
      <c r="F102" t="s">
        <v>1404</v>
      </c>
      <c r="G102" cm="1">
        <f t="array" ref="G102">COUNT(IF(($A102=pokemon!$AC$2:$AC$415)*(pokemon!$D$2:$D$415 &lt;&gt; "Noble Form")*(ISBLANK(pokemon!$AK$2:$AK$415)), pokemon!$V$2:$V$415))</f>
        <v>1</v>
      </c>
      <c r="H102" cm="1">
        <f t="array" ref="H102">MIN(IF(($A102=pokemon!$AC$2:$AC$415)*(pokemon!$D$2:$D$415 &lt;&gt; "Noble Form")*(ISBLANK(pokemon!$AK$2:$AK$415)), pokemon!$V$2:$V$415))</f>
        <v>16</v>
      </c>
      <c r="I102" cm="1">
        <f t="array" ref="I102">MAX(IF(($A102=pokemon!$AC$2:$AC$415)*(pokemon!$D$2:$D$415 &lt;&gt; "Noble Form")*(ISBLANK(pokemon!$AK$2:$AK$415)), pokemon!$V$2:$V$415))</f>
        <v>16</v>
      </c>
      <c r="J102">
        <f t="shared" si="5"/>
        <v>0</v>
      </c>
    </row>
    <row r="103" spans="1:10" x14ac:dyDescent="0.25">
      <c r="A103" t="s">
        <v>1170</v>
      </c>
      <c r="B103" s="13" t="s">
        <v>5</v>
      </c>
      <c r="C103">
        <v>40</v>
      </c>
      <c r="D103">
        <f t="shared" si="4"/>
        <v>2</v>
      </c>
      <c r="E103" s="1" t="s">
        <v>1227</v>
      </c>
      <c r="F103" t="s">
        <v>1450</v>
      </c>
      <c r="G103" cm="1">
        <f t="array" ref="G103">COUNT(IF(($A103=pokemon!$AC$2:$AC$415)*(pokemon!$D$2:$D$415 &lt;&gt; "Noble Form")*(ISBLANK(pokemon!$AK$2:$AK$415)), pokemon!$V$2:$V$415))</f>
        <v>1</v>
      </c>
      <c r="H103" cm="1">
        <f t="array" ref="H103">MIN(IF(($A103=pokemon!$AC$2:$AC$415)*(pokemon!$D$2:$D$415 &lt;&gt; "Noble Form")*(ISBLANK(pokemon!$AK$2:$AK$415)), pokemon!$V$2:$V$415))</f>
        <v>21</v>
      </c>
      <c r="I103" cm="1">
        <f t="array" ref="I103">MAX(IF(($A103=pokemon!$AC$2:$AC$415)*(pokemon!$D$2:$D$415 &lt;&gt; "Noble Form")*(ISBLANK(pokemon!$AK$2:$AK$415)), pokemon!$V$2:$V$415))</f>
        <v>21</v>
      </c>
      <c r="J103">
        <f t="shared" ref="J103" si="8">I103-H103</f>
        <v>0</v>
      </c>
    </row>
    <row r="104" spans="1:10" x14ac:dyDescent="0.25">
      <c r="A104" t="s">
        <v>547</v>
      </c>
      <c r="B104" s="17" t="s">
        <v>42</v>
      </c>
      <c r="C104">
        <v>20</v>
      </c>
      <c r="D104">
        <f t="shared" si="4"/>
        <v>1</v>
      </c>
      <c r="E104" s="1" t="s">
        <v>1219</v>
      </c>
      <c r="F104" t="s">
        <v>1458</v>
      </c>
      <c r="G104" cm="1">
        <f t="array" ref="G104">COUNT(IF(($A104=pokemon!$AC$2:$AC$415)*(pokemon!$D$2:$D$415 &lt;&gt; "Noble Form")*(ISBLANK(pokemon!$AK$2:$AK$415)), pokemon!$V$2:$V$415))</f>
        <v>1</v>
      </c>
      <c r="H104" cm="1">
        <f t="array" ref="H104">MIN(IF(($A104=pokemon!$AC$2:$AC$415)*(pokemon!$D$2:$D$415 &lt;&gt; "Noble Form")*(ISBLANK(pokemon!$AK$2:$AK$415)), pokemon!$V$2:$V$415))</f>
        <v>10</v>
      </c>
      <c r="I104" cm="1">
        <f t="array" ref="I104">MAX(IF(($A104=pokemon!$AC$2:$AC$415)*(pokemon!$D$2:$D$415 &lt;&gt; "Noble Form")*(ISBLANK(pokemon!$AK$2:$AK$415)), pokemon!$V$2:$V$415))</f>
        <v>10</v>
      </c>
      <c r="J104">
        <f t="shared" si="5"/>
        <v>0</v>
      </c>
    </row>
    <row r="105" spans="1:10" x14ac:dyDescent="0.25">
      <c r="A105" t="s">
        <v>807</v>
      </c>
      <c r="B105" s="17" t="s">
        <v>42</v>
      </c>
      <c r="C105">
        <v>40</v>
      </c>
      <c r="D105">
        <f t="shared" si="4"/>
        <v>2</v>
      </c>
      <c r="E105" s="1" t="s">
        <v>1219</v>
      </c>
      <c r="F105" t="s">
        <v>1394</v>
      </c>
      <c r="G105" cm="1">
        <f t="array" ref="G105">COUNT(IF(($A105=pokemon!$AC$2:$AC$415)*(pokemon!$D$2:$D$415 &lt;&gt; "Noble Form")*(ISBLANK(pokemon!$AK$2:$AK$415)), pokemon!$V$2:$V$415))</f>
        <v>2</v>
      </c>
      <c r="H105" cm="1">
        <f t="array" ref="H105">MIN(IF(($A105=pokemon!$AC$2:$AC$415)*(pokemon!$D$2:$D$415 &lt;&gt; "Noble Form")*(ISBLANK(pokemon!$AK$2:$AK$415)), pokemon!$V$2:$V$415))</f>
        <v>11</v>
      </c>
      <c r="I105" cm="1">
        <f t="array" ref="I105">MAX(IF(($A105=pokemon!$AC$2:$AC$415)*(pokemon!$D$2:$D$415 &lt;&gt; "Noble Form")*(ISBLANK(pokemon!$AK$2:$AK$415)), pokemon!$V$2:$V$415))</f>
        <v>15</v>
      </c>
      <c r="J105">
        <f t="shared" si="5"/>
        <v>4</v>
      </c>
    </row>
    <row r="106" spans="1:10" x14ac:dyDescent="0.25">
      <c r="A106" t="s">
        <v>914</v>
      </c>
      <c r="B106" s="17" t="s">
        <v>42</v>
      </c>
      <c r="C106">
        <v>20</v>
      </c>
      <c r="D106">
        <f t="shared" si="4"/>
        <v>1</v>
      </c>
      <c r="E106" s="1" t="s">
        <v>1219</v>
      </c>
      <c r="F106" t="s">
        <v>1429</v>
      </c>
      <c r="G106" cm="1">
        <f t="array" ref="G106">COUNT(IF(($A106=pokemon!$AC$2:$AC$415)*(pokemon!$D$2:$D$415 &lt;&gt; "Noble Form")*(ISBLANK(pokemon!$AK$2:$AK$415)), pokemon!$V$2:$V$415))</f>
        <v>1</v>
      </c>
      <c r="H106" cm="1">
        <f t="array" ref="H106">MIN(IF(($A106=pokemon!$AC$2:$AC$415)*(pokemon!$D$2:$D$415 &lt;&gt; "Noble Form")*(ISBLANK(pokemon!$AK$2:$AK$415)), pokemon!$V$2:$V$415))</f>
        <v>12</v>
      </c>
      <c r="I106" cm="1">
        <f t="array" ref="I106">MAX(IF(($A106=pokemon!$AC$2:$AC$415)*(pokemon!$D$2:$D$415 &lt;&gt; "Noble Form")*(ISBLANK(pokemon!$AK$2:$AK$415)), pokemon!$V$2:$V$415))</f>
        <v>12</v>
      </c>
      <c r="J106">
        <f t="shared" si="5"/>
        <v>0</v>
      </c>
    </row>
    <row r="107" spans="1:10" x14ac:dyDescent="0.25">
      <c r="A107" t="s">
        <v>668</v>
      </c>
      <c r="B107" s="17" t="s">
        <v>42</v>
      </c>
      <c r="C107">
        <v>40</v>
      </c>
      <c r="D107">
        <f t="shared" si="4"/>
        <v>2</v>
      </c>
      <c r="E107" s="1" t="s">
        <v>1228</v>
      </c>
      <c r="F107" t="s">
        <v>1413</v>
      </c>
      <c r="G107" cm="1">
        <f t="array" ref="G107">COUNT(IF(($A107=pokemon!$AC$2:$AC$415)*(pokemon!$D$2:$D$415 &lt;&gt; "Noble Form")*(ISBLANK(pokemon!$AK$2:$AK$415)), pokemon!$V$2:$V$415))</f>
        <v>1</v>
      </c>
      <c r="H107" cm="1">
        <f t="array" ref="H107">MIN(IF(($A107=pokemon!$AC$2:$AC$415)*(pokemon!$D$2:$D$415 &lt;&gt; "Noble Form")*(ISBLANK(pokemon!$AK$2:$AK$415)), pokemon!$V$2:$V$415))</f>
        <v>12</v>
      </c>
      <c r="I107" cm="1">
        <f t="array" ref="I107">MAX(IF(($A107=pokemon!$AC$2:$AC$415)*(pokemon!$D$2:$D$415 &lt;&gt; "Noble Form")*(ISBLANK(pokemon!$AK$2:$AK$415)), pokemon!$V$2:$V$415))</f>
        <v>12</v>
      </c>
      <c r="J107">
        <f t="shared" si="5"/>
        <v>0</v>
      </c>
    </row>
    <row r="108" spans="1:10" x14ac:dyDescent="0.25">
      <c r="A108" t="s">
        <v>501</v>
      </c>
      <c r="B108" s="17" t="s">
        <v>42</v>
      </c>
      <c r="C108">
        <v>65</v>
      </c>
      <c r="D108">
        <f t="shared" si="4"/>
        <v>3</v>
      </c>
      <c r="F108" t="s">
        <v>1245</v>
      </c>
      <c r="G108" cm="1">
        <f t="array" ref="G108">COUNT(IF(($A108=pokemon!$AC$2:$AC$415)*(pokemon!$D$2:$D$415 &lt;&gt; "Noble Form")*(ISBLANK(pokemon!$AK$2:$AK$415)), pokemon!$V$2:$V$415))</f>
        <v>3</v>
      </c>
      <c r="H108" cm="1">
        <f t="array" ref="H108">MIN(IF(($A108=pokemon!$AC$2:$AC$415)*(pokemon!$D$2:$D$415 &lt;&gt; "Noble Form")*(ISBLANK(pokemon!$AK$2:$AK$415)), pokemon!$V$2:$V$415))</f>
        <v>14</v>
      </c>
      <c r="I108" cm="1">
        <f t="array" ref="I108">MAX(IF(($A108=pokemon!$AC$2:$AC$415)*(pokemon!$D$2:$D$415 &lt;&gt; "Noble Form")*(ISBLANK(pokemon!$AK$2:$AK$415)), pokemon!$V$2:$V$415))</f>
        <v>15</v>
      </c>
      <c r="J108">
        <f t="shared" si="5"/>
        <v>1</v>
      </c>
    </row>
    <row r="109" spans="1:10" x14ac:dyDescent="0.25">
      <c r="A109" t="s">
        <v>1193</v>
      </c>
      <c r="B109" s="17" t="s">
        <v>42</v>
      </c>
      <c r="C109">
        <v>80</v>
      </c>
      <c r="D109">
        <f t="shared" si="4"/>
        <v>4</v>
      </c>
      <c r="E109" s="1" t="s">
        <v>1242</v>
      </c>
      <c r="F109" t="s">
        <v>1220</v>
      </c>
      <c r="G109" cm="1">
        <f t="array" ref="G109">COUNT(IF(($A109=pokemon!$AC$2:$AC$415)*(pokemon!$D$2:$D$415 &lt;&gt; "Noble Form")*(ISBLANK(pokemon!$AK$2:$AK$415)), pokemon!$V$2:$V$415))</f>
        <v>1</v>
      </c>
      <c r="H109" cm="1">
        <f t="array" ref="H109">MIN(IF(($A109=pokemon!$AC$2:$AC$415)*(pokemon!$D$2:$D$415 &lt;&gt; "Noble Form")*(ISBLANK(pokemon!$AK$2:$AK$415)), pokemon!$V$2:$V$415))</f>
        <v>17</v>
      </c>
      <c r="I109" cm="1">
        <f t="array" ref="I109">MAX(IF(($A109=pokemon!$AC$2:$AC$415)*(pokemon!$D$2:$D$415 &lt;&gt; "Noble Form")*(ISBLANK(pokemon!$AK$2:$AK$415)), pokemon!$V$2:$V$415))</f>
        <v>17</v>
      </c>
      <c r="J109">
        <f t="shared" si="5"/>
        <v>0</v>
      </c>
    </row>
    <row r="110" spans="1:10" x14ac:dyDescent="0.25">
      <c r="A110" t="s">
        <v>546</v>
      </c>
      <c r="B110" s="17" t="s">
        <v>42</v>
      </c>
      <c r="C110">
        <v>80</v>
      </c>
      <c r="D110">
        <f t="shared" si="4"/>
        <v>4</v>
      </c>
      <c r="E110" s="1" t="s">
        <v>1218</v>
      </c>
      <c r="F110" t="s">
        <v>1395</v>
      </c>
      <c r="G110" cm="1">
        <f t="array" ref="G110">COUNT(IF(($A110=pokemon!$AC$2:$AC$415)*(pokemon!$D$2:$D$415 &lt;&gt; "Noble Form")*(ISBLANK(pokemon!$AK$2:$AK$415)), pokemon!$V$2:$V$415))</f>
        <v>1</v>
      </c>
      <c r="H110" cm="1">
        <f t="array" ref="H110">MIN(IF(($A110=pokemon!$AC$2:$AC$415)*(pokemon!$D$2:$D$415 &lt;&gt; "Noble Form")*(ISBLANK(pokemon!$AK$2:$AK$415)), pokemon!$V$2:$V$415))</f>
        <v>20</v>
      </c>
      <c r="I110" cm="1">
        <f t="array" ref="I110">MAX(IF(($A110=pokemon!$AC$2:$AC$415)*(pokemon!$D$2:$D$415 &lt;&gt; "Noble Form")*(ISBLANK(pokemon!$AK$2:$AK$415)), pokemon!$V$2:$V$415))</f>
        <v>20</v>
      </c>
      <c r="J110">
        <f t="shared" si="5"/>
        <v>0</v>
      </c>
    </row>
    <row r="111" spans="1:10" x14ac:dyDescent="0.25">
      <c r="A111" t="s">
        <v>733</v>
      </c>
      <c r="B111" s="17" t="s">
        <v>42</v>
      </c>
      <c r="C111">
        <v>80</v>
      </c>
      <c r="D111">
        <f t="shared" si="4"/>
        <v>4</v>
      </c>
      <c r="F111" t="s">
        <v>1433</v>
      </c>
      <c r="G111" cm="1">
        <f t="array" ref="G111">COUNT(IF(($A111=pokemon!$AC$2:$AC$415)*(pokemon!$D$2:$D$415 &lt;&gt; "Noble Form")*(ISBLANK(pokemon!$AK$2:$AK$415)), pokemon!$V$2:$V$415))</f>
        <v>1</v>
      </c>
      <c r="H111" cm="1">
        <f t="array" ref="H111">MIN(IF(($A111=pokemon!$AC$2:$AC$415)*(pokemon!$D$2:$D$415 &lt;&gt; "Noble Form")*(ISBLANK(pokemon!$AK$2:$AK$415)), pokemon!$V$2:$V$415))</f>
        <v>18</v>
      </c>
      <c r="I111" cm="1">
        <f t="array" ref="I111">MAX(IF(($A111=pokemon!$AC$2:$AC$415)*(pokemon!$D$2:$D$415 &lt;&gt; "Noble Form")*(ISBLANK(pokemon!$AK$2:$AK$415)), pokemon!$V$2:$V$415))</f>
        <v>18</v>
      </c>
      <c r="J111">
        <f t="shared" si="5"/>
        <v>0</v>
      </c>
    </row>
    <row r="112" spans="1:10" x14ac:dyDescent="0.25">
      <c r="A112" t="s">
        <v>521</v>
      </c>
      <c r="B112" s="17" t="s">
        <v>42</v>
      </c>
      <c r="C112">
        <v>100</v>
      </c>
      <c r="D112">
        <f t="shared" si="4"/>
        <v>5</v>
      </c>
      <c r="F112" t="s">
        <v>1275</v>
      </c>
      <c r="G112" cm="1">
        <f t="array" ref="G112">COUNT(IF(($A112=pokemon!$AC$2:$AC$415)*(pokemon!$D$2:$D$415 &lt;&gt; "Noble Form")*(ISBLANK(pokemon!$AK$2:$AK$415)), pokemon!$V$2:$V$415))</f>
        <v>1</v>
      </c>
      <c r="H112" cm="1">
        <f t="array" ref="H112">MIN(IF(($A112=pokemon!$AC$2:$AC$415)*(pokemon!$D$2:$D$415 &lt;&gt; "Noble Form")*(ISBLANK(pokemon!$AK$2:$AK$415)), pokemon!$V$2:$V$415))</f>
        <v>24</v>
      </c>
      <c r="I112" cm="1">
        <f t="array" ref="I112">MAX(IF(($A112=pokemon!$AC$2:$AC$415)*(pokemon!$D$2:$D$415 &lt;&gt; "Noble Form")*(ISBLANK(pokemon!$AK$2:$AK$415)), pokemon!$V$2:$V$415))</f>
        <v>24</v>
      </c>
      <c r="J112">
        <f t="shared" si="5"/>
        <v>0</v>
      </c>
    </row>
    <row r="113" spans="1:10" x14ac:dyDescent="0.25">
      <c r="A113" t="s">
        <v>795</v>
      </c>
      <c r="B113" s="17" t="s">
        <v>42</v>
      </c>
      <c r="C113">
        <v>120</v>
      </c>
      <c r="D113">
        <f t="shared" si="4"/>
        <v>6</v>
      </c>
      <c r="E113" s="1" t="s">
        <v>1242</v>
      </c>
      <c r="F113" s="26" t="s">
        <v>1450</v>
      </c>
      <c r="G113" cm="1">
        <f t="array" ref="G113">COUNT(IF(($A113=pokemon!$AC$2:$AC$415)*(pokemon!$D$2:$D$415 &lt;&gt; "Noble Form")*(ISBLANK(pokemon!$AK$2:$AK$415)), pokemon!$V$2:$V$415))</f>
        <v>1</v>
      </c>
      <c r="H113" cm="1">
        <f t="array" ref="H113">MIN(IF(($A113=pokemon!$AC$2:$AC$415)*(pokemon!$D$2:$D$415 &lt;&gt; "Noble Form")*(ISBLANK(pokemon!$AK$2:$AK$415)), pokemon!$V$2:$V$415))</f>
        <v>42</v>
      </c>
      <c r="I113" cm="1">
        <f t="array" ref="I113">MAX(IF(($A113=pokemon!$AC$2:$AC$415)*(pokemon!$D$2:$D$415 &lt;&gt; "Noble Form")*(ISBLANK(pokemon!$AK$2:$AK$415)), pokemon!$V$2:$V$415))</f>
        <v>42</v>
      </c>
      <c r="J113">
        <f t="shared" si="5"/>
        <v>0</v>
      </c>
    </row>
    <row r="114" spans="1:10" x14ac:dyDescent="0.25">
      <c r="A114" t="s">
        <v>519</v>
      </c>
      <c r="B114" s="9" t="s">
        <v>2</v>
      </c>
      <c r="C114">
        <v>20</v>
      </c>
      <c r="D114">
        <f t="shared" si="4"/>
        <v>1</v>
      </c>
      <c r="E114" s="1" t="s">
        <v>1219</v>
      </c>
      <c r="F114" t="s">
        <v>1465</v>
      </c>
      <c r="G114" cm="1">
        <f t="array" ref="G114">COUNT(IF(($A114=pokemon!$AC$2:$AC$415)*(pokemon!$D$2:$D$415 &lt;&gt; "Noble Form")*(ISBLANK(pokemon!$AK$2:$AK$415)), pokemon!$V$2:$V$415))</f>
        <v>1</v>
      </c>
      <c r="H114" cm="1">
        <f t="array" ref="H114">MIN(IF(($A114=pokemon!$AC$2:$AC$415)*(pokemon!$D$2:$D$415 &lt;&gt; "Noble Form")*(ISBLANK(pokemon!$AK$2:$AK$415)), pokemon!$V$2:$V$415))</f>
        <v>10</v>
      </c>
      <c r="I114" cm="1">
        <f t="array" ref="I114">MAX(IF(($A114=pokemon!$AC$2:$AC$415)*(pokemon!$D$2:$D$415 &lt;&gt; "Noble Form")*(ISBLANK(pokemon!$AK$2:$AK$415)), pokemon!$V$2:$V$415))</f>
        <v>10</v>
      </c>
      <c r="J114">
        <f t="shared" si="5"/>
        <v>0</v>
      </c>
    </row>
    <row r="115" spans="1:10" x14ac:dyDescent="0.25">
      <c r="A115" t="s">
        <v>765</v>
      </c>
      <c r="B115" s="9" t="s">
        <v>2</v>
      </c>
      <c r="C115">
        <v>20</v>
      </c>
      <c r="D115">
        <f t="shared" si="4"/>
        <v>1</v>
      </c>
      <c r="E115" s="1" t="s">
        <v>1219</v>
      </c>
      <c r="F115" t="s">
        <v>1429</v>
      </c>
      <c r="G115" cm="1">
        <f t="array" ref="G115">COUNT(IF(($A115=pokemon!$AC$2:$AC$415)*(pokemon!$D$2:$D$415 &lt;&gt; "Noble Form")*(ISBLANK(pokemon!$AK$2:$AK$415)), pokemon!$V$2:$V$415))</f>
        <v>1</v>
      </c>
      <c r="H115" cm="1">
        <f t="array" ref="H115">MIN(IF(($A115=pokemon!$AC$2:$AC$415)*(pokemon!$D$2:$D$415 &lt;&gt; "Noble Form")*(ISBLANK(pokemon!$AK$2:$AK$415)), pokemon!$V$2:$V$415))</f>
        <v>10</v>
      </c>
      <c r="I115" cm="1">
        <f t="array" ref="I115">MAX(IF(($A115=pokemon!$AC$2:$AC$415)*(pokemon!$D$2:$D$415 &lt;&gt; "Noble Form")*(ISBLANK(pokemon!$AK$2:$AK$415)), pokemon!$V$2:$V$415))</f>
        <v>10</v>
      </c>
      <c r="J115">
        <f t="shared" si="5"/>
        <v>0</v>
      </c>
    </row>
    <row r="116" spans="1:10" x14ac:dyDescent="0.25">
      <c r="A116" t="s">
        <v>990</v>
      </c>
      <c r="B116" s="9" t="s">
        <v>2</v>
      </c>
      <c r="C116">
        <v>40</v>
      </c>
      <c r="D116">
        <f t="shared" si="4"/>
        <v>2</v>
      </c>
      <c r="E116" s="1" t="s">
        <v>1218</v>
      </c>
      <c r="F116" t="s">
        <v>1217</v>
      </c>
      <c r="G116" cm="1">
        <f t="array" ref="G116">COUNT(IF(($A116=pokemon!$AC$2:$AC$415)*(pokemon!$D$2:$D$415 &lt;&gt; "Noble Form")*(ISBLANK(pokemon!$AK$2:$AK$415)), pokemon!$V$2:$V$415))</f>
        <v>1</v>
      </c>
      <c r="H116" cm="1">
        <f t="array" ref="H116">MIN(IF(($A116=pokemon!$AC$2:$AC$415)*(pokemon!$D$2:$D$415 &lt;&gt; "Noble Form")*(ISBLANK(pokemon!$AK$2:$AK$415)), pokemon!$V$2:$V$415))</f>
        <v>15</v>
      </c>
      <c r="I116" cm="1">
        <f t="array" ref="I116">MAX(IF(($A116=pokemon!$AC$2:$AC$415)*(pokemon!$D$2:$D$415 &lt;&gt; "Noble Form")*(ISBLANK(pokemon!$AK$2:$AK$415)), pokemon!$V$2:$V$415))</f>
        <v>15</v>
      </c>
      <c r="J116">
        <f t="shared" si="5"/>
        <v>0</v>
      </c>
    </row>
    <row r="117" spans="1:10" x14ac:dyDescent="0.25">
      <c r="A117" t="s">
        <v>752</v>
      </c>
      <c r="B117" s="9" t="s">
        <v>2</v>
      </c>
      <c r="C117">
        <v>40</v>
      </c>
      <c r="D117">
        <f t="shared" si="4"/>
        <v>2</v>
      </c>
      <c r="F117" t="s">
        <v>1465</v>
      </c>
      <c r="G117" cm="1">
        <f t="array" ref="G117">COUNT(IF(($A117=pokemon!$AC$2:$AC$415)*(pokemon!$D$2:$D$415 &lt;&gt; "Noble Form")*(ISBLANK(pokemon!$AK$2:$AK$415)), pokemon!$V$2:$V$415))</f>
        <v>2</v>
      </c>
      <c r="H117" cm="1">
        <f t="array" ref="H117">MIN(IF(($A117=pokemon!$AC$2:$AC$415)*(pokemon!$D$2:$D$415 &lt;&gt; "Noble Form")*(ISBLANK(pokemon!$AK$2:$AK$415)), pokemon!$V$2:$V$415))</f>
        <v>10</v>
      </c>
      <c r="I117" cm="1">
        <f t="array" ref="I117">MAX(IF(($A117=pokemon!$AC$2:$AC$415)*(pokemon!$D$2:$D$415 &lt;&gt; "Noble Form")*(ISBLANK(pokemon!$AK$2:$AK$415)), pokemon!$V$2:$V$415))</f>
        <v>10</v>
      </c>
      <c r="J117">
        <f t="shared" si="5"/>
        <v>0</v>
      </c>
    </row>
    <row r="118" spans="1:10" x14ac:dyDescent="0.25">
      <c r="A118" t="s">
        <v>597</v>
      </c>
      <c r="B118" s="9" t="s">
        <v>2</v>
      </c>
      <c r="C118">
        <v>55</v>
      </c>
      <c r="D118">
        <f t="shared" ref="D118:D183" si="9">IF(NOT(ISBLANK(C118)), IF(ISNUMBER(C118), ROUND((C118 - 5)/20, 0), C118), "")</f>
        <v>3</v>
      </c>
      <c r="F118" t="s">
        <v>1404</v>
      </c>
      <c r="G118" cm="1">
        <f t="array" ref="G118">COUNT(IF(($A118=pokemon!$AC$2:$AC$415)*(pokemon!$D$2:$D$415 &lt;&gt; "Noble Form")*(ISBLANK(pokemon!$AK$2:$AK$415)), pokemon!$V$2:$V$415))</f>
        <v>1</v>
      </c>
      <c r="H118" cm="1">
        <f t="array" ref="H118">MIN(IF(($A118=pokemon!$AC$2:$AC$415)*(pokemon!$D$2:$D$415 &lt;&gt; "Noble Form")*(ISBLANK(pokemon!$AK$2:$AK$415)), pokemon!$V$2:$V$415))</f>
        <v>10</v>
      </c>
      <c r="I118" cm="1">
        <f t="array" ref="I118">MAX(IF(($A118=pokemon!$AC$2:$AC$415)*(pokemon!$D$2:$D$415 &lt;&gt; "Noble Form")*(ISBLANK(pokemon!$AK$2:$AK$415)), pokemon!$V$2:$V$415))</f>
        <v>10</v>
      </c>
      <c r="J118">
        <f t="shared" si="5"/>
        <v>0</v>
      </c>
    </row>
    <row r="119" spans="1:10" x14ac:dyDescent="0.25">
      <c r="A119" t="s">
        <v>729</v>
      </c>
      <c r="B119" s="9" t="s">
        <v>2</v>
      </c>
      <c r="C119">
        <v>85</v>
      </c>
      <c r="D119">
        <f t="shared" si="9"/>
        <v>4</v>
      </c>
      <c r="F119" t="s">
        <v>1404</v>
      </c>
      <c r="G119" cm="1">
        <f t="array" ref="G119">COUNT(IF(($A119=pokemon!$AC$2:$AC$415)*(pokemon!$D$2:$D$415 &lt;&gt; "Noble Form")*(ISBLANK(pokemon!$AK$2:$AK$415)), pokemon!$V$2:$V$415))</f>
        <v>1</v>
      </c>
      <c r="H119" cm="1">
        <f t="array" ref="H119">MIN(IF(($A119=pokemon!$AC$2:$AC$415)*(pokemon!$D$2:$D$415 &lt;&gt; "Noble Form")*(ISBLANK(pokemon!$AK$2:$AK$415)), pokemon!$V$2:$V$415))</f>
        <v>14</v>
      </c>
      <c r="I119" cm="1">
        <f t="array" ref="I119">MAX(IF(($A119=pokemon!$AC$2:$AC$415)*(pokemon!$D$2:$D$415 &lt;&gt; "Noble Form")*(ISBLANK(pokemon!$AK$2:$AK$415)), pokemon!$V$2:$V$415))</f>
        <v>14</v>
      </c>
      <c r="J119">
        <f t="shared" si="5"/>
        <v>0</v>
      </c>
    </row>
    <row r="120" spans="1:10" x14ac:dyDescent="0.25">
      <c r="A120" t="s">
        <v>837</v>
      </c>
      <c r="B120" s="9" t="s">
        <v>2</v>
      </c>
      <c r="C120">
        <v>60</v>
      </c>
      <c r="D120">
        <f t="shared" si="9"/>
        <v>3</v>
      </c>
      <c r="F120" t="s">
        <v>1478</v>
      </c>
      <c r="G120" cm="1">
        <f t="array" ref="G120">COUNT(IF(($A120=pokemon!$AC$2:$AC$415)*(pokemon!$D$2:$D$415 &lt;&gt; "Noble Form")*(ISBLANK(pokemon!$AK$2:$AK$415)), pokemon!$V$2:$V$415))</f>
        <v>1</v>
      </c>
      <c r="H120" cm="1">
        <f t="array" ref="H120">MIN(IF(($A120=pokemon!$AC$2:$AC$415)*(pokemon!$D$2:$D$415 &lt;&gt; "Noble Form")*(ISBLANK(pokemon!$AK$2:$AK$415)), pokemon!$V$2:$V$415))</f>
        <v>15</v>
      </c>
      <c r="I120" cm="1">
        <f t="array" ref="I120">MAX(IF(($A120=pokemon!$AC$2:$AC$415)*(pokemon!$D$2:$D$415 &lt;&gt; "Noble Form")*(ISBLANK(pokemon!$AK$2:$AK$415)), pokemon!$V$2:$V$415))</f>
        <v>15</v>
      </c>
      <c r="J120">
        <f t="shared" si="5"/>
        <v>0</v>
      </c>
    </row>
    <row r="121" spans="1:10" x14ac:dyDescent="0.25">
      <c r="A121" t="s">
        <v>487</v>
      </c>
      <c r="B121" s="9" t="s">
        <v>2</v>
      </c>
      <c r="C121">
        <v>75</v>
      </c>
      <c r="D121">
        <f t="shared" si="9"/>
        <v>4</v>
      </c>
      <c r="F121" t="s">
        <v>1235</v>
      </c>
      <c r="G121" cm="1">
        <f t="array" ref="G121">COUNT(IF(($A121=pokemon!$AC$2:$AC$415)*(pokemon!$D$2:$D$415 &lt;&gt; "Noble Form")*(ISBLANK(pokemon!$AK$2:$AK$415)), pokemon!$V$2:$V$415))</f>
        <v>1</v>
      </c>
      <c r="H121" cm="1">
        <f t="array" ref="H121">MIN(IF(($A121=pokemon!$AC$2:$AC$415)*(pokemon!$D$2:$D$415 &lt;&gt; "Noble Form")*(ISBLANK(pokemon!$AK$2:$AK$415)), pokemon!$V$2:$V$415))</f>
        <v>13</v>
      </c>
      <c r="I121" cm="1">
        <f t="array" ref="I121">MAX(IF(($A121=pokemon!$AC$2:$AC$415)*(pokemon!$D$2:$D$415 &lt;&gt; "Noble Form")*(ISBLANK(pokemon!$AK$2:$AK$415)), pokemon!$V$2:$V$415))</f>
        <v>13</v>
      </c>
      <c r="J121">
        <f t="shared" si="5"/>
        <v>0</v>
      </c>
    </row>
    <row r="122" spans="1:10" x14ac:dyDescent="0.25">
      <c r="A122" t="s">
        <v>1100</v>
      </c>
      <c r="B122" s="9" t="s">
        <v>2</v>
      </c>
      <c r="C122">
        <v>60</v>
      </c>
      <c r="D122">
        <f t="shared" si="9"/>
        <v>3</v>
      </c>
      <c r="E122" s="1" t="s">
        <v>1228</v>
      </c>
      <c r="F122" t="s">
        <v>1277</v>
      </c>
      <c r="G122" cm="1">
        <f t="array" ref="G122">COUNT(IF(($A122=pokemon!$AC$2:$AC$415)*(pokemon!$D$2:$D$415 &lt;&gt; "Noble Form")*(ISBLANK(pokemon!$AK$2:$AK$415)), pokemon!$V$2:$V$415))</f>
        <v>1</v>
      </c>
      <c r="H122" cm="1">
        <f t="array" ref="H122">MIN(IF(($A122=pokemon!$AC$2:$AC$415)*(pokemon!$D$2:$D$415 &lt;&gt; "Noble Form")*(ISBLANK(pokemon!$AK$2:$AK$415)), pokemon!$V$2:$V$415))</f>
        <v>20</v>
      </c>
      <c r="I122" cm="1">
        <f t="array" ref="I122">MAX(IF(($A122=pokemon!$AC$2:$AC$415)*(pokemon!$D$2:$D$415 &lt;&gt; "Noble Form")*(ISBLANK(pokemon!$AK$2:$AK$415)), pokemon!$V$2:$V$415))</f>
        <v>20</v>
      </c>
      <c r="J122">
        <f t="shared" si="5"/>
        <v>0</v>
      </c>
    </row>
    <row r="123" spans="1:10" x14ac:dyDescent="0.25">
      <c r="A123" t="s">
        <v>529</v>
      </c>
      <c r="B123" s="9" t="s">
        <v>2</v>
      </c>
      <c r="C123">
        <v>100</v>
      </c>
      <c r="D123">
        <f t="shared" si="9"/>
        <v>5</v>
      </c>
      <c r="F123" t="s">
        <v>1412</v>
      </c>
      <c r="G123" cm="1">
        <f t="array" ref="G123">COUNT(IF(($A123=pokemon!$AC$2:$AC$415)*(pokemon!$D$2:$D$415 &lt;&gt; "Noble Form")*(ISBLANK(pokemon!$AK$2:$AK$415)), pokemon!$V$2:$V$415))</f>
        <v>1</v>
      </c>
      <c r="H123" cm="1">
        <f t="array" ref="H123">MIN(IF(($A123=pokemon!$AC$2:$AC$415)*(pokemon!$D$2:$D$415 &lt;&gt; "Noble Form")*(ISBLANK(pokemon!$AK$2:$AK$415)), pokemon!$V$2:$V$415))</f>
        <v>16</v>
      </c>
      <c r="I123" cm="1">
        <f t="array" ref="I123">MAX(IF(($A123=pokemon!$AC$2:$AC$415)*(pokemon!$D$2:$D$415 &lt;&gt; "Noble Form")*(ISBLANK(pokemon!$AK$2:$AK$415)), pokemon!$V$2:$V$415))</f>
        <v>16</v>
      </c>
      <c r="J123">
        <f t="shared" si="5"/>
        <v>0</v>
      </c>
    </row>
    <row r="124" spans="1:10" x14ac:dyDescent="0.25">
      <c r="A124" t="s">
        <v>594</v>
      </c>
      <c r="B124" s="9" t="s">
        <v>2</v>
      </c>
      <c r="C124">
        <v>100</v>
      </c>
      <c r="D124">
        <f t="shared" si="9"/>
        <v>5</v>
      </c>
      <c r="F124" t="s">
        <v>1391</v>
      </c>
      <c r="G124" cm="1">
        <f t="array" ref="G124">COUNT(IF(($A124=pokemon!$AC$2:$AC$415)*(pokemon!$D$2:$D$415 &lt;&gt; "Noble Form")*(ISBLANK(pokemon!$AK$2:$AK$415)), pokemon!$V$2:$V$415))</f>
        <v>2</v>
      </c>
      <c r="H124" cm="1">
        <f t="array" ref="H124">MIN(IF(($A124=pokemon!$AC$2:$AC$415)*(pokemon!$D$2:$D$415 &lt;&gt; "Noble Form")*(ISBLANK(pokemon!$AK$2:$AK$415)), pokemon!$V$2:$V$415))</f>
        <v>17</v>
      </c>
      <c r="I124" cm="1">
        <f t="array" ref="I124">MAX(IF(($A124=pokemon!$AC$2:$AC$415)*(pokemon!$D$2:$D$415 &lt;&gt; "Noble Form")*(ISBLANK(pokemon!$AK$2:$AK$415)), pokemon!$V$2:$V$415))</f>
        <v>20</v>
      </c>
      <c r="J124">
        <f t="shared" si="5"/>
        <v>3</v>
      </c>
    </row>
    <row r="125" spans="1:10" x14ac:dyDescent="0.25">
      <c r="A125" t="s">
        <v>536</v>
      </c>
      <c r="B125" s="9" t="s">
        <v>2</v>
      </c>
      <c r="C125">
        <v>80</v>
      </c>
      <c r="D125">
        <f t="shared" si="9"/>
        <v>4</v>
      </c>
      <c r="E125" s="1" t="s">
        <v>1218</v>
      </c>
      <c r="F125" t="s">
        <v>1407</v>
      </c>
      <c r="G125" cm="1">
        <f t="array" ref="G125">COUNT(IF(($A125=pokemon!$AC$2:$AC$415)*(pokemon!$D$2:$D$415 &lt;&gt; "Noble Form")*(ISBLANK(pokemon!$AK$2:$AK$415)), pokemon!$V$2:$V$415))</f>
        <v>1</v>
      </c>
      <c r="H125" cm="1">
        <f t="array" ref="H125">MIN(IF(($A125=pokemon!$AC$2:$AC$415)*(pokemon!$D$2:$D$415 &lt;&gt; "Noble Form")*(ISBLANK(pokemon!$AK$2:$AK$415)), pokemon!$V$2:$V$415))</f>
        <v>20</v>
      </c>
      <c r="I125" cm="1">
        <f t="array" ref="I125">MAX(IF(($A125=pokemon!$AC$2:$AC$415)*(pokemon!$D$2:$D$415 &lt;&gt; "Noble Form")*(ISBLANK(pokemon!$AK$2:$AK$415)), pokemon!$V$2:$V$415))</f>
        <v>20</v>
      </c>
      <c r="J125">
        <f t="shared" si="5"/>
        <v>0</v>
      </c>
    </row>
    <row r="126" spans="1:10" x14ac:dyDescent="0.25">
      <c r="A126" t="s">
        <v>703</v>
      </c>
      <c r="B126" s="9" t="s">
        <v>2</v>
      </c>
      <c r="C126">
        <v>100</v>
      </c>
      <c r="D126">
        <f t="shared" si="9"/>
        <v>5</v>
      </c>
      <c r="F126" t="s">
        <v>775</v>
      </c>
      <c r="G126" cm="1">
        <f t="array" ref="G126">COUNT(IF(($A126=pokemon!$AC$2:$AC$415)*(pokemon!$D$2:$D$415 &lt;&gt; "Noble Form")*(ISBLANK(pokemon!$AK$2:$AK$415)), pokemon!$V$2:$V$415))</f>
        <v>1</v>
      </c>
      <c r="H126" cm="1">
        <f t="array" ref="H126">MIN(IF(($A126=pokemon!$AC$2:$AC$415)*(pokemon!$D$2:$D$415 &lt;&gt; "Noble Form")*(ISBLANK(pokemon!$AK$2:$AK$415)), pokemon!$V$2:$V$415))</f>
        <v>28</v>
      </c>
      <c r="I126" cm="1">
        <f t="array" ref="I126">MAX(IF(($A126=pokemon!$AC$2:$AC$415)*(pokemon!$D$2:$D$415 &lt;&gt; "Noble Form")*(ISBLANK(pokemon!$AK$2:$AK$415)), pokemon!$V$2:$V$415))</f>
        <v>28</v>
      </c>
      <c r="J126">
        <f t="shared" si="5"/>
        <v>0</v>
      </c>
    </row>
    <row r="127" spans="1:10" x14ac:dyDescent="0.25">
      <c r="A127" t="s">
        <v>1081</v>
      </c>
      <c r="B127" s="9" t="s">
        <v>2</v>
      </c>
      <c r="C127">
        <v>80</v>
      </c>
      <c r="D127">
        <f t="shared" si="9"/>
        <v>4</v>
      </c>
      <c r="E127" s="1" t="s">
        <v>1242</v>
      </c>
      <c r="F127" t="s">
        <v>1236</v>
      </c>
      <c r="G127" cm="1">
        <f t="array" ref="G127">COUNT(IF(($A127=pokemon!$AC$2:$AC$415)*(pokemon!$D$2:$D$415 &lt;&gt; "Noble Form")*(ISBLANK(pokemon!$AK$2:$AK$415)), pokemon!$V$2:$V$415))</f>
        <v>1</v>
      </c>
      <c r="H127" cm="1">
        <f t="array" ref="H127">MIN(IF(($A127=pokemon!$AC$2:$AC$415)*(pokemon!$D$2:$D$415 &lt;&gt; "Noble Form")*(ISBLANK(pokemon!$AK$2:$AK$415)), pokemon!$V$2:$V$415))</f>
        <v>19</v>
      </c>
      <c r="I127" cm="1">
        <f t="array" ref="I127">MAX(IF(($A127=pokemon!$AC$2:$AC$415)*(pokemon!$D$2:$D$415 &lt;&gt; "Noble Form")*(ISBLANK(pokemon!$AK$2:$AK$415)), pokemon!$V$2:$V$415))</f>
        <v>19</v>
      </c>
      <c r="J127">
        <f t="shared" si="5"/>
        <v>0</v>
      </c>
    </row>
    <row r="128" spans="1:10" x14ac:dyDescent="0.25">
      <c r="A128" t="s">
        <v>1082</v>
      </c>
      <c r="B128" s="9" t="s">
        <v>2</v>
      </c>
      <c r="C128">
        <v>100</v>
      </c>
      <c r="D128">
        <f t="shared" si="9"/>
        <v>5</v>
      </c>
      <c r="F128" t="s">
        <v>1457</v>
      </c>
      <c r="G128" cm="1">
        <f t="array" ref="G128">COUNT(IF(($A128=pokemon!$AC$2:$AC$415)*(pokemon!$D$2:$D$415 &lt;&gt; "Noble Form")*(ISBLANK(pokemon!$AK$2:$AK$415)), pokemon!$V$2:$V$415))</f>
        <v>1</v>
      </c>
      <c r="H128" cm="1">
        <f t="array" ref="H128">MIN(IF(($A128=pokemon!$AC$2:$AC$415)*(pokemon!$D$2:$D$415 &lt;&gt; "Noble Form")*(ISBLANK(pokemon!$AK$2:$AK$415)), pokemon!$V$2:$V$415))</f>
        <v>19</v>
      </c>
      <c r="I128" cm="1">
        <f t="array" ref="I128">MAX(IF(($A128=pokemon!$AC$2:$AC$415)*(pokemon!$D$2:$D$415 &lt;&gt; "Noble Form")*(ISBLANK(pokemon!$AK$2:$AK$415)), pokemon!$V$2:$V$415))</f>
        <v>19</v>
      </c>
      <c r="J128">
        <f t="shared" si="5"/>
        <v>0</v>
      </c>
    </row>
    <row r="129" spans="1:10" x14ac:dyDescent="0.25">
      <c r="A129" t="s">
        <v>833</v>
      </c>
      <c r="B129" s="9" t="s">
        <v>2</v>
      </c>
      <c r="C129">
        <v>120</v>
      </c>
      <c r="D129">
        <f t="shared" si="9"/>
        <v>6</v>
      </c>
      <c r="E129" s="1" t="s">
        <v>1242</v>
      </c>
      <c r="F129" t="s">
        <v>1257</v>
      </c>
      <c r="G129" cm="1">
        <f t="array" ref="G129">COUNT(IF(($A129=pokemon!$AC$2:$AC$415)*(pokemon!$D$2:$D$415 &lt;&gt; "Noble Form")*(ISBLANK(pokemon!$AK$2:$AK$415)), pokemon!$V$2:$V$415))</f>
        <v>1</v>
      </c>
      <c r="H129" cm="1">
        <f t="array" ref="H129">MIN(IF(($A129=pokemon!$AC$2:$AC$415)*(pokemon!$D$2:$D$415 &lt;&gt; "Noble Form")*(ISBLANK(pokemon!$AK$2:$AK$415)), pokemon!$V$2:$V$415))</f>
        <v>15</v>
      </c>
      <c r="I129" cm="1">
        <f t="array" ref="I129">MAX(IF(($A129=pokemon!$AC$2:$AC$415)*(pokemon!$D$2:$D$415 &lt;&gt; "Noble Form")*(ISBLANK(pokemon!$AK$2:$AK$415)), pokemon!$V$2:$V$415))</f>
        <v>15</v>
      </c>
      <c r="J129">
        <f t="shared" si="5"/>
        <v>0</v>
      </c>
    </row>
    <row r="130" spans="1:10" x14ac:dyDescent="0.25">
      <c r="A130" t="s">
        <v>1247</v>
      </c>
      <c r="B130" s="9" t="s">
        <v>2</v>
      </c>
      <c r="C130">
        <v>100</v>
      </c>
      <c r="D130">
        <f t="shared" si="9"/>
        <v>5</v>
      </c>
      <c r="F130" t="s">
        <v>1436</v>
      </c>
      <c r="G130" cm="1">
        <f t="array" ref="G130">COUNT(IF(($A130=pokemon!$AC$2:$AC$415)*(pokemon!$D$2:$D$415 &lt;&gt; "Noble Form")*(ISBLANK(pokemon!$AK$2:$AK$415)), pokemon!$V$2:$V$415))</f>
        <v>1</v>
      </c>
      <c r="H130" cm="1">
        <f t="array" ref="H130">MIN(IF(($A130=pokemon!$AC$2:$AC$415)*(pokemon!$D$2:$D$415 &lt;&gt; "Noble Form")*(ISBLANK(pokemon!$AK$2:$AK$415)), pokemon!$V$2:$V$415))</f>
        <v>18</v>
      </c>
      <c r="I130" cm="1">
        <f t="array" ref="I130">MAX(IF(($A130=pokemon!$AC$2:$AC$415)*(pokemon!$D$2:$D$415 &lt;&gt; "Noble Form")*(ISBLANK(pokemon!$AK$2:$AK$415)), pokemon!$V$2:$V$415))</f>
        <v>18</v>
      </c>
      <c r="J130">
        <f t="shared" si="5"/>
        <v>0</v>
      </c>
    </row>
    <row r="131" spans="1:10" x14ac:dyDescent="0.25">
      <c r="A131" t="s">
        <v>1171</v>
      </c>
      <c r="B131" s="9" t="s">
        <v>2</v>
      </c>
      <c r="C131">
        <v>85</v>
      </c>
      <c r="D131">
        <f t="shared" si="9"/>
        <v>4</v>
      </c>
      <c r="F131" t="s">
        <v>1479</v>
      </c>
      <c r="G131" cm="1">
        <f t="array" ref="G131">COUNT(IF(($A131=pokemon!$AC$2:$AC$415)*(pokemon!$D$2:$D$415 &lt;&gt; "Noble Form")*(ISBLANK(pokemon!$AK$2:$AK$415)), pokemon!$V$2:$V$415))</f>
        <v>1</v>
      </c>
      <c r="H131" cm="1">
        <f t="array" ref="H131">MIN(IF(($A131=pokemon!$AC$2:$AC$415)*(pokemon!$D$2:$D$415 &lt;&gt; "Noble Form")*(ISBLANK(pokemon!$AK$2:$AK$415)), pokemon!$V$2:$V$415))</f>
        <v>21</v>
      </c>
      <c r="I131" cm="1">
        <f t="array" ref="I131">MAX(IF(($A131=pokemon!$AC$2:$AC$415)*(pokemon!$D$2:$D$415 &lt;&gt; "Noble Form")*(ISBLANK(pokemon!$AK$2:$AK$415)), pokemon!$V$2:$V$415))</f>
        <v>21</v>
      </c>
      <c r="J131">
        <f t="shared" si="5"/>
        <v>0</v>
      </c>
    </row>
    <row r="132" spans="1:10" x14ac:dyDescent="0.25">
      <c r="A132" t="s">
        <v>524</v>
      </c>
      <c r="B132" s="12" t="s">
        <v>13</v>
      </c>
      <c r="C132">
        <v>35</v>
      </c>
      <c r="D132">
        <f t="shared" si="9"/>
        <v>2</v>
      </c>
      <c r="F132" t="s">
        <v>1429</v>
      </c>
      <c r="G132" cm="1">
        <f t="array" ref="G132">COUNT(IF(($A132=pokemon!$AC$2:$AC$415)*(pokemon!$D$2:$D$415 &lt;&gt; "Noble Form")*(ISBLANK(pokemon!$AK$2:$AK$415)), pokemon!$V$2:$V$415))</f>
        <v>2</v>
      </c>
      <c r="H132" cm="1">
        <f t="array" ref="H132">MIN(IF(($A132=pokemon!$AC$2:$AC$415)*(pokemon!$D$2:$D$415 &lt;&gt; "Noble Form")*(ISBLANK(pokemon!$AK$2:$AK$415)), pokemon!$V$2:$V$415))</f>
        <v>10</v>
      </c>
      <c r="I132" cm="1">
        <f t="array" ref="I132">MAX(IF(($A132=pokemon!$AC$2:$AC$415)*(pokemon!$D$2:$D$415 &lt;&gt; "Noble Form")*(ISBLANK(pokemon!$AK$2:$AK$415)), pokemon!$V$2:$V$415))</f>
        <v>11</v>
      </c>
      <c r="J132">
        <f t="shared" si="5"/>
        <v>1</v>
      </c>
    </row>
    <row r="133" spans="1:10" x14ac:dyDescent="0.25">
      <c r="A133" t="s">
        <v>1110</v>
      </c>
      <c r="B133" s="12" t="s">
        <v>13</v>
      </c>
      <c r="C133">
        <v>60</v>
      </c>
      <c r="D133">
        <f t="shared" si="9"/>
        <v>3</v>
      </c>
      <c r="F133" t="s">
        <v>1420</v>
      </c>
      <c r="G133" cm="1">
        <f t="array" ref="G133">COUNT(IF(($A133=pokemon!$AC$2:$AC$415)*(pokemon!$D$2:$D$415 &lt;&gt; "Noble Form")*(ISBLANK(pokemon!$AK$2:$AK$415)), pokemon!$V$2:$V$415))</f>
        <v>1</v>
      </c>
      <c r="H133" cm="1">
        <f t="array" ref="H133">MIN(IF(($A133=pokemon!$AC$2:$AC$415)*(pokemon!$D$2:$D$415 &lt;&gt; "Noble Form")*(ISBLANK(pokemon!$AK$2:$AK$415)), pokemon!$V$2:$V$415))</f>
        <v>16</v>
      </c>
      <c r="I133" cm="1">
        <f t="array" ref="I133">MAX(IF(($A133=pokemon!$AC$2:$AC$415)*(pokemon!$D$2:$D$415 &lt;&gt; "Noble Form")*(ISBLANK(pokemon!$AK$2:$AK$415)), pokemon!$V$2:$V$415))</f>
        <v>16</v>
      </c>
      <c r="J133">
        <f t="shared" si="5"/>
        <v>0</v>
      </c>
    </row>
    <row r="134" spans="1:10" x14ac:dyDescent="0.25">
      <c r="A134" t="s">
        <v>583</v>
      </c>
      <c r="B134" s="12" t="s">
        <v>13</v>
      </c>
      <c r="C134">
        <v>60</v>
      </c>
      <c r="D134">
        <f t="shared" si="9"/>
        <v>3</v>
      </c>
      <c r="F134" t="s">
        <v>1396</v>
      </c>
      <c r="G134" cm="1">
        <f t="array" ref="G134">COUNT(IF(($A134=pokemon!$AC$2:$AC$415)*(pokemon!$D$2:$D$415 &lt;&gt; "Noble Form")*(ISBLANK(pokemon!$AK$2:$AK$415)), pokemon!$V$2:$V$415))</f>
        <v>2</v>
      </c>
      <c r="H134" cm="1">
        <f t="array" ref="H134">MIN(IF(($A134=pokemon!$AC$2:$AC$415)*(pokemon!$D$2:$D$415 &lt;&gt; "Noble Form")*(ISBLANK(pokemon!$AK$2:$AK$415)), pokemon!$V$2:$V$415))</f>
        <v>14</v>
      </c>
      <c r="I134" cm="1">
        <f t="array" ref="I134">MAX(IF(($A134=pokemon!$AC$2:$AC$415)*(pokemon!$D$2:$D$415 &lt;&gt; "Noble Form")*(ISBLANK(pokemon!$AK$2:$AK$415)), pokemon!$V$2:$V$415))</f>
        <v>14</v>
      </c>
      <c r="J134">
        <f t="shared" si="5"/>
        <v>0</v>
      </c>
    </row>
    <row r="135" spans="1:10" x14ac:dyDescent="0.25">
      <c r="A135" t="s">
        <v>713</v>
      </c>
      <c r="B135" s="12" t="s">
        <v>13</v>
      </c>
      <c r="C135">
        <v>65</v>
      </c>
      <c r="D135">
        <f t="shared" si="9"/>
        <v>3</v>
      </c>
      <c r="F135" t="s">
        <v>1392</v>
      </c>
      <c r="G135" cm="1">
        <f t="array" ref="G135">COUNT(IF(($A135=pokemon!$AC$2:$AC$415)*(pokemon!$D$2:$D$415 &lt;&gt; "Noble Form")*(ISBLANK(pokemon!$AK$2:$AK$415)), pokemon!$V$2:$V$415))</f>
        <v>2</v>
      </c>
      <c r="H135" cm="1">
        <f t="array" ref="H135">MIN(IF(($A135=pokemon!$AC$2:$AC$415)*(pokemon!$D$2:$D$415 &lt;&gt; "Noble Form")*(ISBLANK(pokemon!$AK$2:$AK$415)), pokemon!$V$2:$V$415))</f>
        <v>7</v>
      </c>
      <c r="I135" cm="1">
        <f t="array" ref="I135">MAX(IF(($A135=pokemon!$AC$2:$AC$415)*(pokemon!$D$2:$D$415 &lt;&gt; "Noble Form")*(ISBLANK(pokemon!$AK$2:$AK$415)), pokemon!$V$2:$V$415))</f>
        <v>11</v>
      </c>
      <c r="J135">
        <f t="shared" si="5"/>
        <v>4</v>
      </c>
    </row>
    <row r="136" spans="1:10" x14ac:dyDescent="0.25">
      <c r="A136" t="s">
        <v>714</v>
      </c>
      <c r="B136" s="12" t="s">
        <v>13</v>
      </c>
      <c r="C136">
        <v>100</v>
      </c>
      <c r="D136">
        <f t="shared" si="9"/>
        <v>5</v>
      </c>
      <c r="F136" t="s">
        <v>1391</v>
      </c>
      <c r="G136" cm="1">
        <f t="array" ref="G136">COUNT(IF(($A136=pokemon!$AC$2:$AC$415)*(pokemon!$D$2:$D$415 &lt;&gt; "Noble Form")*(ISBLANK(pokemon!$AK$2:$AK$415)), pokemon!$V$2:$V$415))</f>
        <v>1</v>
      </c>
      <c r="H136" cm="1">
        <f t="array" ref="H136">MIN(IF(($A136=pokemon!$AC$2:$AC$415)*(pokemon!$D$2:$D$415 &lt;&gt; "Noble Form")*(ISBLANK(pokemon!$AK$2:$AK$415)), pokemon!$V$2:$V$415))</f>
        <v>18</v>
      </c>
      <c r="I136" cm="1">
        <f t="array" ref="I136">MAX(IF(($A136=pokemon!$AC$2:$AC$415)*(pokemon!$D$2:$D$415 &lt;&gt; "Noble Form")*(ISBLANK(pokemon!$AK$2:$AK$415)), pokemon!$V$2:$V$415))</f>
        <v>18</v>
      </c>
      <c r="J136">
        <f t="shared" si="5"/>
        <v>0</v>
      </c>
    </row>
    <row r="137" spans="1:10" x14ac:dyDescent="0.25">
      <c r="A137" t="s">
        <v>484</v>
      </c>
      <c r="B137" s="12" t="s">
        <v>13</v>
      </c>
      <c r="C137">
        <v>100</v>
      </c>
      <c r="D137">
        <f t="shared" si="9"/>
        <v>5</v>
      </c>
      <c r="F137" t="s">
        <v>1397</v>
      </c>
      <c r="G137" cm="1">
        <f t="array" ref="G137">COUNT(IF(($A137=pokemon!$AC$2:$AC$415)*(pokemon!$D$2:$D$415 &lt;&gt; "Noble Form")*(ISBLANK(pokemon!$AK$2:$AK$415)), pokemon!$V$2:$V$415))</f>
        <v>4</v>
      </c>
      <c r="H137" cm="1">
        <f t="array" ref="H137">MIN(IF(($A137=pokemon!$AC$2:$AC$415)*(pokemon!$D$2:$D$415 &lt;&gt; "Noble Form")*(ISBLANK(pokemon!$AK$2:$AK$415)), pokemon!$V$2:$V$415))</f>
        <v>16</v>
      </c>
      <c r="I137" cm="1">
        <f t="array" ref="I137">MAX(IF(($A137=pokemon!$AC$2:$AC$415)*(pokemon!$D$2:$D$415 &lt;&gt; "Noble Form")*(ISBLANK(pokemon!$AK$2:$AK$415)), pokemon!$V$2:$V$415))</f>
        <v>19</v>
      </c>
      <c r="J137">
        <f t="shared" si="5"/>
        <v>3</v>
      </c>
    </row>
    <row r="138" spans="1:10" x14ac:dyDescent="0.25">
      <c r="A138" t="s">
        <v>1107</v>
      </c>
      <c r="B138" s="12" t="s">
        <v>13</v>
      </c>
      <c r="C138">
        <v>100</v>
      </c>
      <c r="D138">
        <f t="shared" si="9"/>
        <v>5</v>
      </c>
      <c r="F138" t="s">
        <v>1398</v>
      </c>
      <c r="G138" cm="1">
        <f t="array" ref="G138">COUNT(IF(($A138=pokemon!$AC$2:$AC$415)*(pokemon!$D$2:$D$415 &lt;&gt; "Noble Form")*(ISBLANK(pokemon!$AK$2:$AK$415)), pokemon!$V$2:$V$415))</f>
        <v>1</v>
      </c>
      <c r="H138" cm="1">
        <f t="array" ref="H138">MIN(IF(($A138=pokemon!$AC$2:$AC$415)*(pokemon!$D$2:$D$415 &lt;&gt; "Noble Form")*(ISBLANK(pokemon!$AK$2:$AK$415)), pokemon!$V$2:$V$415))</f>
        <v>10</v>
      </c>
      <c r="I138" cm="1">
        <f t="array" ref="I138">MAX(IF(($A138=pokemon!$AC$2:$AC$415)*(pokemon!$D$2:$D$415 &lt;&gt; "Noble Form")*(ISBLANK(pokemon!$AK$2:$AK$415)), pokemon!$V$2:$V$415))</f>
        <v>10</v>
      </c>
      <c r="J138">
        <f t="shared" si="5"/>
        <v>0</v>
      </c>
    </row>
    <row r="139" spans="1:10" x14ac:dyDescent="0.25">
      <c r="A139" t="s">
        <v>1112</v>
      </c>
      <c r="B139" s="12" t="s">
        <v>13</v>
      </c>
      <c r="C139">
        <v>120</v>
      </c>
      <c r="D139">
        <f t="shared" si="9"/>
        <v>6</v>
      </c>
      <c r="F139" t="s">
        <v>1399</v>
      </c>
      <c r="G139" cm="1">
        <f t="array" ref="G139">COUNT(IF(($A139=pokemon!$AC$2:$AC$415)*(pokemon!$D$2:$D$415 &lt;&gt; "Noble Form")*(ISBLANK(pokemon!$AK$2:$AK$415)), pokemon!$V$2:$V$415))</f>
        <v>1</v>
      </c>
      <c r="H139" cm="1">
        <f t="array" ref="H139">MIN(IF(($A139=pokemon!$AC$2:$AC$415)*(pokemon!$D$2:$D$415 &lt;&gt; "Noble Form")*(ISBLANK(pokemon!$AK$2:$AK$415)), pokemon!$V$2:$V$415))</f>
        <v>18</v>
      </c>
      <c r="I139" cm="1">
        <f t="array" ref="I139">MAX(IF(($A139=pokemon!$AC$2:$AC$415)*(pokemon!$D$2:$D$415 &lt;&gt; "Noble Form")*(ISBLANK(pokemon!$AK$2:$AK$415)), pokemon!$V$2:$V$415))</f>
        <v>18</v>
      </c>
      <c r="J139">
        <f t="shared" si="5"/>
        <v>0</v>
      </c>
    </row>
    <row r="140" spans="1:10" x14ac:dyDescent="0.25">
      <c r="A140" s="26" t="s">
        <v>667</v>
      </c>
      <c r="B140" s="10" t="s">
        <v>14</v>
      </c>
      <c r="C140">
        <v>20</v>
      </c>
      <c r="D140">
        <f t="shared" si="9"/>
        <v>1</v>
      </c>
      <c r="F140" t="s">
        <v>1451</v>
      </c>
      <c r="G140" cm="1">
        <f t="array" ref="G140">COUNT(IF(($A140=pokemon!$AC$2:$AC$415)*(pokemon!$D$2:$D$415 &lt;&gt; "Noble Form")*(ISBLANK(pokemon!$AK$2:$AK$415)), pokemon!$V$2:$V$415))</f>
        <v>1</v>
      </c>
      <c r="H140" cm="1">
        <f t="array" ref="H140">MIN(IF(($A140=pokemon!$AC$2:$AC$415)*(pokemon!$D$2:$D$415 &lt;&gt; "Noble Form")*(ISBLANK(pokemon!$AK$2:$AK$415)), pokemon!$V$2:$V$415))</f>
        <v>11</v>
      </c>
      <c r="I140" cm="1">
        <f t="array" ref="I140">MAX(IF(($A140=pokemon!$AC$2:$AC$415)*(pokemon!$D$2:$D$415 &lt;&gt; "Noble Form")*(ISBLANK(pokemon!$AK$2:$AK$415)), pokemon!$V$2:$V$415))</f>
        <v>11</v>
      </c>
      <c r="J140">
        <f t="shared" si="5"/>
        <v>0</v>
      </c>
    </row>
    <row r="141" spans="1:10" x14ac:dyDescent="0.25">
      <c r="A141" t="s">
        <v>490</v>
      </c>
      <c r="B141" s="10" t="s">
        <v>14</v>
      </c>
      <c r="C141">
        <v>40</v>
      </c>
      <c r="D141">
        <f t="shared" si="9"/>
        <v>2</v>
      </c>
      <c r="F141" t="s">
        <v>1450</v>
      </c>
      <c r="G141" cm="1">
        <f t="array" ref="G141">COUNT(IF(($A141=pokemon!$AC$2:$AC$415)*(pokemon!$D$2:$D$415 &lt;&gt; "Noble Form")*(ISBLANK(pokemon!$AK$2:$AK$415)), pokemon!$V$2:$V$415))</f>
        <v>2</v>
      </c>
      <c r="H141" cm="1">
        <f t="array" ref="H141">MIN(IF(($A141=pokemon!$AC$2:$AC$415)*(pokemon!$D$2:$D$415 &lt;&gt; "Noble Form")*(ISBLANK(pokemon!$AK$2:$AK$415)), pokemon!$V$2:$V$415))</f>
        <v>10</v>
      </c>
      <c r="I141" cm="1">
        <f t="array" ref="I141">MAX(IF(($A141=pokemon!$AC$2:$AC$415)*(pokemon!$D$2:$D$415 &lt;&gt; "Noble Form")*(ISBLANK(pokemon!$AK$2:$AK$415)), pokemon!$V$2:$V$415))</f>
        <v>11</v>
      </c>
      <c r="J141">
        <f t="shared" si="5"/>
        <v>1</v>
      </c>
    </row>
    <row r="142" spans="1:10" x14ac:dyDescent="0.25">
      <c r="A142" t="s">
        <v>631</v>
      </c>
      <c r="B142" s="10" t="s">
        <v>14</v>
      </c>
      <c r="C142">
        <v>65</v>
      </c>
      <c r="D142">
        <f t="shared" si="9"/>
        <v>3</v>
      </c>
      <c r="F142" t="s">
        <v>1390</v>
      </c>
      <c r="G142" cm="1">
        <f t="array" ref="G142">COUNT(IF(($A142=pokemon!$AC$2:$AC$415)*(pokemon!$D$2:$D$415 &lt;&gt; "Noble Form")*(ISBLANK(pokemon!$AK$2:$AK$415)), pokemon!$V$2:$V$415))</f>
        <v>1</v>
      </c>
      <c r="H142" cm="1">
        <f t="array" ref="H142">MIN(IF(($A142=pokemon!$AC$2:$AC$415)*(pokemon!$D$2:$D$415 &lt;&gt; "Noble Form")*(ISBLANK(pokemon!$AK$2:$AK$415)), pokemon!$V$2:$V$415))</f>
        <v>15</v>
      </c>
      <c r="I142" cm="1">
        <f t="array" ref="I142">MAX(IF(($A142=pokemon!$AC$2:$AC$415)*(pokemon!$D$2:$D$415 &lt;&gt; "Noble Form")*(ISBLANK(pokemon!$AK$2:$AK$415)), pokemon!$V$2:$V$415))</f>
        <v>15</v>
      </c>
      <c r="J142">
        <f t="shared" ref="J142:J210" si="10">I142-H142</f>
        <v>0</v>
      </c>
    </row>
    <row r="143" spans="1:10" x14ac:dyDescent="0.25">
      <c r="A143" t="s">
        <v>1177</v>
      </c>
      <c r="B143" s="10" t="s">
        <v>14</v>
      </c>
      <c r="C143">
        <v>60</v>
      </c>
      <c r="D143">
        <f t="shared" si="9"/>
        <v>3</v>
      </c>
      <c r="E143" s="1" t="s">
        <v>1228</v>
      </c>
      <c r="F143" t="s">
        <v>1452</v>
      </c>
      <c r="G143" cm="1">
        <f t="array" ref="G143">COUNT(IF(($A143=pokemon!$AC$2:$AC$415)*(pokemon!$D$2:$D$415 &lt;&gt; "Noble Form")*(ISBLANK(pokemon!$AK$2:$AK$415)), pokemon!$V$2:$V$415))</f>
        <v>1</v>
      </c>
      <c r="H143" cm="1">
        <f t="array" ref="H143">MIN(IF(($A143=pokemon!$AC$2:$AC$415)*(pokemon!$D$2:$D$415 &lt;&gt; "Noble Form")*(ISBLANK(pokemon!$AK$2:$AK$415)), pokemon!$V$2:$V$415))</f>
        <v>20</v>
      </c>
      <c r="I143" cm="1">
        <f t="array" ref="I143">MAX(IF(($A143=pokemon!$AC$2:$AC$415)*(pokemon!$D$2:$D$415 &lt;&gt; "Noble Form")*(ISBLANK(pokemon!$AK$2:$AK$415)), pokemon!$V$2:$V$415))</f>
        <v>20</v>
      </c>
      <c r="J143">
        <f t="shared" si="10"/>
        <v>0</v>
      </c>
    </row>
    <row r="144" spans="1:10" x14ac:dyDescent="0.25">
      <c r="A144" t="s">
        <v>625</v>
      </c>
      <c r="B144" s="10" t="s">
        <v>14</v>
      </c>
      <c r="C144">
        <v>65</v>
      </c>
      <c r="D144">
        <f t="shared" si="9"/>
        <v>3</v>
      </c>
      <c r="F144" t="s">
        <v>1417</v>
      </c>
      <c r="G144" cm="1">
        <f t="array" ref="G144">COUNT(IF(($A144=pokemon!$AC$2:$AC$415)*(pokemon!$D$2:$D$415 &lt;&gt; "Noble Form")*(ISBLANK(pokemon!$AK$2:$AK$415)), pokemon!$V$2:$V$415))</f>
        <v>1</v>
      </c>
      <c r="H144" cm="1">
        <f t="array" ref="H144">MIN(IF(($A144=pokemon!$AC$2:$AC$415)*(pokemon!$D$2:$D$415 &lt;&gt; "Noble Form")*(ISBLANK(pokemon!$AK$2:$AK$415)), pokemon!$V$2:$V$415))</f>
        <v>11</v>
      </c>
      <c r="I144" cm="1">
        <f t="array" ref="I144">MAX(IF(($A144=pokemon!$AC$2:$AC$415)*(pokemon!$D$2:$D$415 &lt;&gt; "Noble Form")*(ISBLANK(pokemon!$AK$2:$AK$415)), pokemon!$V$2:$V$415))</f>
        <v>11</v>
      </c>
      <c r="J144">
        <f t="shared" si="10"/>
        <v>0</v>
      </c>
    </row>
    <row r="145" spans="1:10" x14ac:dyDescent="0.25">
      <c r="A145" t="s">
        <v>471</v>
      </c>
      <c r="B145" s="10" t="s">
        <v>14</v>
      </c>
      <c r="C145">
        <v>80</v>
      </c>
      <c r="D145">
        <f t="shared" si="9"/>
        <v>4</v>
      </c>
      <c r="F145" t="s">
        <v>1453</v>
      </c>
      <c r="G145" cm="1">
        <f t="array" ref="G145">COUNT(IF(($A145=pokemon!$AC$2:$AC$415)*(pokemon!$D$2:$D$415 &lt;&gt; "Noble Form")*(ISBLANK(pokemon!$AK$2:$AK$415)), pokemon!$V$2:$V$415))</f>
        <v>1</v>
      </c>
      <c r="H145" cm="1">
        <f t="array" ref="H145">MIN(IF(($A145=pokemon!$AC$2:$AC$415)*(pokemon!$D$2:$D$415 &lt;&gt; "Noble Form")*(ISBLANK(pokemon!$AK$2:$AK$415)), pokemon!$V$2:$V$415))</f>
        <v>20</v>
      </c>
      <c r="I145" cm="1">
        <f t="array" ref="I145">MAX(IF(($A145=pokemon!$AC$2:$AC$415)*(pokemon!$D$2:$D$415 &lt;&gt; "Noble Form")*(ISBLANK(pokemon!$AK$2:$AK$415)), pokemon!$V$2:$V$415))</f>
        <v>20</v>
      </c>
      <c r="J145">
        <f t="shared" si="10"/>
        <v>0</v>
      </c>
    </row>
    <row r="146" spans="1:10" x14ac:dyDescent="0.25">
      <c r="A146" t="s">
        <v>489</v>
      </c>
      <c r="B146" s="10" t="s">
        <v>14</v>
      </c>
      <c r="C146">
        <v>80</v>
      </c>
      <c r="D146">
        <f t="shared" si="9"/>
        <v>4</v>
      </c>
      <c r="F146" t="s">
        <v>1454</v>
      </c>
      <c r="G146" cm="1">
        <f t="array" ref="G146">COUNT(IF(($A146=pokemon!$AC$2:$AC$415)*(pokemon!$D$2:$D$415 &lt;&gt; "Noble Form")*(ISBLANK(pokemon!$AK$2:$AK$415)), pokemon!$V$2:$V$415))</f>
        <v>1</v>
      </c>
      <c r="H146" cm="1">
        <f t="array" ref="H146">MIN(IF(($A146=pokemon!$AC$2:$AC$415)*(pokemon!$D$2:$D$415 &lt;&gt; "Noble Form")*(ISBLANK(pokemon!$AK$2:$AK$415)), pokemon!$V$2:$V$415))</f>
        <v>16</v>
      </c>
      <c r="I146" cm="1">
        <f t="array" ref="I146">MAX(IF(($A146=pokemon!$AC$2:$AC$415)*(pokemon!$D$2:$D$415 &lt;&gt; "Noble Form")*(ISBLANK(pokemon!$AK$2:$AK$415)), pokemon!$V$2:$V$415))</f>
        <v>16</v>
      </c>
      <c r="J146">
        <f t="shared" si="10"/>
        <v>0</v>
      </c>
    </row>
    <row r="147" spans="1:10" x14ac:dyDescent="0.25">
      <c r="A147" t="s">
        <v>595</v>
      </c>
      <c r="B147" s="10" t="s">
        <v>14</v>
      </c>
      <c r="C147">
        <v>75</v>
      </c>
      <c r="D147">
        <f t="shared" si="9"/>
        <v>4</v>
      </c>
      <c r="F147" t="s">
        <v>1454</v>
      </c>
      <c r="G147" cm="1">
        <f t="array" ref="G147">COUNT(IF(($A147=pokemon!$AC$2:$AC$415)*(pokemon!$D$2:$D$415 &lt;&gt; "Noble Form")*(ISBLANK(pokemon!$AK$2:$AK$415)), pokemon!$V$2:$V$415))</f>
        <v>1</v>
      </c>
      <c r="H147" cm="1">
        <f t="array" ref="H147">MIN(IF(($A147=pokemon!$AC$2:$AC$415)*(pokemon!$D$2:$D$415 &lt;&gt; "Noble Form")*(ISBLANK(pokemon!$AK$2:$AK$415)), pokemon!$V$2:$V$415))</f>
        <v>18</v>
      </c>
      <c r="I147" cm="1">
        <f t="array" ref="I147">MAX(IF(($A147=pokemon!$AC$2:$AC$415)*(pokemon!$D$2:$D$415 &lt;&gt; "Noble Form")*(ISBLANK(pokemon!$AK$2:$AK$415)), pokemon!$V$2:$V$415))</f>
        <v>18</v>
      </c>
      <c r="J147">
        <f t="shared" si="10"/>
        <v>0</v>
      </c>
    </row>
    <row r="148" spans="1:10" x14ac:dyDescent="0.25">
      <c r="A148" t="s">
        <v>1079</v>
      </c>
      <c r="B148" s="10" t="s">
        <v>14</v>
      </c>
      <c r="C148">
        <v>100</v>
      </c>
      <c r="D148">
        <f>IF(NOT(ISBLANK(C148)), IF(ISNUMBER(C148), ROUND((C148 - 5)/20, 0), C148), "")</f>
        <v>5</v>
      </c>
      <c r="F148" t="s">
        <v>1405</v>
      </c>
      <c r="G148" cm="1">
        <f t="array" ref="G148">COUNT(IF(($A148=pokemon!$AC$2:$AC$415)*(pokemon!$D$2:$D$415 &lt;&gt; "Noble Form")*(ISBLANK(pokemon!$AK$2:$AK$415)), pokemon!$V$2:$V$415))</f>
        <v>1</v>
      </c>
      <c r="H148" cm="1">
        <f t="array" ref="H148">MIN(IF(($A148=pokemon!$AC$2:$AC$415)*(pokemon!$D$2:$D$415 &lt;&gt; "Noble Form")*(ISBLANK(pokemon!$AK$2:$AK$415)), pokemon!$V$2:$V$415))</f>
        <v>18</v>
      </c>
      <c r="I148" cm="1">
        <f t="array" ref="I148">MAX(IF(($A148=pokemon!$AC$2:$AC$415)*(pokemon!$D$2:$D$415 &lt;&gt; "Noble Form")*(ISBLANK(pokemon!$AK$2:$AK$415)), pokemon!$V$2:$V$415))</f>
        <v>18</v>
      </c>
      <c r="J148">
        <f t="shared" si="10"/>
        <v>0</v>
      </c>
    </row>
    <row r="149" spans="1:10" x14ac:dyDescent="0.25">
      <c r="A149" t="s">
        <v>1087</v>
      </c>
      <c r="B149" s="10" t="s">
        <v>14</v>
      </c>
      <c r="C149">
        <v>100</v>
      </c>
      <c r="D149">
        <f t="shared" si="9"/>
        <v>5</v>
      </c>
      <c r="E149" s="1" t="s">
        <v>1241</v>
      </c>
      <c r="F149" t="s">
        <v>1264</v>
      </c>
      <c r="G149" cm="1">
        <f t="array" ref="G149">COUNT(IF(($A149=pokemon!$AC$2:$AC$415)*(pokemon!$D$2:$D$415 &lt;&gt; "Noble Form")*(ISBLANK(pokemon!$AK$2:$AK$415)), pokemon!$V$2:$V$415))</f>
        <v>1</v>
      </c>
      <c r="H149" cm="1">
        <f t="array" ref="H149">MIN(IF(($A149=pokemon!$AC$2:$AC$415)*(pokemon!$D$2:$D$415 &lt;&gt; "Noble Form")*(ISBLANK(pokemon!$AK$2:$AK$415)), pokemon!$V$2:$V$415))</f>
        <v>20</v>
      </c>
      <c r="I149" cm="1">
        <f t="array" ref="I149">MAX(IF(($A149=pokemon!$AC$2:$AC$415)*(pokemon!$D$2:$D$415 &lt;&gt; "Noble Form")*(ISBLANK(pokemon!$AK$2:$AK$415)), pokemon!$V$2:$V$415))</f>
        <v>20</v>
      </c>
      <c r="J149">
        <f t="shared" si="10"/>
        <v>0</v>
      </c>
    </row>
    <row r="150" spans="1:10" ht="15.75" customHeight="1" x14ac:dyDescent="0.25">
      <c r="A150" t="s">
        <v>488</v>
      </c>
      <c r="B150" s="10" t="s">
        <v>14</v>
      </c>
      <c r="C150">
        <v>100</v>
      </c>
      <c r="D150">
        <f t="shared" si="9"/>
        <v>5</v>
      </c>
      <c r="F150" t="s">
        <v>1455</v>
      </c>
      <c r="G150" cm="1">
        <f t="array" ref="G150">COUNT(IF(($A150=pokemon!$AC$2:$AC$415)*(pokemon!$D$2:$D$415 &lt;&gt; "Noble Form")*(ISBLANK(pokemon!$AK$2:$AK$415)), pokemon!$V$2:$V$415))</f>
        <v>2</v>
      </c>
      <c r="H150" cm="1">
        <f t="array" ref="H150">MIN(IF(($A150=pokemon!$AC$2:$AC$415)*(pokemon!$D$2:$D$415 &lt;&gt; "Noble Form")*(ISBLANK(pokemon!$AK$2:$AK$415)), pokemon!$V$2:$V$415))</f>
        <v>18</v>
      </c>
      <c r="I150" cm="1">
        <f t="array" ref="I150">MAX(IF(($A150=pokemon!$AC$2:$AC$415)*(pokemon!$D$2:$D$415 &lt;&gt; "Noble Form")*(ISBLANK(pokemon!$AK$2:$AK$415)), pokemon!$V$2:$V$415))</f>
        <v>20</v>
      </c>
      <c r="J150">
        <f t="shared" si="10"/>
        <v>2</v>
      </c>
    </row>
    <row r="151" spans="1:10" ht="15.75" customHeight="1" x14ac:dyDescent="0.25">
      <c r="A151" t="s">
        <v>569</v>
      </c>
      <c r="B151" s="10" t="s">
        <v>14</v>
      </c>
      <c r="C151">
        <v>120</v>
      </c>
      <c r="D151">
        <f t="shared" si="9"/>
        <v>6</v>
      </c>
      <c r="F151" t="s">
        <v>1399</v>
      </c>
      <c r="G151" cm="1">
        <f t="array" ref="G151">COUNT(IF(($A151=pokemon!$AC$2:$AC$415)*(pokemon!$D$2:$D$415 &lt;&gt; "Noble Form")*(ISBLANK(pokemon!$AK$2:$AK$415)), pokemon!$V$2:$V$415))</f>
        <v>2</v>
      </c>
      <c r="H151" cm="1">
        <f t="array" ref="H151">MIN(IF(($A151=pokemon!$AC$2:$AC$415)*(pokemon!$D$2:$D$415 &lt;&gt; "Noble Form")*(ISBLANK(pokemon!$AK$2:$AK$415)), pokemon!$V$2:$V$415))</f>
        <v>18</v>
      </c>
      <c r="I151" cm="1">
        <f t="array" ref="I151">MAX(IF(($A151=pokemon!$AC$2:$AC$415)*(pokemon!$D$2:$D$415 &lt;&gt; "Noble Form")*(ISBLANK(pokemon!$AK$2:$AK$415)), pokemon!$V$2:$V$415))</f>
        <v>18</v>
      </c>
      <c r="J151">
        <f t="shared" si="10"/>
        <v>0</v>
      </c>
    </row>
    <row r="152" spans="1:10" x14ac:dyDescent="0.25">
      <c r="A152" t="s">
        <v>1249</v>
      </c>
      <c r="B152" s="10" t="s">
        <v>14</v>
      </c>
      <c r="C152">
        <v>60</v>
      </c>
      <c r="D152">
        <f t="shared" si="9"/>
        <v>3</v>
      </c>
      <c r="E152" s="1" t="s">
        <v>1219</v>
      </c>
      <c r="F152" t="s">
        <v>1483</v>
      </c>
      <c r="G152" cm="1">
        <f t="array" ref="G152">COUNT(IF(($A152=pokemon!$AC$2:$AC$415)*(pokemon!$D$2:$D$415 &lt;&gt; "Noble Form")*(ISBLANK(pokemon!$AK$2:$AK$415)), pokemon!$V$2:$V$415))</f>
        <v>1</v>
      </c>
      <c r="H152" cm="1">
        <f t="array" ref="H152">MIN(IF(($A152=pokemon!$AC$2:$AC$415)*(pokemon!$D$2:$D$415 &lt;&gt; "Noble Form")*(ISBLANK(pokemon!$AK$2:$AK$415)), pokemon!$V$2:$V$415))</f>
        <v>16</v>
      </c>
      <c r="I152" cm="1">
        <f t="array" ref="I152">MAX(IF(($A152=pokemon!$AC$2:$AC$415)*(pokemon!$D$2:$D$415 &lt;&gt; "Noble Form")*(ISBLANK(pokemon!$AK$2:$AK$415)), pokemon!$V$2:$V$415))</f>
        <v>16</v>
      </c>
      <c r="J152">
        <f t="shared" si="10"/>
        <v>0</v>
      </c>
    </row>
    <row r="153" spans="1:10" ht="15.75" customHeight="1" x14ac:dyDescent="0.25">
      <c r="A153" t="s">
        <v>836</v>
      </c>
      <c r="B153" s="5" t="s">
        <v>8</v>
      </c>
      <c r="C153">
        <v>20</v>
      </c>
      <c r="D153">
        <f t="shared" si="9"/>
        <v>1</v>
      </c>
      <c r="E153" s="1" t="s">
        <v>1241</v>
      </c>
      <c r="F153" t="s">
        <v>1252</v>
      </c>
      <c r="G153" cm="1">
        <f t="array" ref="G153">COUNT(IF(($A153=pokemon!$AC$2:$AC$415)*(pokemon!$D$2:$D$415 &lt;&gt; "Noble Form")*(ISBLANK(pokemon!$AK$2:$AK$415)), pokemon!$V$2:$V$415))</f>
        <v>1</v>
      </c>
      <c r="H153" cm="1">
        <f t="array" ref="H153">MIN(IF(($A153=pokemon!$AC$2:$AC$415)*(pokemon!$D$2:$D$415 &lt;&gt; "Noble Form")*(ISBLANK(pokemon!$AK$2:$AK$415)), pokemon!$V$2:$V$415))</f>
        <v>14</v>
      </c>
      <c r="I153" cm="1">
        <f t="array" ref="I153">MAX(IF(($A153=pokemon!$AC$2:$AC$415)*(pokemon!$D$2:$D$415 &lt;&gt; "Noble Form")*(ISBLANK(pokemon!$AK$2:$AK$415)), pokemon!$V$2:$V$415))</f>
        <v>14</v>
      </c>
      <c r="J153">
        <f t="shared" si="10"/>
        <v>0</v>
      </c>
    </row>
    <row r="154" spans="1:10" x14ac:dyDescent="0.25">
      <c r="A154" t="s">
        <v>522</v>
      </c>
      <c r="B154" s="5" t="s">
        <v>8</v>
      </c>
      <c r="C154">
        <v>20</v>
      </c>
      <c r="D154">
        <f t="shared" si="9"/>
        <v>1</v>
      </c>
      <c r="E154" s="1" t="s">
        <v>1242</v>
      </c>
      <c r="F154" t="s">
        <v>1222</v>
      </c>
      <c r="G154" cm="1">
        <f t="array" ref="G154">COUNT(IF(($A154=pokemon!$AC$2:$AC$415)*(pokemon!$D$2:$D$415 &lt;&gt; "Noble Form")*(ISBLANK(pokemon!$AK$2:$AK$415)), pokemon!$V$2:$V$415))</f>
        <v>1</v>
      </c>
      <c r="H154" cm="1">
        <f t="array" ref="H154">MIN(IF(($A154=pokemon!$AC$2:$AC$415)*(pokemon!$D$2:$D$415 &lt;&gt; "Noble Form")*(ISBLANK(pokemon!$AK$2:$AK$415)), pokemon!$V$2:$V$415))</f>
        <v>15</v>
      </c>
      <c r="I154" cm="1">
        <f t="array" ref="I154">MAX(IF(($A154=pokemon!$AC$2:$AC$415)*(pokemon!$D$2:$D$415 &lt;&gt; "Noble Form")*(ISBLANK(pokemon!$AK$2:$AK$415)), pokemon!$V$2:$V$415))</f>
        <v>15</v>
      </c>
      <c r="J154">
        <f t="shared" si="10"/>
        <v>0</v>
      </c>
    </row>
    <row r="155" spans="1:10" x14ac:dyDescent="0.25">
      <c r="A155" t="s">
        <v>543</v>
      </c>
      <c r="B155" s="5" t="s">
        <v>8</v>
      </c>
      <c r="C155">
        <v>20</v>
      </c>
      <c r="D155">
        <f t="shared" si="9"/>
        <v>1</v>
      </c>
      <c r="F155" t="s">
        <v>1258</v>
      </c>
      <c r="G155" cm="1">
        <f t="array" ref="G155">COUNT(IF(($A155=pokemon!$AC$2:$AC$415)*(pokemon!$D$2:$D$415 &lt;&gt; "Noble Form")*(ISBLANK(pokemon!$AK$2:$AK$415)), pokemon!$V$2:$V$415))</f>
        <v>2</v>
      </c>
      <c r="H155" cm="1">
        <f t="array" ref="H155">MIN(IF(($A155=pokemon!$AC$2:$AC$415)*(pokemon!$D$2:$D$415 &lt;&gt; "Noble Form")*(ISBLANK(pokemon!$AK$2:$AK$415)), pokemon!$V$2:$V$415))</f>
        <v>10</v>
      </c>
      <c r="I155" cm="1">
        <f t="array" ref="I155">MAX(IF(($A155=pokemon!$AC$2:$AC$415)*(pokemon!$D$2:$D$415 &lt;&gt; "Noble Form")*(ISBLANK(pokemon!$AK$2:$AK$415)), pokemon!$V$2:$V$415))</f>
        <v>13</v>
      </c>
      <c r="J155">
        <f t="shared" si="10"/>
        <v>3</v>
      </c>
    </row>
    <row r="156" spans="1:10" x14ac:dyDescent="0.25">
      <c r="A156" t="s">
        <v>550</v>
      </c>
      <c r="B156" s="5" t="s">
        <v>8</v>
      </c>
      <c r="C156">
        <v>20</v>
      </c>
      <c r="D156">
        <f t="shared" si="9"/>
        <v>1</v>
      </c>
      <c r="E156" s="1" t="s">
        <v>1219</v>
      </c>
      <c r="F156" t="s">
        <v>1175</v>
      </c>
      <c r="G156" cm="1">
        <f t="array" ref="G156">COUNT(IF(($A156=pokemon!$AC$2:$AC$415)*(pokemon!$D$2:$D$415 &lt;&gt; "Noble Form")*(ISBLANK(pokemon!$AK$2:$AK$415)), pokemon!$V$2:$V$415))</f>
        <v>3</v>
      </c>
      <c r="H156" cm="1">
        <f t="array" ref="H156">MIN(IF(($A156=pokemon!$AC$2:$AC$415)*(pokemon!$D$2:$D$415 &lt;&gt; "Noble Form")*(ISBLANK(pokemon!$AK$2:$AK$415)), pokemon!$V$2:$V$415))</f>
        <v>7</v>
      </c>
      <c r="I156" cm="1">
        <f t="array" ref="I156">MAX(IF(($A156=pokemon!$AC$2:$AC$415)*(pokemon!$D$2:$D$415 &lt;&gt; "Noble Form")*(ISBLANK(pokemon!$AK$2:$AK$415)), pokemon!$V$2:$V$415))</f>
        <v>8</v>
      </c>
      <c r="J156">
        <f t="shared" si="10"/>
        <v>1</v>
      </c>
    </row>
    <row r="157" spans="1:10" x14ac:dyDescent="0.25">
      <c r="A157" t="s">
        <v>721</v>
      </c>
      <c r="B157" s="5" t="s">
        <v>8</v>
      </c>
      <c r="C157">
        <v>40</v>
      </c>
      <c r="D157">
        <f t="shared" si="9"/>
        <v>2</v>
      </c>
      <c r="E157" s="1" t="s">
        <v>1219</v>
      </c>
      <c r="F157" t="s">
        <v>1394</v>
      </c>
      <c r="G157" cm="1">
        <f t="array" ref="G157">COUNT(IF(($A157=pokemon!$AC$2:$AC$415)*(pokemon!$D$2:$D$415 &lt;&gt; "Noble Form")*(ISBLANK(pokemon!$AK$2:$AK$415)), pokemon!$V$2:$V$415))</f>
        <v>1</v>
      </c>
      <c r="H157" cm="1">
        <f t="array" ref="H157">MIN(IF(($A157=pokemon!$AC$2:$AC$415)*(pokemon!$D$2:$D$415 &lt;&gt; "Noble Form")*(ISBLANK(pokemon!$AK$2:$AK$415)), pokemon!$V$2:$V$415))</f>
        <v>11</v>
      </c>
      <c r="I157" cm="1">
        <f t="array" ref="I157">MAX(IF(($A157=pokemon!$AC$2:$AC$415)*(pokemon!$D$2:$D$415 &lt;&gt; "Noble Form")*(ISBLANK(pokemon!$AK$2:$AK$415)), pokemon!$V$2:$V$415))</f>
        <v>11</v>
      </c>
      <c r="J157">
        <f t="shared" si="10"/>
        <v>0</v>
      </c>
    </row>
    <row r="158" spans="1:10" x14ac:dyDescent="0.25">
      <c r="A158" t="s">
        <v>674</v>
      </c>
      <c r="B158" s="5" t="s">
        <v>8</v>
      </c>
      <c r="C158">
        <v>40</v>
      </c>
      <c r="D158">
        <f t="shared" si="9"/>
        <v>2</v>
      </c>
      <c r="F158" t="s">
        <v>1265</v>
      </c>
      <c r="G158" cm="1">
        <f t="array" ref="G158">COUNT(IF(($A158=pokemon!$AC$2:$AC$415)*(pokemon!$D$2:$D$415 &lt;&gt; "Noble Form")*(ISBLANK(pokemon!$AK$2:$AK$415)), pokemon!$V$2:$V$415))</f>
        <v>1</v>
      </c>
      <c r="H158" cm="1">
        <f t="array" ref="H158">MIN(IF(($A158=pokemon!$AC$2:$AC$415)*(pokemon!$D$2:$D$415 &lt;&gt; "Noble Form")*(ISBLANK(pokemon!$AK$2:$AK$415)), pokemon!$V$2:$V$415))</f>
        <v>8</v>
      </c>
      <c r="I158" cm="1">
        <f t="array" ref="I158">MAX(IF(($A158=pokemon!$AC$2:$AC$415)*(pokemon!$D$2:$D$415 &lt;&gt; "Noble Form")*(ISBLANK(pokemon!$AK$2:$AK$415)), pokemon!$V$2:$V$415))</f>
        <v>8</v>
      </c>
      <c r="J158">
        <f t="shared" si="10"/>
        <v>0</v>
      </c>
    </row>
    <row r="159" spans="1:10" x14ac:dyDescent="0.25">
      <c r="A159" t="s">
        <v>832</v>
      </c>
      <c r="B159" s="5" t="s">
        <v>8</v>
      </c>
      <c r="C159">
        <v>40</v>
      </c>
      <c r="D159">
        <f t="shared" si="9"/>
        <v>2</v>
      </c>
      <c r="F159" t="s">
        <v>1400</v>
      </c>
      <c r="G159" cm="1">
        <f t="array" ref="G159">COUNT(IF(($A159=pokemon!$AC$2:$AC$415)*(pokemon!$D$2:$D$415 &lt;&gt; "Noble Form")*(ISBLANK(pokemon!$AK$2:$AK$415)), pokemon!$V$2:$V$415))</f>
        <v>1</v>
      </c>
      <c r="H159" cm="1">
        <f t="array" ref="H159">MIN(IF(($A159=pokemon!$AC$2:$AC$415)*(pokemon!$D$2:$D$415 &lt;&gt; "Noble Form")*(ISBLANK(pokemon!$AK$2:$AK$415)), pokemon!$V$2:$V$415))</f>
        <v>9</v>
      </c>
      <c r="I159" cm="1">
        <f t="array" ref="I159">MAX(IF(($A159=pokemon!$AC$2:$AC$415)*(pokemon!$D$2:$D$415 &lt;&gt; "Noble Form")*(ISBLANK(pokemon!$AK$2:$AK$415)), pokemon!$V$2:$V$415))</f>
        <v>9</v>
      </c>
      <c r="J159">
        <f t="shared" si="10"/>
        <v>0</v>
      </c>
    </row>
    <row r="160" spans="1:10" x14ac:dyDescent="0.25">
      <c r="A160" t="s">
        <v>465</v>
      </c>
      <c r="B160" s="5" t="s">
        <v>8</v>
      </c>
      <c r="C160">
        <v>35</v>
      </c>
      <c r="D160">
        <f t="shared" si="9"/>
        <v>2</v>
      </c>
      <c r="F160" t="s">
        <v>1420</v>
      </c>
      <c r="G160" cm="1">
        <f t="array" ref="G160">COUNT(IF(($A160=pokemon!$AC$2:$AC$415)*(pokemon!$D$2:$D$415 &lt;&gt; "Noble Form")*(ISBLANK(pokemon!$AK$2:$AK$415)), pokemon!$V$2:$V$415))</f>
        <v>1</v>
      </c>
      <c r="H160" cm="1">
        <f t="array" ref="H160">MIN(IF(($A160=pokemon!$AC$2:$AC$415)*(pokemon!$D$2:$D$415 &lt;&gt; "Noble Form")*(ISBLANK(pokemon!$AK$2:$AK$415)), pokemon!$V$2:$V$415))</f>
        <v>13</v>
      </c>
      <c r="I160" cm="1">
        <f t="array" ref="I160">MAX(IF(($A160=pokemon!$AC$2:$AC$415)*(pokemon!$D$2:$D$415 &lt;&gt; "Noble Form")*(ISBLANK(pokemon!$AK$2:$AK$415)), pokemon!$V$2:$V$415))</f>
        <v>13</v>
      </c>
      <c r="J160">
        <f t="shared" si="10"/>
        <v>0</v>
      </c>
    </row>
    <row r="161" spans="1:10" x14ac:dyDescent="0.25">
      <c r="A161" t="s">
        <v>747</v>
      </c>
      <c r="B161" s="5" t="s">
        <v>8</v>
      </c>
      <c r="C161">
        <v>40</v>
      </c>
      <c r="D161">
        <f t="shared" si="9"/>
        <v>2</v>
      </c>
      <c r="E161" s="1" t="s">
        <v>1228</v>
      </c>
      <c r="F161" t="s">
        <v>1413</v>
      </c>
      <c r="G161" cm="1">
        <f t="array" ref="G161">COUNT(IF(($A161=pokemon!$AC$2:$AC$415)*(pokemon!$D$2:$D$415 &lt;&gt; "Noble Form")*(ISBLANK(pokemon!$AK$2:$AK$415)), pokemon!$V$2:$V$415))</f>
        <v>1</v>
      </c>
      <c r="H161" cm="1">
        <f t="array" ref="H161">MIN(IF(($A161=pokemon!$AC$2:$AC$415)*(pokemon!$D$2:$D$415 &lt;&gt; "Noble Form")*(ISBLANK(pokemon!$AK$2:$AK$415)), pokemon!$V$2:$V$415))</f>
        <v>12</v>
      </c>
      <c r="I161" cm="1">
        <f t="array" ref="I161">MAX(IF(($A161=pokemon!$AC$2:$AC$415)*(pokemon!$D$2:$D$415 &lt;&gt; "Noble Form")*(ISBLANK(pokemon!$AK$2:$AK$415)), pokemon!$V$2:$V$415))</f>
        <v>12</v>
      </c>
      <c r="J161">
        <f t="shared" si="10"/>
        <v>0</v>
      </c>
    </row>
    <row r="162" spans="1:10" x14ac:dyDescent="0.25">
      <c r="A162" t="s">
        <v>510</v>
      </c>
      <c r="B162" s="5" t="s">
        <v>8</v>
      </c>
      <c r="C162">
        <v>40</v>
      </c>
      <c r="D162">
        <f t="shared" si="9"/>
        <v>2</v>
      </c>
      <c r="F162" t="s">
        <v>1417</v>
      </c>
      <c r="G162" cm="1">
        <f t="array" ref="G162">COUNT(IF(($A162=pokemon!$AC$2:$AC$415)*(pokemon!$D$2:$D$415 &lt;&gt; "Noble Form")*(ISBLANK(pokemon!$AK$2:$AK$415)), pokemon!$V$2:$V$415))</f>
        <v>3</v>
      </c>
      <c r="H162" cm="1">
        <f t="array" ref="H162">MIN(IF(($A162=pokemon!$AC$2:$AC$415)*(pokemon!$D$2:$D$415 &lt;&gt; "Noble Form")*(ISBLANK(pokemon!$AK$2:$AK$415)), pokemon!$V$2:$V$415))</f>
        <v>8</v>
      </c>
      <c r="I162" cm="1">
        <f t="array" ref="I162">MAX(IF(($A162=pokemon!$AC$2:$AC$415)*(pokemon!$D$2:$D$415 &lt;&gt; "Noble Form")*(ISBLANK(pokemon!$AK$2:$AK$415)), pokemon!$V$2:$V$415))</f>
        <v>10</v>
      </c>
      <c r="J162">
        <f t="shared" si="10"/>
        <v>2</v>
      </c>
    </row>
    <row r="163" spans="1:10" x14ac:dyDescent="0.25">
      <c r="A163" t="s">
        <v>842</v>
      </c>
      <c r="B163" s="5" t="s">
        <v>8</v>
      </c>
      <c r="C163">
        <v>70</v>
      </c>
      <c r="D163">
        <f t="shared" si="9"/>
        <v>3</v>
      </c>
      <c r="E163" s="1" t="s">
        <v>1219</v>
      </c>
      <c r="F163" t="s">
        <v>1394</v>
      </c>
      <c r="G163" cm="1">
        <f t="array" ref="G163">COUNT(IF(($A163=pokemon!$AC$2:$AC$415)*(pokemon!$D$2:$D$415 &lt;&gt; "Noble Form")*(ISBLANK(pokemon!$AK$2:$AK$415)), pokemon!$V$2:$V$415))</f>
        <v>1</v>
      </c>
      <c r="H163" cm="1">
        <f t="array" ref="H163">MIN(IF(($A163=pokemon!$AC$2:$AC$415)*(pokemon!$D$2:$D$415 &lt;&gt; "Noble Form")*(ISBLANK(pokemon!$AK$2:$AK$415)), pokemon!$V$2:$V$415))</f>
        <v>18</v>
      </c>
      <c r="I163" cm="1">
        <f t="array" ref="I163">MAX(IF(($A163=pokemon!$AC$2:$AC$415)*(pokemon!$D$2:$D$415 &lt;&gt; "Noble Form")*(ISBLANK(pokemon!$AK$2:$AK$415)), pokemon!$V$2:$V$415))</f>
        <v>18</v>
      </c>
      <c r="J163">
        <f t="shared" si="10"/>
        <v>0</v>
      </c>
    </row>
    <row r="164" spans="1:10" x14ac:dyDescent="0.25">
      <c r="A164" t="s">
        <v>517</v>
      </c>
      <c r="B164" s="5" t="s">
        <v>8</v>
      </c>
      <c r="C164">
        <v>60</v>
      </c>
      <c r="D164">
        <f t="shared" si="9"/>
        <v>3</v>
      </c>
      <c r="F164" t="s">
        <v>1019</v>
      </c>
      <c r="G164" cm="1">
        <f t="array" ref="G164">COUNT(IF(($A164=pokemon!$AC$2:$AC$415)*(pokemon!$D$2:$D$415 &lt;&gt; "Noble Form")*(ISBLANK(pokemon!$AK$2:$AK$415)), pokemon!$V$2:$V$415))</f>
        <v>1</v>
      </c>
      <c r="H164" cm="1">
        <f t="array" ref="H164">MIN(IF(($A164=pokemon!$AC$2:$AC$415)*(pokemon!$D$2:$D$415 &lt;&gt; "Noble Form")*(ISBLANK(pokemon!$AK$2:$AK$415)), pokemon!$V$2:$V$415))</f>
        <v>16</v>
      </c>
      <c r="I164" cm="1">
        <f t="array" ref="I164">MAX(IF(($A164=pokemon!$AC$2:$AC$415)*(pokemon!$D$2:$D$415 &lt;&gt; "Noble Form")*(ISBLANK(pokemon!$AK$2:$AK$415)), pokemon!$V$2:$V$415))</f>
        <v>16</v>
      </c>
      <c r="J164">
        <f t="shared" si="10"/>
        <v>0</v>
      </c>
    </row>
    <row r="165" spans="1:10" x14ac:dyDescent="0.25">
      <c r="A165" t="s">
        <v>582</v>
      </c>
      <c r="B165" s="5" t="s">
        <v>8</v>
      </c>
      <c r="C165">
        <v>70</v>
      </c>
      <c r="D165">
        <f t="shared" si="9"/>
        <v>3</v>
      </c>
      <c r="F165" t="s">
        <v>1435</v>
      </c>
      <c r="G165" cm="1">
        <f t="array" ref="G165">COUNT(IF(($A165=pokemon!$AC$2:$AC$415)*(pokemon!$D$2:$D$415 &lt;&gt; "Noble Form")*(ISBLANK(pokemon!$AK$2:$AK$415)), pokemon!$V$2:$V$415))</f>
        <v>3</v>
      </c>
      <c r="H165" cm="1">
        <f t="array" ref="H165">MIN(IF(($A165=pokemon!$AC$2:$AC$415)*(pokemon!$D$2:$D$415 &lt;&gt; "Noble Form")*(ISBLANK(pokemon!$AK$2:$AK$415)), pokemon!$V$2:$V$415))</f>
        <v>12</v>
      </c>
      <c r="I165" cm="1">
        <f t="array" ref="I165">MAX(IF(($A165=pokemon!$AC$2:$AC$415)*(pokemon!$D$2:$D$415 &lt;&gt; "Noble Form")*(ISBLANK(pokemon!$AK$2:$AK$415)), pokemon!$V$2:$V$415))</f>
        <v>14</v>
      </c>
      <c r="J165">
        <f t="shared" si="10"/>
        <v>2</v>
      </c>
    </row>
    <row r="166" spans="1:10" x14ac:dyDescent="0.25">
      <c r="A166" t="s">
        <v>1111</v>
      </c>
      <c r="B166" s="5" t="s">
        <v>8</v>
      </c>
      <c r="C166">
        <v>60</v>
      </c>
      <c r="D166">
        <f t="shared" si="9"/>
        <v>3</v>
      </c>
      <c r="F166" t="s">
        <v>1390</v>
      </c>
      <c r="G166" cm="1">
        <f t="array" ref="G166">COUNT(IF(($A166=pokemon!$AC$2:$AC$415)*(pokemon!$D$2:$D$415 &lt;&gt; "Noble Form")*(ISBLANK(pokemon!$AK$2:$AK$415)), pokemon!$V$2:$V$415))</f>
        <v>1</v>
      </c>
      <c r="H166" cm="1">
        <f t="array" ref="H166">MIN(IF(($A166=pokemon!$AC$2:$AC$415)*(pokemon!$D$2:$D$415 &lt;&gt; "Noble Form")*(ISBLANK(pokemon!$AK$2:$AK$415)), pokemon!$V$2:$V$415))</f>
        <v>14</v>
      </c>
      <c r="I166" cm="1">
        <f t="array" ref="I166">MAX(IF(($A166=pokemon!$AC$2:$AC$415)*(pokemon!$D$2:$D$415 &lt;&gt; "Noble Form")*(ISBLANK(pokemon!$AK$2:$AK$415)), pokemon!$V$2:$V$415))</f>
        <v>14</v>
      </c>
      <c r="J166">
        <f t="shared" si="10"/>
        <v>0</v>
      </c>
    </row>
    <row r="167" spans="1:10" x14ac:dyDescent="0.25">
      <c r="A167" t="s">
        <v>1028</v>
      </c>
      <c r="B167" s="5" t="s">
        <v>8</v>
      </c>
      <c r="C167">
        <v>60</v>
      </c>
      <c r="D167">
        <f t="shared" si="9"/>
        <v>3</v>
      </c>
      <c r="F167" t="s">
        <v>1468</v>
      </c>
      <c r="G167" cm="1">
        <f t="array" ref="G167">COUNT(IF(($A167=pokemon!$AC$2:$AC$415)*(pokemon!$D$2:$D$415 &lt;&gt; "Noble Form")*(ISBLANK(pokemon!$AK$2:$AK$415)), pokemon!$V$2:$V$415))</f>
        <v>1</v>
      </c>
      <c r="H167" cm="1">
        <f t="array" ref="H167">MIN(IF(($A167=pokemon!$AC$2:$AC$415)*(pokemon!$D$2:$D$415 &lt;&gt; "Noble Form")*(ISBLANK(pokemon!$AK$2:$AK$415)), pokemon!$V$2:$V$415))</f>
        <v>13</v>
      </c>
      <c r="I167" cm="1">
        <f t="array" ref="I167">MAX(IF(($A167=pokemon!$AC$2:$AC$415)*(pokemon!$D$2:$D$415 &lt;&gt; "Noble Form")*(ISBLANK(pokemon!$AK$2:$AK$415)), pokemon!$V$2:$V$415))</f>
        <v>13</v>
      </c>
      <c r="J167">
        <f t="shared" si="10"/>
        <v>0</v>
      </c>
    </row>
    <row r="168" spans="1:10" x14ac:dyDescent="0.25">
      <c r="A168" t="s">
        <v>748</v>
      </c>
      <c r="B168" s="5" t="s">
        <v>8</v>
      </c>
      <c r="C168">
        <v>60</v>
      </c>
      <c r="D168">
        <f t="shared" si="9"/>
        <v>3</v>
      </c>
      <c r="F168" t="s">
        <v>1422</v>
      </c>
      <c r="G168" cm="1">
        <f t="array" ref="G168">COUNT(IF(($A168=pokemon!$AC$2:$AC$415)*(pokemon!$D$2:$D$415 &lt;&gt; "Noble Form")*(ISBLANK(pokemon!$AK$2:$AK$415)), pokemon!$V$2:$V$415))</f>
        <v>1</v>
      </c>
      <c r="H168" cm="1">
        <f t="array" ref="H168">MIN(IF(($A168=pokemon!$AC$2:$AC$415)*(pokemon!$D$2:$D$415 &lt;&gt; "Noble Form")*(ISBLANK(pokemon!$AK$2:$AK$415)), pokemon!$V$2:$V$415))</f>
        <v>16</v>
      </c>
      <c r="I168" cm="1">
        <f t="array" ref="I168">MAX(IF(($A168=pokemon!$AC$2:$AC$415)*(pokemon!$D$2:$D$415 &lt;&gt; "Noble Form")*(ISBLANK(pokemon!$AK$2:$AK$415)), pokemon!$V$2:$V$415))</f>
        <v>16</v>
      </c>
      <c r="J168">
        <f t="shared" si="10"/>
        <v>0</v>
      </c>
    </row>
    <row r="169" spans="1:10" x14ac:dyDescent="0.25">
      <c r="A169" t="s">
        <v>530</v>
      </c>
      <c r="B169" s="5" t="s">
        <v>8</v>
      </c>
      <c r="C169">
        <v>75</v>
      </c>
      <c r="D169">
        <f t="shared" si="9"/>
        <v>4</v>
      </c>
      <c r="F169" t="s">
        <v>1404</v>
      </c>
      <c r="G169" cm="1">
        <f t="array" ref="G169">COUNT(IF(($A169=pokemon!$AC$2:$AC$415)*(pokemon!$D$2:$D$415 &lt;&gt; "Noble Form")*(ISBLANK(pokemon!$AK$2:$AK$415)), pokemon!$V$2:$V$415))</f>
        <v>2</v>
      </c>
      <c r="H169" cm="1">
        <f t="array" ref="H169">MIN(IF(($A169=pokemon!$AC$2:$AC$415)*(pokemon!$D$2:$D$415 &lt;&gt; "Noble Form")*(ISBLANK(pokemon!$AK$2:$AK$415)), pokemon!$V$2:$V$415))</f>
        <v>16</v>
      </c>
      <c r="I169" cm="1">
        <f t="array" ref="I169">MAX(IF(($A169=pokemon!$AC$2:$AC$415)*(pokemon!$D$2:$D$415 &lt;&gt; "Noble Form")*(ISBLANK(pokemon!$AK$2:$AK$415)), pokemon!$V$2:$V$415))</f>
        <v>16</v>
      </c>
      <c r="J169">
        <f t="shared" si="10"/>
        <v>0</v>
      </c>
    </row>
    <row r="170" spans="1:10" x14ac:dyDescent="0.25">
      <c r="A170" t="s">
        <v>511</v>
      </c>
      <c r="B170" s="5" t="s">
        <v>8</v>
      </c>
      <c r="C170">
        <v>90</v>
      </c>
      <c r="D170">
        <f t="shared" si="9"/>
        <v>4</v>
      </c>
      <c r="F170" t="s">
        <v>1414</v>
      </c>
      <c r="G170" cm="1">
        <f t="array" ref="G170">COUNT(IF(($A170=pokemon!$AC$2:$AC$415)*(pokemon!$D$2:$D$415 &lt;&gt; "Noble Form")*(ISBLANK(pokemon!$AK$2:$AK$415)), pokemon!$V$2:$V$415))</f>
        <v>1</v>
      </c>
      <c r="H170" cm="1">
        <f t="array" ref="H170">MIN(IF(($A170=pokemon!$AC$2:$AC$415)*(pokemon!$D$2:$D$415 &lt;&gt; "Noble Form")*(ISBLANK(pokemon!$AK$2:$AK$415)), pokemon!$V$2:$V$415))</f>
        <v>15</v>
      </c>
      <c r="I170" cm="1">
        <f t="array" ref="I170">MAX(IF(($A170=pokemon!$AC$2:$AC$415)*(pokemon!$D$2:$D$415 &lt;&gt; "Noble Form")*(ISBLANK(pokemon!$AK$2:$AK$415)), pokemon!$V$2:$V$415))</f>
        <v>15</v>
      </c>
      <c r="J170">
        <f t="shared" si="10"/>
        <v>0</v>
      </c>
    </row>
    <row r="171" spans="1:10" x14ac:dyDescent="0.25">
      <c r="A171" t="s">
        <v>609</v>
      </c>
      <c r="B171" s="5" t="s">
        <v>8</v>
      </c>
      <c r="C171">
        <v>90</v>
      </c>
      <c r="D171">
        <f t="shared" si="9"/>
        <v>4</v>
      </c>
      <c r="E171" s="1" t="s">
        <v>1242</v>
      </c>
      <c r="F171" t="s">
        <v>1221</v>
      </c>
      <c r="G171" cm="1">
        <f t="array" ref="G171">COUNT(IF(($A171=pokemon!$AC$2:$AC$415)*(pokemon!$D$2:$D$415 &lt;&gt; "Noble Form")*(ISBLANK(pokemon!$AK$2:$AK$415)), pokemon!$V$2:$V$415))</f>
        <v>1</v>
      </c>
      <c r="H171" cm="1">
        <f t="array" ref="H171">MIN(IF(($A171=pokemon!$AC$2:$AC$415)*(pokemon!$D$2:$D$415 &lt;&gt; "Noble Form")*(ISBLANK(pokemon!$AK$2:$AK$415)), pokemon!$V$2:$V$415))</f>
        <v>16</v>
      </c>
      <c r="I171" cm="1">
        <f t="array" ref="I171">MAX(IF(($A171=pokemon!$AC$2:$AC$415)*(pokemon!$D$2:$D$415 &lt;&gt; "Noble Form")*(ISBLANK(pokemon!$AK$2:$AK$415)), pokemon!$V$2:$V$415))</f>
        <v>16</v>
      </c>
      <c r="J171">
        <f t="shared" si="10"/>
        <v>0</v>
      </c>
    </row>
    <row r="172" spans="1:10" x14ac:dyDescent="0.25">
      <c r="A172" t="s">
        <v>525</v>
      </c>
      <c r="B172" s="5" t="s">
        <v>8</v>
      </c>
      <c r="C172">
        <v>85</v>
      </c>
      <c r="D172">
        <f t="shared" si="9"/>
        <v>4</v>
      </c>
      <c r="F172" t="s">
        <v>1428</v>
      </c>
      <c r="G172" cm="1">
        <f t="array" ref="G172">COUNT(IF(($A172=pokemon!$AC$2:$AC$415)*(pokemon!$D$2:$D$415 &lt;&gt; "Noble Form")*(ISBLANK(pokemon!$AK$2:$AK$415)), pokemon!$V$2:$V$415))</f>
        <v>1</v>
      </c>
      <c r="H172" cm="1">
        <f t="array" ref="H172">MIN(IF(($A172=pokemon!$AC$2:$AC$415)*(pokemon!$D$2:$D$415 &lt;&gt; "Noble Form")*(ISBLANK(pokemon!$AK$2:$AK$415)), pokemon!$V$2:$V$415))</f>
        <v>19</v>
      </c>
      <c r="I172" cm="1">
        <f t="array" ref="I172">MAX(IF(($A172=pokemon!$AC$2:$AC$415)*(pokemon!$D$2:$D$415 &lt;&gt; "Noble Form")*(ISBLANK(pokemon!$AK$2:$AK$415)), pokemon!$V$2:$V$415))</f>
        <v>19</v>
      </c>
      <c r="J172">
        <f t="shared" si="10"/>
        <v>0</v>
      </c>
    </row>
    <row r="173" spans="1:10" x14ac:dyDescent="0.25">
      <c r="A173" t="s">
        <v>531</v>
      </c>
      <c r="B173" s="5" t="s">
        <v>8</v>
      </c>
      <c r="C173">
        <v>80</v>
      </c>
      <c r="D173">
        <f t="shared" si="9"/>
        <v>4</v>
      </c>
      <c r="F173" t="s">
        <v>1401</v>
      </c>
      <c r="G173" cm="1">
        <f t="array" ref="G173">COUNT(IF(($A173=pokemon!$AC$2:$AC$415)*(pokemon!$D$2:$D$415 &lt;&gt; "Noble Form")*(ISBLANK(pokemon!$AK$2:$AK$415)), pokemon!$V$2:$V$415))</f>
        <v>1</v>
      </c>
      <c r="H173" cm="1">
        <f t="array" ref="H173">MIN(IF(($A173=pokemon!$AC$2:$AC$415)*(pokemon!$D$2:$D$415 &lt;&gt; "Noble Form")*(ISBLANK(pokemon!$AK$2:$AK$415)), pokemon!$V$2:$V$415))</f>
        <v>16</v>
      </c>
      <c r="I173" cm="1">
        <f t="array" ref="I173">MAX(IF(($A173=pokemon!$AC$2:$AC$415)*(pokemon!$D$2:$D$415 &lt;&gt; "Noble Form")*(ISBLANK(pokemon!$AK$2:$AK$415)), pokemon!$V$2:$V$415))</f>
        <v>16</v>
      </c>
      <c r="J173">
        <f t="shared" si="10"/>
        <v>0</v>
      </c>
    </row>
    <row r="174" spans="1:10" x14ac:dyDescent="0.25">
      <c r="A174" t="s">
        <v>1179</v>
      </c>
      <c r="B174" s="5" t="s">
        <v>8</v>
      </c>
      <c r="C174">
        <v>40</v>
      </c>
      <c r="D174">
        <f t="shared" si="9"/>
        <v>2</v>
      </c>
      <c r="E174" s="1" t="s">
        <v>1228</v>
      </c>
      <c r="F174" t="s">
        <v>1266</v>
      </c>
      <c r="G174" cm="1">
        <f t="array" ref="G174">COUNT(IF(($A174=pokemon!$AC$2:$AC$415)*(pokemon!$D$2:$D$415 &lt;&gt; "Noble Form")*(ISBLANK(pokemon!$AK$2:$AK$415)), pokemon!$V$2:$V$415))</f>
        <v>1</v>
      </c>
      <c r="H174" cm="1">
        <f t="array" ref="H174">MIN(IF(($A174=pokemon!$AC$2:$AC$415)*(pokemon!$D$2:$D$415 &lt;&gt; "Noble Form")*(ISBLANK(pokemon!$AK$2:$AK$415)), pokemon!$V$2:$V$415))</f>
        <v>23</v>
      </c>
      <c r="I174" cm="1">
        <f t="array" ref="I174">MAX(IF(($A174=pokemon!$AC$2:$AC$415)*(pokemon!$D$2:$D$415 &lt;&gt; "Noble Form")*(ISBLANK(pokemon!$AK$2:$AK$415)), pokemon!$V$2:$V$415))</f>
        <v>23</v>
      </c>
      <c r="J174">
        <f t="shared" si="10"/>
        <v>0</v>
      </c>
    </row>
    <row r="175" spans="1:10" x14ac:dyDescent="0.25">
      <c r="A175" t="s">
        <v>580</v>
      </c>
      <c r="B175" s="5" t="s">
        <v>8</v>
      </c>
      <c r="C175">
        <v>100</v>
      </c>
      <c r="D175">
        <f t="shared" si="9"/>
        <v>5</v>
      </c>
      <c r="F175" t="s">
        <v>1412</v>
      </c>
      <c r="G175" cm="1">
        <f t="array" ref="G175">COUNT(IF(($A175=pokemon!$AC$2:$AC$415)*(pokemon!$D$2:$D$415 &lt;&gt; "Noble Form")*(ISBLANK(pokemon!$AK$2:$AK$415)), pokemon!$V$2:$V$415))</f>
        <v>2</v>
      </c>
      <c r="H175" cm="1">
        <f t="array" ref="H175">MIN(IF(($A175=pokemon!$AC$2:$AC$415)*(pokemon!$D$2:$D$415 &lt;&gt; "Noble Form")*(ISBLANK(pokemon!$AK$2:$AK$415)), pokemon!$V$2:$V$415))</f>
        <v>17</v>
      </c>
      <c r="I175" cm="1">
        <f t="array" ref="I175">MAX(IF(($A175=pokemon!$AC$2:$AC$415)*(pokemon!$D$2:$D$415 &lt;&gt; "Noble Form")*(ISBLANK(pokemon!$AK$2:$AK$415)), pokemon!$V$2:$V$415))</f>
        <v>20</v>
      </c>
      <c r="J175">
        <f t="shared" si="10"/>
        <v>3</v>
      </c>
    </row>
    <row r="176" spans="1:10" x14ac:dyDescent="0.25">
      <c r="A176" t="s">
        <v>566</v>
      </c>
      <c r="B176" s="5" t="s">
        <v>8</v>
      </c>
      <c r="C176">
        <v>100</v>
      </c>
      <c r="D176">
        <f t="shared" si="9"/>
        <v>5</v>
      </c>
      <c r="F176" t="s">
        <v>1457</v>
      </c>
      <c r="G176" cm="1">
        <f t="array" ref="G176">COUNT(IF(($A176=pokemon!$AC$2:$AC$415)*(pokemon!$D$2:$D$415 &lt;&gt; "Noble Form")*(ISBLANK(pokemon!$AK$2:$AK$415)), pokemon!$V$2:$V$415))</f>
        <v>1</v>
      </c>
      <c r="H176" cm="1">
        <f t="array" ref="H176">MIN(IF(($A176=pokemon!$AC$2:$AC$415)*(pokemon!$D$2:$D$415 &lt;&gt; "Noble Form")*(ISBLANK(pokemon!$AK$2:$AK$415)), pokemon!$V$2:$V$415))</f>
        <v>17</v>
      </c>
      <c r="I176" cm="1">
        <f t="array" ref="I176">MAX(IF(($A176=pokemon!$AC$2:$AC$415)*(pokemon!$D$2:$D$415 &lt;&gt; "Noble Form")*(ISBLANK(pokemon!$AK$2:$AK$415)), pokemon!$V$2:$V$415))</f>
        <v>17</v>
      </c>
      <c r="J176">
        <f t="shared" si="10"/>
        <v>0</v>
      </c>
    </row>
    <row r="177" spans="1:10" x14ac:dyDescent="0.25">
      <c r="A177" t="s">
        <v>516</v>
      </c>
      <c r="B177" s="5" t="s">
        <v>8</v>
      </c>
      <c r="C177">
        <v>160</v>
      </c>
      <c r="D177">
        <f t="shared" si="9"/>
        <v>8</v>
      </c>
      <c r="E177" s="1" t="s">
        <v>1242</v>
      </c>
      <c r="F177" t="s">
        <v>1239</v>
      </c>
      <c r="G177" cm="1">
        <f t="array" ref="G177">COUNT(IF(($A177=pokemon!$AC$2:$AC$415)*(pokemon!$D$2:$D$415 &lt;&gt; "Noble Form")*(ISBLANK(pokemon!$AK$2:$AK$415)), pokemon!$V$2:$V$415))</f>
        <v>4</v>
      </c>
      <c r="H177" cm="1">
        <f t="array" ref="H177">MIN(IF(($A177=pokemon!$AC$2:$AC$415)*(pokemon!$D$2:$D$415 &lt;&gt; "Noble Form")*(ISBLANK(pokemon!$AK$2:$AK$415)), pokemon!$V$2:$V$415))</f>
        <v>17</v>
      </c>
      <c r="I177" cm="1">
        <f t="array" ref="I177">MAX(IF(($A177=pokemon!$AC$2:$AC$415)*(pokemon!$D$2:$D$415 &lt;&gt; "Noble Form")*(ISBLANK(pokemon!$AK$2:$AK$415)), pokemon!$V$2:$V$415))</f>
        <v>18</v>
      </c>
      <c r="J177">
        <f t="shared" si="10"/>
        <v>1</v>
      </c>
    </row>
    <row r="178" spans="1:10" x14ac:dyDescent="0.25">
      <c r="A178" t="s">
        <v>1017</v>
      </c>
      <c r="B178" s="5" t="s">
        <v>8</v>
      </c>
      <c r="C178">
        <v>120</v>
      </c>
      <c r="D178">
        <f t="shared" si="9"/>
        <v>6</v>
      </c>
      <c r="E178" s="1" t="s">
        <v>1242</v>
      </c>
      <c r="F178" t="s">
        <v>1257</v>
      </c>
      <c r="G178" cm="1">
        <f t="array" ref="G178">COUNT(IF(($A178=pokemon!$AC$2:$AC$415)*(pokemon!$D$2:$D$415 &lt;&gt; "Noble Form")*(ISBLANK(pokemon!$AK$2:$AK$415)), pokemon!$V$2:$V$415))</f>
        <v>1</v>
      </c>
      <c r="H178" cm="1">
        <f t="array" ref="H178">MIN(IF(($A178=pokemon!$AC$2:$AC$415)*(pokemon!$D$2:$D$415 &lt;&gt; "Noble Form")*(ISBLANK(pokemon!$AK$2:$AK$415)), pokemon!$V$2:$V$415))</f>
        <v>19</v>
      </c>
      <c r="I178" cm="1">
        <f t="array" ref="I178">MAX(IF(($A178=pokemon!$AC$2:$AC$415)*(pokemon!$D$2:$D$415 &lt;&gt; "Noble Form")*(ISBLANK(pokemon!$AK$2:$AK$415)), pokemon!$V$2:$V$415))</f>
        <v>19</v>
      </c>
      <c r="J178">
        <f t="shared" si="10"/>
        <v>0</v>
      </c>
    </row>
    <row r="179" spans="1:10" x14ac:dyDescent="0.25">
      <c r="A179" t="s">
        <v>1212</v>
      </c>
      <c r="B179" s="5" t="s">
        <v>8</v>
      </c>
      <c r="C179">
        <v>50</v>
      </c>
      <c r="D179">
        <f t="shared" si="9"/>
        <v>2</v>
      </c>
      <c r="F179" t="s">
        <v>1229</v>
      </c>
      <c r="G179" cm="1">
        <f t="array" ref="G179">COUNT(IF(($A179=pokemon!$AC$2:$AC$415)*(pokemon!$D$2:$D$415 &lt;&gt; "Noble Form")*(ISBLANK(pokemon!$AK$2:$AK$415)), pokemon!$V$2:$V$415))</f>
        <v>1</v>
      </c>
      <c r="H179" cm="1">
        <f t="array" ref="H179">MIN(IF(($A179=pokemon!$AC$2:$AC$415)*(pokemon!$D$2:$D$415 &lt;&gt; "Noble Form")*(ISBLANK(pokemon!$AK$2:$AK$415)), pokemon!$V$2:$V$415))</f>
        <v>12</v>
      </c>
      <c r="I179" cm="1">
        <f t="array" ref="I179">MAX(IF(($A179=pokemon!$AC$2:$AC$415)*(pokemon!$D$2:$D$415 &lt;&gt; "Noble Form")*(ISBLANK(pokemon!$AK$2:$AK$415)), pokemon!$V$2:$V$415))</f>
        <v>12</v>
      </c>
      <c r="J179">
        <f t="shared" si="10"/>
        <v>0</v>
      </c>
    </row>
    <row r="180" spans="1:10" x14ac:dyDescent="0.25">
      <c r="A180" t="s">
        <v>493</v>
      </c>
      <c r="B180" s="11" t="s">
        <v>3</v>
      </c>
      <c r="C180">
        <v>20</v>
      </c>
      <c r="D180">
        <f t="shared" si="9"/>
        <v>1</v>
      </c>
      <c r="E180" s="1" t="s">
        <v>1219</v>
      </c>
      <c r="F180" t="s">
        <v>1437</v>
      </c>
      <c r="G180" cm="1">
        <f t="array" ref="G180">COUNT(IF(($A180=pokemon!$AC$2:$AC$415)*(pokemon!$D$2:$D$415 &lt;&gt; "Noble Form")*(ISBLANK(pokemon!$AK$2:$AK$415)), pokemon!$V$2:$V$415))</f>
        <v>1</v>
      </c>
      <c r="H180" cm="1">
        <f t="array" ref="H180">MIN(IF(($A180=pokemon!$AC$2:$AC$415)*(pokemon!$D$2:$D$415 &lt;&gt; "Noble Form")*(ISBLANK(pokemon!$AK$2:$AK$415)), pokemon!$V$2:$V$415))</f>
        <v>12</v>
      </c>
      <c r="I180" cm="1">
        <f t="array" ref="I180">MAX(IF(($A180=pokemon!$AC$2:$AC$415)*(pokemon!$D$2:$D$415 &lt;&gt; "Noble Form")*(ISBLANK(pokemon!$AK$2:$AK$415)), pokemon!$V$2:$V$415))</f>
        <v>12</v>
      </c>
      <c r="J180">
        <f t="shared" si="10"/>
        <v>0</v>
      </c>
    </row>
    <row r="181" spans="1:10" x14ac:dyDescent="0.25">
      <c r="A181" t="s">
        <v>839</v>
      </c>
      <c r="B181" s="11" t="s">
        <v>3</v>
      </c>
      <c r="C181">
        <v>30</v>
      </c>
      <c r="D181">
        <f t="shared" si="9"/>
        <v>1</v>
      </c>
      <c r="F181" t="s">
        <v>1438</v>
      </c>
      <c r="G181" cm="1">
        <f t="array" ref="G181">COUNT(IF(($A181=pokemon!$AC$2:$AC$415)*(pokemon!$D$2:$D$415 &lt;&gt; "Noble Form")*(ISBLANK(pokemon!$AK$2:$AK$415)), pokemon!$V$2:$V$415))</f>
        <v>2</v>
      </c>
      <c r="H181" cm="1">
        <f t="array" ref="H181">MIN(IF(($A181=pokemon!$AC$2:$AC$415)*(pokemon!$D$2:$D$415 &lt;&gt; "Noble Form")*(ISBLANK(pokemon!$AK$2:$AK$415)), pokemon!$V$2:$V$415))</f>
        <v>10</v>
      </c>
      <c r="I181" cm="1">
        <f t="array" ref="I181">MAX(IF(($A181=pokemon!$AC$2:$AC$415)*(pokemon!$D$2:$D$415 &lt;&gt; "Noble Form")*(ISBLANK(pokemon!$AK$2:$AK$415)), pokemon!$V$2:$V$415))</f>
        <v>10</v>
      </c>
      <c r="J181">
        <f t="shared" si="10"/>
        <v>0</v>
      </c>
    </row>
    <row r="182" spans="1:10" x14ac:dyDescent="0.25">
      <c r="A182" t="s">
        <v>820</v>
      </c>
      <c r="B182" s="11" t="s">
        <v>3</v>
      </c>
      <c r="C182">
        <v>20</v>
      </c>
      <c r="D182">
        <f t="shared" si="9"/>
        <v>1</v>
      </c>
      <c r="F182" t="s">
        <v>1439</v>
      </c>
      <c r="G182" cm="1">
        <f t="array" ref="G182">COUNT(IF(($A182=pokemon!$AC$2:$AC$415)*(pokemon!$D$2:$D$415 &lt;&gt; "Noble Form")*(ISBLANK(pokemon!$AK$2:$AK$415)), pokemon!$V$2:$V$415))</f>
        <v>1</v>
      </c>
      <c r="H182" cm="1">
        <f t="array" ref="H182">MIN(IF(($A182=pokemon!$AC$2:$AC$415)*(pokemon!$D$2:$D$415 &lt;&gt; "Noble Form")*(ISBLANK(pokemon!$AK$2:$AK$415)), pokemon!$V$2:$V$415))</f>
        <v>14</v>
      </c>
      <c r="I182" cm="1">
        <f t="array" ref="I182">MAX(IF(($A182=pokemon!$AC$2:$AC$415)*(pokemon!$D$2:$D$415 &lt;&gt; "Noble Form")*(ISBLANK(pokemon!$AK$2:$AK$415)), pokemon!$V$2:$V$415))</f>
        <v>14</v>
      </c>
      <c r="J182">
        <f t="shared" si="10"/>
        <v>0</v>
      </c>
    </row>
    <row r="183" spans="1:10" x14ac:dyDescent="0.25">
      <c r="A183" t="s">
        <v>649</v>
      </c>
      <c r="B183" s="11" t="s">
        <v>3</v>
      </c>
      <c r="C183">
        <v>50</v>
      </c>
      <c r="D183">
        <f t="shared" si="9"/>
        <v>2</v>
      </c>
      <c r="F183" t="s">
        <v>1437</v>
      </c>
      <c r="G183" cm="1">
        <f t="array" ref="G183">COUNT(IF(($A183=pokemon!$AC$2:$AC$415)*(pokemon!$D$2:$D$415 &lt;&gt; "Noble Form")*(ISBLANK(pokemon!$AK$2:$AK$415)), pokemon!$V$2:$V$415))</f>
        <v>1</v>
      </c>
      <c r="H183" cm="1">
        <f t="array" ref="H183">MIN(IF(($A183=pokemon!$AC$2:$AC$415)*(pokemon!$D$2:$D$415 &lt;&gt; "Noble Form")*(ISBLANK(pokemon!$AK$2:$AK$415)), pokemon!$V$2:$V$415))</f>
        <v>9</v>
      </c>
      <c r="I183" cm="1">
        <f t="array" ref="I183">MAX(IF(($A183=pokemon!$AC$2:$AC$415)*(pokemon!$D$2:$D$415 &lt;&gt; "Noble Form")*(ISBLANK(pokemon!$AK$2:$AK$415)), pokemon!$V$2:$V$415))</f>
        <v>9</v>
      </c>
      <c r="J183">
        <f t="shared" si="10"/>
        <v>0</v>
      </c>
    </row>
    <row r="184" spans="1:10" x14ac:dyDescent="0.25">
      <c r="A184" t="s">
        <v>1035</v>
      </c>
      <c r="B184" s="11" t="s">
        <v>3</v>
      </c>
      <c r="C184">
        <v>50</v>
      </c>
      <c r="D184">
        <f t="shared" ref="D184:D250" si="11">IF(NOT(ISBLANK(C184)), IF(ISNUMBER(C184), ROUND((C184 - 5)/20, 0), C184), "")</f>
        <v>2</v>
      </c>
      <c r="F184" t="s">
        <v>1440</v>
      </c>
      <c r="G184" cm="1">
        <f t="array" ref="G184">COUNT(IF(($A184=pokemon!$AC$2:$AC$415)*(pokemon!$D$2:$D$415 &lt;&gt; "Noble Form")*(ISBLANK(pokemon!$AK$2:$AK$415)), pokemon!$V$2:$V$415))</f>
        <v>1</v>
      </c>
      <c r="H184" cm="1">
        <f t="array" ref="H184">MIN(IF(($A184=pokemon!$AC$2:$AC$415)*(pokemon!$D$2:$D$415 &lt;&gt; "Noble Form")*(ISBLANK(pokemon!$AK$2:$AK$415)), pokemon!$V$2:$V$415))</f>
        <v>11</v>
      </c>
      <c r="I184" cm="1">
        <f t="array" ref="I184">MAX(IF(($A184=pokemon!$AC$2:$AC$415)*(pokemon!$D$2:$D$415 &lt;&gt; "Noble Form")*(ISBLANK(pokemon!$AK$2:$AK$415)), pokemon!$V$2:$V$415))</f>
        <v>11</v>
      </c>
      <c r="J184">
        <f t="shared" si="10"/>
        <v>0</v>
      </c>
    </row>
    <row r="185" spans="1:10" x14ac:dyDescent="0.25">
      <c r="A185" t="s">
        <v>741</v>
      </c>
      <c r="B185" s="11" t="s">
        <v>3</v>
      </c>
      <c r="C185">
        <v>65</v>
      </c>
      <c r="D185">
        <f t="shared" si="11"/>
        <v>3</v>
      </c>
      <c r="F185" t="s">
        <v>1245</v>
      </c>
      <c r="G185" cm="1">
        <f t="array" ref="G185">COUNT(IF(($A185=pokemon!$AC$2:$AC$415)*(pokemon!$D$2:$D$415 &lt;&gt; "Noble Form")*(ISBLANK(pokemon!$AK$2:$AK$415)), pokemon!$V$2:$V$415))</f>
        <v>2</v>
      </c>
      <c r="H185" cm="1">
        <f t="array" ref="H185">MIN(IF(($A185=pokemon!$AC$2:$AC$415)*(pokemon!$D$2:$D$415 &lt;&gt; "Noble Form")*(ISBLANK(pokemon!$AK$2:$AK$415)), pokemon!$V$2:$V$415))</f>
        <v>11</v>
      </c>
      <c r="I185" cm="1">
        <f t="array" ref="I185">MAX(IF(($A185=pokemon!$AC$2:$AC$415)*(pokemon!$D$2:$D$415 &lt;&gt; "Noble Form")*(ISBLANK(pokemon!$AK$2:$AK$415)), pokemon!$V$2:$V$415))</f>
        <v>14</v>
      </c>
      <c r="J185">
        <f t="shared" si="10"/>
        <v>3</v>
      </c>
    </row>
    <row r="186" spans="1:10" x14ac:dyDescent="0.25">
      <c r="A186" t="s">
        <v>681</v>
      </c>
      <c r="B186" s="11" t="s">
        <v>3</v>
      </c>
      <c r="C186">
        <v>60</v>
      </c>
      <c r="D186">
        <f t="shared" si="11"/>
        <v>3</v>
      </c>
      <c r="F186" t="s">
        <v>1469</v>
      </c>
      <c r="G186" cm="1">
        <f t="array" ref="G186">COUNT(IF(($A186=pokemon!$AC$2:$AC$415)*(pokemon!$D$2:$D$415 &lt;&gt; "Noble Form")*(ISBLANK(pokemon!$AK$2:$AK$415)), pokemon!$V$2:$V$415))</f>
        <v>1</v>
      </c>
      <c r="H186" cm="1">
        <f t="array" ref="H186">MIN(IF(($A186=pokemon!$AC$2:$AC$415)*(pokemon!$D$2:$D$415 &lt;&gt; "Noble Form")*(ISBLANK(pokemon!$AK$2:$AK$415)), pokemon!$V$2:$V$415))</f>
        <v>28</v>
      </c>
      <c r="I186" cm="1">
        <f t="array" ref="I186">MAX(IF(($A186=pokemon!$AC$2:$AC$415)*(pokemon!$D$2:$D$415 &lt;&gt; "Noble Form")*(ISBLANK(pokemon!$AK$2:$AK$415)), pokemon!$V$2:$V$415))</f>
        <v>28</v>
      </c>
      <c r="J186">
        <f t="shared" si="10"/>
        <v>0</v>
      </c>
    </row>
    <row r="187" spans="1:10" x14ac:dyDescent="0.25">
      <c r="A187" t="s">
        <v>754</v>
      </c>
      <c r="B187" s="11" t="s">
        <v>3</v>
      </c>
      <c r="C187">
        <v>60</v>
      </c>
      <c r="D187">
        <f t="shared" si="11"/>
        <v>3</v>
      </c>
      <c r="F187" t="s">
        <v>1420</v>
      </c>
      <c r="G187" cm="1">
        <f t="array" ref="G187">COUNT(IF(($A187=pokemon!$AC$2:$AC$415)*(pokemon!$D$2:$D$415 &lt;&gt; "Noble Form")*(ISBLANK(pokemon!$AK$2:$AK$415)), pokemon!$V$2:$V$415))</f>
        <v>1</v>
      </c>
      <c r="H187" cm="1">
        <f t="array" ref="H187">MIN(IF(($A187=pokemon!$AC$2:$AC$415)*(pokemon!$D$2:$D$415 &lt;&gt; "Noble Form")*(ISBLANK(pokemon!$AK$2:$AK$415)), pokemon!$V$2:$V$415))</f>
        <v>16</v>
      </c>
      <c r="I187" cm="1">
        <f t="array" ref="I187">MAX(IF(($A187=pokemon!$AC$2:$AC$415)*(pokemon!$D$2:$D$415 &lt;&gt; "Noble Form")*(ISBLANK(pokemon!$AK$2:$AK$415)), pokemon!$V$2:$V$415))</f>
        <v>16</v>
      </c>
      <c r="J187">
        <f t="shared" si="10"/>
        <v>0</v>
      </c>
    </row>
    <row r="188" spans="1:10" x14ac:dyDescent="0.25">
      <c r="A188" t="s">
        <v>464</v>
      </c>
      <c r="B188" s="11" t="s">
        <v>3</v>
      </c>
      <c r="C188">
        <v>75</v>
      </c>
      <c r="D188">
        <f t="shared" si="11"/>
        <v>4</v>
      </c>
      <c r="F188" t="s">
        <v>1404</v>
      </c>
      <c r="G188" cm="1">
        <f t="array" ref="G188">COUNT(IF(($A188=pokemon!$AC$2:$AC$415)*(pokemon!$D$2:$D$415 &lt;&gt; "Noble Form")*(ISBLANK(pokemon!$AK$2:$AK$415)), pokemon!$V$2:$V$415))</f>
        <v>2</v>
      </c>
      <c r="H188" cm="1">
        <f t="array" ref="H188">MIN(IF(($A188=pokemon!$AC$2:$AC$415)*(pokemon!$D$2:$D$415 &lt;&gt; "Noble Form")*(ISBLANK(pokemon!$AK$2:$AK$415)), pokemon!$V$2:$V$415))</f>
        <v>17</v>
      </c>
      <c r="I188" cm="1">
        <f t="array" ref="I188">MAX(IF(($A188=pokemon!$AC$2:$AC$415)*(pokemon!$D$2:$D$415 &lt;&gt; "Noble Form")*(ISBLANK(pokemon!$AK$2:$AK$415)), pokemon!$V$2:$V$415))</f>
        <v>19</v>
      </c>
      <c r="J188">
        <f t="shared" si="10"/>
        <v>2</v>
      </c>
    </row>
    <row r="189" spans="1:10" x14ac:dyDescent="0.25">
      <c r="A189" t="s">
        <v>838</v>
      </c>
      <c r="B189" s="11" t="s">
        <v>3</v>
      </c>
      <c r="C189">
        <v>80</v>
      </c>
      <c r="D189">
        <f t="shared" si="11"/>
        <v>4</v>
      </c>
      <c r="F189" t="s">
        <v>1441</v>
      </c>
      <c r="G189" cm="1">
        <f t="array" ref="G189">COUNT(IF(($A189=pokemon!$AC$2:$AC$415)*(pokemon!$D$2:$D$415 &lt;&gt; "Noble Form")*(ISBLANK(pokemon!$AK$2:$AK$415)), pokemon!$V$2:$V$415))</f>
        <v>1</v>
      </c>
      <c r="H189" cm="1">
        <f t="array" ref="H189">MIN(IF(($A189=pokemon!$AC$2:$AC$415)*(pokemon!$D$2:$D$415 &lt;&gt; "Noble Form")*(ISBLANK(pokemon!$AK$2:$AK$415)), pokemon!$V$2:$V$415))</f>
        <v>17</v>
      </c>
      <c r="I189" cm="1">
        <f t="array" ref="I189">MAX(IF(($A189=pokemon!$AC$2:$AC$415)*(pokemon!$D$2:$D$415 &lt;&gt; "Noble Form")*(ISBLANK(pokemon!$AK$2:$AK$415)), pokemon!$V$2:$V$415))</f>
        <v>17</v>
      </c>
      <c r="J189">
        <f t="shared" si="10"/>
        <v>0</v>
      </c>
    </row>
    <row r="190" spans="1:10" x14ac:dyDescent="0.25">
      <c r="A190" t="s">
        <v>1213</v>
      </c>
      <c r="B190" s="11" t="s">
        <v>3</v>
      </c>
      <c r="C190">
        <v>20</v>
      </c>
      <c r="D190">
        <f t="shared" si="11"/>
        <v>1</v>
      </c>
      <c r="F190" t="s">
        <v>1442</v>
      </c>
      <c r="G190" cm="1">
        <f t="array" ref="G190">COUNT(IF(($A190=pokemon!$AC$2:$AC$415)*(pokemon!$D$2:$D$415 &lt;&gt; "Noble Form")*(ISBLANK(pokemon!$AK$2:$AK$415)), pokemon!$V$2:$V$415))</f>
        <v>1</v>
      </c>
      <c r="H190" cm="1">
        <f t="array" ref="H190">MIN(IF(($A190=pokemon!$AC$2:$AC$415)*(pokemon!$D$2:$D$415 &lt;&gt; "Noble Form")*(ISBLANK(pokemon!$AK$2:$AK$415)), pokemon!$V$2:$V$415))</f>
        <v>12</v>
      </c>
      <c r="I190" cm="1">
        <f t="array" ref="I190">MAX(IF(($A190=pokemon!$AC$2:$AC$415)*(pokemon!$D$2:$D$415 &lt;&gt; "Noble Form")*(ISBLANK(pokemon!$AK$2:$AK$415)), pokemon!$V$2:$V$415))</f>
        <v>12</v>
      </c>
      <c r="J190">
        <f t="shared" si="10"/>
        <v>0</v>
      </c>
    </row>
    <row r="191" spans="1:10" x14ac:dyDescent="0.25">
      <c r="A191" t="s">
        <v>615</v>
      </c>
      <c r="B191" s="11" t="s">
        <v>3</v>
      </c>
      <c r="C191">
        <v>100</v>
      </c>
      <c r="D191">
        <f t="shared" si="11"/>
        <v>5</v>
      </c>
      <c r="F191" t="s">
        <v>1436</v>
      </c>
      <c r="G191" cm="1">
        <f t="array" ref="G191">COUNT(IF(($A191=pokemon!$AC$2:$AC$415)*(pokemon!$D$2:$D$415 &lt;&gt; "Noble Form")*(ISBLANK(pokemon!$AK$2:$AK$415)), pokemon!$V$2:$V$415))</f>
        <v>2</v>
      </c>
      <c r="H191" cm="1">
        <f t="array" ref="H191">MIN(IF(($A191=pokemon!$AC$2:$AC$415)*(pokemon!$D$2:$D$415 &lt;&gt; "Noble Form")*(ISBLANK(pokemon!$AK$2:$AK$415)), pokemon!$V$2:$V$415))</f>
        <v>18</v>
      </c>
      <c r="I191" cm="1">
        <f t="array" ref="I191">MAX(IF(($A191=pokemon!$AC$2:$AC$415)*(pokemon!$D$2:$D$415 &lt;&gt; "Noble Form")*(ISBLANK(pokemon!$AK$2:$AK$415)), pokemon!$V$2:$V$415))</f>
        <v>18</v>
      </c>
      <c r="J191">
        <f t="shared" si="10"/>
        <v>0</v>
      </c>
    </row>
    <row r="192" spans="1:10" x14ac:dyDescent="0.25">
      <c r="A192" t="s">
        <v>1027</v>
      </c>
      <c r="B192" s="14" t="s">
        <v>26</v>
      </c>
      <c r="C192">
        <v>20</v>
      </c>
      <c r="D192">
        <f t="shared" si="11"/>
        <v>1</v>
      </c>
      <c r="E192" s="1" t="s">
        <v>1218</v>
      </c>
      <c r="F192" t="s">
        <v>1470</v>
      </c>
      <c r="G192" cm="1">
        <f t="array" ref="G192">COUNT(IF(($A192=pokemon!$AC$2:$AC$415)*(pokemon!$D$2:$D$415 &lt;&gt; "Noble Form")*(ISBLANK(pokemon!$AK$2:$AK$415)), pokemon!$V$2:$V$415))</f>
        <v>1</v>
      </c>
      <c r="H192" cm="1">
        <f t="array" ref="H192">MIN(IF(($A192=pokemon!$AC$2:$AC$415)*(pokemon!$D$2:$D$415 &lt;&gt; "Noble Form")*(ISBLANK(pokemon!$AK$2:$AK$415)), pokemon!$V$2:$V$415))</f>
        <v>21</v>
      </c>
      <c r="I192" cm="1">
        <f t="array" ref="I192">MAX(IF(($A192=pokemon!$AC$2:$AC$415)*(pokemon!$D$2:$D$415 &lt;&gt; "Noble Form")*(ISBLANK(pokemon!$AK$2:$AK$415)), pokemon!$V$2:$V$415))</f>
        <v>21</v>
      </c>
      <c r="J192">
        <f t="shared" si="10"/>
        <v>0</v>
      </c>
    </row>
    <row r="193" spans="1:10" x14ac:dyDescent="0.25">
      <c r="A193" t="s">
        <v>539</v>
      </c>
      <c r="B193" s="14" t="s">
        <v>26</v>
      </c>
      <c r="C193">
        <v>20</v>
      </c>
      <c r="D193">
        <f t="shared" si="11"/>
        <v>1</v>
      </c>
      <c r="E193" s="1" t="s">
        <v>1227</v>
      </c>
      <c r="F193" t="s">
        <v>1425</v>
      </c>
      <c r="G193" cm="1">
        <f t="array" ref="G193">COUNT(IF(($A193=pokemon!$AC$2:$AC$415)*(pokemon!$D$2:$D$415 &lt;&gt; "Noble Form")*(ISBLANK(pokemon!$AK$2:$AK$415)), pokemon!$V$2:$V$415))</f>
        <v>2</v>
      </c>
      <c r="H193" cm="1">
        <f t="array" ref="H193">MIN(IF(($A193=pokemon!$AC$2:$AC$415)*(pokemon!$D$2:$D$415 &lt;&gt; "Noble Form")*(ISBLANK(pokemon!$AK$2:$AK$415)), pokemon!$V$2:$V$415))</f>
        <v>7</v>
      </c>
      <c r="I193" cm="1">
        <f t="array" ref="I193">MAX(IF(($A193=pokemon!$AC$2:$AC$415)*(pokemon!$D$2:$D$415 &lt;&gt; "Noble Form")*(ISBLANK(pokemon!$AK$2:$AK$415)), pokemon!$V$2:$V$415))</f>
        <v>12</v>
      </c>
      <c r="J193">
        <f t="shared" si="10"/>
        <v>5</v>
      </c>
    </row>
    <row r="194" spans="1:10" x14ac:dyDescent="0.25">
      <c r="A194" t="s">
        <v>840</v>
      </c>
      <c r="B194" s="14" t="s">
        <v>26</v>
      </c>
      <c r="C194">
        <v>40</v>
      </c>
      <c r="D194">
        <f t="shared" si="11"/>
        <v>2</v>
      </c>
      <c r="F194" t="s">
        <v>1259</v>
      </c>
      <c r="G194" cm="1">
        <f t="array" ref="G194">COUNT(IF(($A194=pokemon!$AC$2:$AC$415)*(pokemon!$D$2:$D$415 &lt;&gt; "Noble Form")*(ISBLANK(pokemon!$AK$2:$AK$415)), pokemon!$V$2:$V$415))</f>
        <v>1</v>
      </c>
      <c r="H194" cm="1">
        <f t="array" ref="H194">MIN(IF(($A194=pokemon!$AC$2:$AC$415)*(pokemon!$D$2:$D$415 &lt;&gt; "Noble Form")*(ISBLANK(pokemon!$AK$2:$AK$415)), pokemon!$V$2:$V$415))</f>
        <v>12</v>
      </c>
      <c r="I194" cm="1">
        <f t="array" ref="I194">MAX(IF(($A194=pokemon!$AC$2:$AC$415)*(pokemon!$D$2:$D$415 &lt;&gt; "Noble Form")*(ISBLANK(pokemon!$AK$2:$AK$415)), pokemon!$V$2:$V$415))</f>
        <v>12</v>
      </c>
      <c r="J194">
        <f t="shared" si="10"/>
        <v>0</v>
      </c>
    </row>
    <row r="195" spans="1:10" x14ac:dyDescent="0.25">
      <c r="A195" t="s">
        <v>496</v>
      </c>
      <c r="B195" s="14" t="s">
        <v>26</v>
      </c>
      <c r="C195">
        <v>40</v>
      </c>
      <c r="D195">
        <f t="shared" si="11"/>
        <v>2</v>
      </c>
      <c r="F195" t="s">
        <v>1458</v>
      </c>
      <c r="G195" cm="1">
        <f t="array" ref="G195">COUNT(IF(($A195=pokemon!$AC$2:$AC$415)*(pokemon!$D$2:$D$415 &lt;&gt; "Noble Form")*(ISBLANK(pokemon!$AK$2:$AK$415)), pokemon!$V$2:$V$415))</f>
        <v>5</v>
      </c>
      <c r="H195" cm="1">
        <f t="array" ref="H195">MIN(IF(($A195=pokemon!$AC$2:$AC$415)*(pokemon!$D$2:$D$415 &lt;&gt; "Noble Form")*(ISBLANK(pokemon!$AK$2:$AK$415)), pokemon!$V$2:$V$415))</f>
        <v>9</v>
      </c>
      <c r="I195" cm="1">
        <f t="array" ref="I195">MAX(IF(($A195=pokemon!$AC$2:$AC$415)*(pokemon!$D$2:$D$415 &lt;&gt; "Noble Form")*(ISBLANK(pokemon!$AK$2:$AK$415)), pokemon!$V$2:$V$415))</f>
        <v>11</v>
      </c>
      <c r="J195">
        <f t="shared" si="10"/>
        <v>2</v>
      </c>
    </row>
    <row r="196" spans="1:10" x14ac:dyDescent="0.25">
      <c r="A196" t="s">
        <v>824</v>
      </c>
      <c r="B196" s="14" t="s">
        <v>26</v>
      </c>
      <c r="C196">
        <v>40</v>
      </c>
      <c r="D196">
        <f t="shared" si="11"/>
        <v>2</v>
      </c>
      <c r="F196" t="s">
        <v>1429</v>
      </c>
      <c r="G196" cm="1">
        <f t="array" ref="G196">COUNT(IF(($A196=pokemon!$AC$2:$AC$415)*(pokemon!$D$2:$D$415 &lt;&gt; "Noble Form")*(ISBLANK(pokemon!$AK$2:$AK$415)), pokemon!$V$2:$V$415))</f>
        <v>1</v>
      </c>
      <c r="H196" cm="1">
        <f t="array" ref="H196">MIN(IF(($A196=pokemon!$AC$2:$AC$415)*(pokemon!$D$2:$D$415 &lt;&gt; "Noble Form")*(ISBLANK(pokemon!$AK$2:$AK$415)), pokemon!$V$2:$V$415))</f>
        <v>12</v>
      </c>
      <c r="I196" cm="1">
        <f t="array" ref="I196">MAX(IF(($A196=pokemon!$AC$2:$AC$415)*(pokemon!$D$2:$D$415 &lt;&gt; "Noble Form")*(ISBLANK(pokemon!$AK$2:$AK$415)), pokemon!$V$2:$V$415))</f>
        <v>12</v>
      </c>
      <c r="J196">
        <f t="shared" si="10"/>
        <v>0</v>
      </c>
    </row>
    <row r="197" spans="1:10" x14ac:dyDescent="0.25">
      <c r="A197" t="s">
        <v>800</v>
      </c>
      <c r="B197" s="14" t="s">
        <v>26</v>
      </c>
      <c r="C197">
        <v>60</v>
      </c>
      <c r="D197">
        <f t="shared" si="11"/>
        <v>3</v>
      </c>
      <c r="F197" t="s">
        <v>1490</v>
      </c>
      <c r="G197" cm="1">
        <f t="array" ref="G197">COUNT(IF(($A197=pokemon!$AC$2:$AC$415)*(pokemon!$D$2:$D$415 &lt;&gt; "Noble Form")*(ISBLANK(pokemon!$AK$2:$AK$415)), pokemon!$V$2:$V$415))</f>
        <v>1</v>
      </c>
      <c r="H197" cm="1">
        <f t="array" ref="H197">MIN(IF(($A197=pokemon!$AC$2:$AC$415)*(pokemon!$D$2:$D$415 &lt;&gt; "Noble Form")*(ISBLANK(pokemon!$AK$2:$AK$415)), pokemon!$V$2:$V$415))</f>
        <v>16</v>
      </c>
      <c r="I197" cm="1">
        <f t="array" ref="I197">MAX(IF(($A197=pokemon!$AC$2:$AC$415)*(pokemon!$D$2:$D$415 &lt;&gt; "Noble Form")*(ISBLANK(pokemon!$AK$2:$AK$415)), pokemon!$V$2:$V$415))</f>
        <v>16</v>
      </c>
      <c r="J197">
        <f t="shared" si="10"/>
        <v>0</v>
      </c>
    </row>
    <row r="198" spans="1:10" x14ac:dyDescent="0.25">
      <c r="A198" t="s">
        <v>912</v>
      </c>
      <c r="B198" s="14" t="s">
        <v>26</v>
      </c>
      <c r="C198">
        <v>40</v>
      </c>
      <c r="D198">
        <f t="shared" si="11"/>
        <v>2</v>
      </c>
      <c r="E198" s="1" t="s">
        <v>1219</v>
      </c>
      <c r="F198" t="s">
        <v>1234</v>
      </c>
      <c r="G198" cm="1">
        <f t="array" ref="G198">COUNT(IF(($A198=pokemon!$AC$2:$AC$415)*(pokemon!$D$2:$D$415 &lt;&gt; "Noble Form")*(ISBLANK(pokemon!$AK$2:$AK$415)), pokemon!$V$2:$V$415))</f>
        <v>1</v>
      </c>
      <c r="H198" cm="1">
        <f t="array" ref="H198">MIN(IF(($A198=pokemon!$AC$2:$AC$415)*(pokemon!$D$2:$D$415 &lt;&gt; "Noble Form")*(ISBLANK(pokemon!$AK$2:$AK$415)), pokemon!$V$2:$V$415))</f>
        <v>20</v>
      </c>
      <c r="I198" cm="1">
        <f t="array" ref="I198">MAX(IF(($A198=pokemon!$AC$2:$AC$415)*(pokemon!$D$2:$D$415 &lt;&gt; "Noble Form")*(ISBLANK(pokemon!$AK$2:$AK$415)), pokemon!$V$2:$V$415))</f>
        <v>20</v>
      </c>
      <c r="J198">
        <f t="shared" si="10"/>
        <v>0</v>
      </c>
    </row>
    <row r="199" spans="1:10" x14ac:dyDescent="0.25">
      <c r="A199" t="s">
        <v>830</v>
      </c>
      <c r="B199" s="14" t="s">
        <v>26</v>
      </c>
      <c r="C199">
        <v>60</v>
      </c>
      <c r="D199">
        <f t="shared" si="11"/>
        <v>3</v>
      </c>
      <c r="E199" s="1" t="s">
        <v>1242</v>
      </c>
      <c r="F199" t="s">
        <v>1415</v>
      </c>
      <c r="G199" cm="1">
        <f t="array" ref="G199">COUNT(IF(($A199=pokemon!$AC$2:$AC$415)*(pokemon!$D$2:$D$415 &lt;&gt; "Noble Form")*(ISBLANK(pokemon!$AK$2:$AK$415)), pokemon!$V$2:$V$415))</f>
        <v>1</v>
      </c>
      <c r="H199" cm="1">
        <f t="array" ref="H199">MIN(IF(($A199=pokemon!$AC$2:$AC$415)*(pokemon!$D$2:$D$415 &lt;&gt; "Noble Form")*(ISBLANK(pokemon!$AK$2:$AK$415)), pokemon!$V$2:$V$415))</f>
        <v>16</v>
      </c>
      <c r="I199" cm="1">
        <f t="array" ref="I199">MAX(IF(($A199=pokemon!$AC$2:$AC$415)*(pokemon!$D$2:$D$415 &lt;&gt; "Noble Form")*(ISBLANK(pokemon!$AK$2:$AK$415)), pokemon!$V$2:$V$415))</f>
        <v>16</v>
      </c>
      <c r="J199">
        <f t="shared" si="10"/>
        <v>0</v>
      </c>
    </row>
    <row r="200" spans="1:10" x14ac:dyDescent="0.25">
      <c r="A200" t="s">
        <v>813</v>
      </c>
      <c r="B200" s="14" t="s">
        <v>26</v>
      </c>
      <c r="C200">
        <v>75</v>
      </c>
      <c r="D200">
        <f t="shared" si="11"/>
        <v>4</v>
      </c>
      <c r="F200" t="s">
        <v>1404</v>
      </c>
      <c r="G200" cm="1">
        <f t="array" ref="G200">COUNT(IF(($A200=pokemon!$AC$2:$AC$415)*(pokemon!$D$2:$D$415 &lt;&gt; "Noble Form")*(ISBLANK(pokemon!$AK$2:$AK$415)), pokemon!$V$2:$V$415))</f>
        <v>1</v>
      </c>
      <c r="H200" cm="1">
        <f t="array" ref="H200">MIN(IF(($A200=pokemon!$AC$2:$AC$415)*(pokemon!$D$2:$D$415 &lt;&gt; "Noble Form")*(ISBLANK(pokemon!$AK$2:$AK$415)), pokemon!$V$2:$V$415))</f>
        <v>16</v>
      </c>
      <c r="I200" cm="1">
        <f t="array" ref="I200">MAX(IF(($A200=pokemon!$AC$2:$AC$415)*(pokemon!$D$2:$D$415 &lt;&gt; "Noble Form")*(ISBLANK(pokemon!$AK$2:$AK$415)), pokemon!$V$2:$V$415))</f>
        <v>16</v>
      </c>
      <c r="J200">
        <f t="shared" si="10"/>
        <v>0</v>
      </c>
    </row>
    <row r="201" spans="1:10" x14ac:dyDescent="0.25">
      <c r="A201" t="s">
        <v>806</v>
      </c>
      <c r="B201" s="14" t="s">
        <v>26</v>
      </c>
      <c r="C201">
        <v>75</v>
      </c>
      <c r="D201">
        <f t="shared" si="11"/>
        <v>4</v>
      </c>
      <c r="F201" t="s">
        <v>1418</v>
      </c>
      <c r="G201" cm="1">
        <f t="array" ref="G201">COUNT(IF(($A201=pokemon!$AC$2:$AC$415)*(pokemon!$D$2:$D$415 &lt;&gt; "Noble Form")*(ISBLANK(pokemon!$AK$2:$AK$415)), pokemon!$V$2:$V$415))</f>
        <v>1</v>
      </c>
      <c r="H201" cm="1">
        <f t="array" ref="H201">MIN(IF(($A201=pokemon!$AC$2:$AC$415)*(pokemon!$D$2:$D$415 &lt;&gt; "Noble Form")*(ISBLANK(pokemon!$AK$2:$AK$415)), pokemon!$V$2:$V$415))</f>
        <v>16</v>
      </c>
      <c r="I201" cm="1">
        <f t="array" ref="I201">MAX(IF(($A201=pokemon!$AC$2:$AC$415)*(pokemon!$D$2:$D$415 &lt;&gt; "Noble Form")*(ISBLANK(pokemon!$AK$2:$AK$415)), pokemon!$V$2:$V$415))</f>
        <v>16</v>
      </c>
      <c r="J201">
        <f t="shared" si="10"/>
        <v>0</v>
      </c>
    </row>
    <row r="202" spans="1:10" x14ac:dyDescent="0.25">
      <c r="A202" t="s">
        <v>1488</v>
      </c>
      <c r="B202" s="14" t="s">
        <v>26</v>
      </c>
      <c r="C202">
        <v>80</v>
      </c>
      <c r="D202">
        <f t="shared" si="11"/>
        <v>4</v>
      </c>
      <c r="E202" s="1" t="s">
        <v>1227</v>
      </c>
      <c r="F202" t="s">
        <v>1278</v>
      </c>
      <c r="G202" cm="1">
        <f t="array" ref="G202">COUNT(IF(($A202=pokemon!$AC$2:$AC$415)*(pokemon!$D$2:$D$415 &lt;&gt; "Noble Form")*(ISBLANK(pokemon!$AK$2:$AK$415)), pokemon!$V$2:$V$415))</f>
        <v>1</v>
      </c>
      <c r="H202" cm="1">
        <f t="array" ref="H202">MIN(IF(($A202=pokemon!$AC$2:$AC$415)*(pokemon!$D$2:$D$415 &lt;&gt; "Noble Form")*(ISBLANK(pokemon!$AK$2:$AK$415)), pokemon!$V$2:$V$415))</f>
        <v>20</v>
      </c>
      <c r="I202" cm="1">
        <f t="array" ref="I202">MAX(IF(($A202=pokemon!$AC$2:$AC$415)*(pokemon!$D$2:$D$415 &lt;&gt; "Noble Form")*(ISBLANK(pokemon!$AK$2:$AK$415)), pokemon!$V$2:$V$415))</f>
        <v>20</v>
      </c>
      <c r="J202">
        <f t="shared" si="10"/>
        <v>0</v>
      </c>
    </row>
    <row r="203" spans="1:10" x14ac:dyDescent="0.25">
      <c r="A203" t="s">
        <v>495</v>
      </c>
      <c r="B203" s="14" t="s">
        <v>26</v>
      </c>
      <c r="C203">
        <v>100</v>
      </c>
      <c r="D203">
        <f t="shared" si="11"/>
        <v>5</v>
      </c>
      <c r="F203" t="s">
        <v>1460</v>
      </c>
      <c r="G203" cm="1">
        <f t="array" ref="G203">COUNT(IF(($A203=pokemon!$AC$2:$AC$415)*(pokemon!$D$2:$D$415 &lt;&gt; "Noble Form")*(ISBLANK(pokemon!$AK$2:$AK$415)), pokemon!$V$2:$V$415))</f>
        <v>2</v>
      </c>
      <c r="H203" cm="1">
        <f t="array" ref="H203">MIN(IF(($A203=pokemon!$AC$2:$AC$415)*(pokemon!$D$2:$D$415 &lt;&gt; "Noble Form")*(ISBLANK(pokemon!$AK$2:$AK$415)), pokemon!$V$2:$V$415))</f>
        <v>18</v>
      </c>
      <c r="I203" cm="1">
        <f t="array" ref="I203">MAX(IF(($A203=pokemon!$AC$2:$AC$415)*(pokemon!$D$2:$D$415 &lt;&gt; "Noble Form")*(ISBLANK(pokemon!$AK$2:$AK$415)), pokemon!$V$2:$V$415))</f>
        <v>18</v>
      </c>
      <c r="J203">
        <f t="shared" si="10"/>
        <v>0</v>
      </c>
    </row>
    <row r="204" spans="1:10" x14ac:dyDescent="0.25">
      <c r="A204" t="s">
        <v>745</v>
      </c>
      <c r="B204" s="14" t="s">
        <v>26</v>
      </c>
      <c r="C204">
        <v>140</v>
      </c>
      <c r="D204">
        <f t="shared" si="11"/>
        <v>7</v>
      </c>
      <c r="E204" s="1" t="s">
        <v>1242</v>
      </c>
      <c r="F204" t="s">
        <v>1244</v>
      </c>
      <c r="G204" cm="1">
        <f t="array" ref="G204">COUNT(IF(($A204=pokemon!$AC$2:$AC$415)*(pokemon!$D$2:$D$415 &lt;&gt; "Noble Form")*(ISBLANK(pokemon!$AK$2:$AK$415)), pokemon!$V$2:$V$415))</f>
        <v>1</v>
      </c>
      <c r="H204" cm="1">
        <f t="array" ref="H204">MIN(IF(($A204=pokemon!$AC$2:$AC$415)*(pokemon!$D$2:$D$415 &lt;&gt; "Noble Form")*(ISBLANK(pokemon!$AK$2:$AK$415)), pokemon!$V$2:$V$415))</f>
        <v>35</v>
      </c>
      <c r="I204" cm="1">
        <f t="array" ref="I204">MAX(IF(($A204=pokemon!$AC$2:$AC$415)*(pokemon!$D$2:$D$415 &lt;&gt; "Noble Form")*(ISBLANK(pokemon!$AK$2:$AK$415)), pokemon!$V$2:$V$415))</f>
        <v>35</v>
      </c>
      <c r="J204">
        <f t="shared" si="10"/>
        <v>0</v>
      </c>
    </row>
    <row r="205" spans="1:10" x14ac:dyDescent="0.25">
      <c r="A205" t="s">
        <v>825</v>
      </c>
      <c r="B205" s="14" t="s">
        <v>26</v>
      </c>
      <c r="C205">
        <v>140</v>
      </c>
      <c r="D205">
        <f t="shared" si="11"/>
        <v>7</v>
      </c>
      <c r="E205" s="1" t="s">
        <v>1241</v>
      </c>
      <c r="F205" t="s">
        <v>1243</v>
      </c>
      <c r="G205" cm="1">
        <f t="array" ref="G205">COUNT(IF(($A205=pokemon!$AC$2:$AC$415)*(pokemon!$D$2:$D$415 &lt;&gt; "Noble Form")*(ISBLANK(pokemon!$AK$2:$AK$415)), pokemon!$V$2:$V$415))</f>
        <v>1</v>
      </c>
      <c r="H205" cm="1">
        <f t="array" ref="H205">MIN(IF(($A205=pokemon!$AC$2:$AC$415)*(pokemon!$D$2:$D$415 &lt;&gt; "Noble Form")*(ISBLANK(pokemon!$AK$2:$AK$415)), pokemon!$V$2:$V$415))</f>
        <v>17</v>
      </c>
      <c r="I205" cm="1">
        <f t="array" ref="I205">MAX(IF(($A205=pokemon!$AC$2:$AC$415)*(pokemon!$D$2:$D$415 &lt;&gt; "Noble Form")*(ISBLANK(pokemon!$AK$2:$AK$415)), pokemon!$V$2:$V$415))</f>
        <v>17</v>
      </c>
      <c r="J205">
        <f t="shared" si="10"/>
        <v>0</v>
      </c>
    </row>
    <row r="206" spans="1:10" x14ac:dyDescent="0.25">
      <c r="A206" t="s">
        <v>1174</v>
      </c>
      <c r="B206" s="14" t="s">
        <v>26</v>
      </c>
      <c r="C206">
        <v>60</v>
      </c>
      <c r="D206">
        <f t="shared" si="11"/>
        <v>3</v>
      </c>
      <c r="E206" s="1" t="s">
        <v>1219</v>
      </c>
      <c r="F206" t="s">
        <v>1484</v>
      </c>
      <c r="G206" cm="1">
        <f t="array" ref="G206">COUNT(IF(($A206=pokemon!$AC$2:$AC$415)*(pokemon!$D$2:$D$415 &lt;&gt; "Noble Form")*(ISBLANK(pokemon!$AK$2:$AK$415)), pokemon!$V$2:$V$415))</f>
        <v>1</v>
      </c>
      <c r="H206" cm="1">
        <f t="array" ref="H206">MIN(IF(($A206=pokemon!$AC$2:$AC$415)*(pokemon!$D$2:$D$415 &lt;&gt; "Noble Form")*(ISBLANK(pokemon!$AK$2:$AK$415)), pokemon!$V$2:$V$415))</f>
        <v>21</v>
      </c>
      <c r="I206" cm="1">
        <f t="array" ref="I206">MAX(IF(($A206=pokemon!$AC$2:$AC$415)*(pokemon!$D$2:$D$415 &lt;&gt; "Noble Form")*(ISBLANK(pokemon!$AK$2:$AK$415)), pokemon!$V$2:$V$415))</f>
        <v>21</v>
      </c>
      <c r="J206">
        <f t="shared" si="10"/>
        <v>0</v>
      </c>
    </row>
    <row r="207" spans="1:10" x14ac:dyDescent="0.25">
      <c r="A207" t="s">
        <v>1240</v>
      </c>
      <c r="B207" s="14" t="s">
        <v>26</v>
      </c>
      <c r="C207">
        <v>60</v>
      </c>
      <c r="D207">
        <f>IF(NOT(ISBLANK(C207)), IF(ISNUMBER(C207), ROUND((C207 - 5)/20, 0), C207), "")</f>
        <v>3</v>
      </c>
      <c r="E207" s="1" t="s">
        <v>1228</v>
      </c>
      <c r="F207" t="s">
        <v>1426</v>
      </c>
      <c r="G207" cm="1">
        <f t="array" ref="G207">COUNT(IF(($A207=pokemon!$AC$2:$AC$415)*(pokemon!$D$2:$D$415 &lt;&gt; "Noble Form")*(ISBLANK(pokemon!$AK$2:$AK$415)), pokemon!$V$2:$V$415))</f>
        <v>2</v>
      </c>
      <c r="H207" cm="1">
        <f t="array" ref="H207">MIN(IF(($A207=pokemon!$AC$2:$AC$415)*(pokemon!$D$2:$D$415 &lt;&gt; "Noble Form")*(ISBLANK(pokemon!$AK$2:$AK$415)), pokemon!$V$2:$V$415))</f>
        <v>16</v>
      </c>
      <c r="I207" cm="1">
        <f t="array" ref="I207">MAX(IF(($A207=pokemon!$AC$2:$AC$415)*(pokemon!$D$2:$D$415 &lt;&gt; "Noble Form")*(ISBLANK(pokemon!$AK$2:$AK$415)), pokemon!$V$2:$V$415))</f>
        <v>16</v>
      </c>
      <c r="J207">
        <f>I207-H207</f>
        <v>0</v>
      </c>
    </row>
    <row r="208" spans="1:10" x14ac:dyDescent="0.25">
      <c r="A208" t="s">
        <v>1237</v>
      </c>
      <c r="B208" s="14" t="s">
        <v>26</v>
      </c>
      <c r="C208">
        <v>80</v>
      </c>
      <c r="D208">
        <f>IF(NOT(ISBLANK(C208)), IF(ISNUMBER(C208), ROUND((C208 - 5)/20, 0), C208), "")</f>
        <v>4</v>
      </c>
      <c r="F208" t="s">
        <v>1428</v>
      </c>
      <c r="G208" cm="1">
        <f t="array" ref="G208">COUNT(IF(($A208=pokemon!$AC$2:$AC$415)*(pokemon!$D$2:$D$415 &lt;&gt; "Noble Form")*(ISBLANK(pokemon!$AK$2:$AK$415)), pokemon!$V$2:$V$415))</f>
        <v>1</v>
      </c>
      <c r="H208" cm="1">
        <f t="array" ref="H208">MIN(IF(($A208=pokemon!$AC$2:$AC$415)*(pokemon!$D$2:$D$415 &lt;&gt; "Noble Form")*(ISBLANK(pokemon!$AK$2:$AK$415)), pokemon!$V$2:$V$415))</f>
        <v>14</v>
      </c>
      <c r="I208" cm="1">
        <f t="array" ref="I208">MAX(IF(($A208=pokemon!$AC$2:$AC$415)*(pokemon!$D$2:$D$415 &lt;&gt; "Noble Form")*(ISBLANK(pokemon!$AK$2:$AK$415)), pokemon!$V$2:$V$415))</f>
        <v>14</v>
      </c>
      <c r="J208">
        <f>I208-H208</f>
        <v>0</v>
      </c>
    </row>
    <row r="209" spans="1:10" x14ac:dyDescent="0.25">
      <c r="A209" t="s">
        <v>1250</v>
      </c>
      <c r="B209" s="14" t="s">
        <v>26</v>
      </c>
      <c r="C209">
        <v>40</v>
      </c>
      <c r="D209">
        <f>IF(NOT(ISBLANK(C209)), IF(ISNUMBER(C209), ROUND((C209 - 5)/20, 0), C209), "")</f>
        <v>2</v>
      </c>
      <c r="F209" t="s">
        <v>1420</v>
      </c>
      <c r="G209" cm="1">
        <f t="array" ref="G209">COUNT(IF(($A209=pokemon!$AC$2:$AC$415)*(pokemon!$D$2:$D$415 &lt;&gt; "Noble Form")*(ISBLANK(pokemon!$AK$2:$AK$415)), pokemon!$V$2:$V$415))</f>
        <v>1</v>
      </c>
      <c r="H209" cm="1">
        <f t="array" ref="H209">MIN(IF(($A209=pokemon!$AC$2:$AC$415)*(pokemon!$D$2:$D$415 &lt;&gt; "Noble Form")*(ISBLANK(pokemon!$AK$2:$AK$415)), pokemon!$V$2:$V$415))</f>
        <v>16</v>
      </c>
      <c r="I209" cm="1">
        <f t="array" ref="I209">MAX(IF(($A209=pokemon!$AC$2:$AC$415)*(pokemon!$D$2:$D$415 &lt;&gt; "Noble Form")*(ISBLANK(pokemon!$AK$2:$AK$415)), pokemon!$V$2:$V$415))</f>
        <v>16</v>
      </c>
      <c r="J209">
        <f>I209-H209</f>
        <v>0</v>
      </c>
    </row>
    <row r="210" spans="1:10" x14ac:dyDescent="0.25">
      <c r="A210" t="s">
        <v>632</v>
      </c>
      <c r="B210" s="16" t="s">
        <v>33</v>
      </c>
      <c r="C210">
        <v>50</v>
      </c>
      <c r="D210">
        <f t="shared" si="11"/>
        <v>2</v>
      </c>
      <c r="F210" t="s">
        <v>1473</v>
      </c>
      <c r="G210" cm="1">
        <f t="array" ref="G210">COUNT(IF(($A210=pokemon!$AC$2:$AC$415)*(pokemon!$D$2:$D$415 &lt;&gt; "Noble Form")*(ISBLANK(pokemon!$AK$2:$AK$415)), pokemon!$V$2:$V$415))</f>
        <v>2</v>
      </c>
      <c r="H210" cm="1">
        <f t="array" ref="H210">MIN(IF(($A210=pokemon!$AC$2:$AC$415)*(pokemon!$D$2:$D$415 &lt;&gt; "Noble Form")*(ISBLANK(pokemon!$AK$2:$AK$415)), pokemon!$V$2:$V$415))</f>
        <v>11</v>
      </c>
      <c r="I210" cm="1">
        <f t="array" ref="I210">MAX(IF(($A210=pokemon!$AC$2:$AC$415)*(pokemon!$D$2:$D$415 &lt;&gt; "Noble Form")*(ISBLANK(pokemon!$AK$2:$AK$415)), pokemon!$V$2:$V$415))</f>
        <v>13</v>
      </c>
      <c r="J210">
        <f t="shared" si="10"/>
        <v>2</v>
      </c>
    </row>
    <row r="211" spans="1:10" x14ac:dyDescent="0.25">
      <c r="A211" t="s">
        <v>533</v>
      </c>
      <c r="B211" s="16" t="s">
        <v>33</v>
      </c>
      <c r="C211">
        <v>40</v>
      </c>
      <c r="D211">
        <f t="shared" si="11"/>
        <v>2</v>
      </c>
      <c r="E211" s="1" t="s">
        <v>1228</v>
      </c>
      <c r="F211" t="s">
        <v>1413</v>
      </c>
      <c r="G211" cm="1">
        <f t="array" ref="G211">COUNT(IF(($A211=pokemon!$AC$2:$AC$415)*(pokemon!$D$2:$D$415 &lt;&gt; "Noble Form")*(ISBLANK(pokemon!$AK$2:$AK$415)), pokemon!$V$2:$V$415))</f>
        <v>4</v>
      </c>
      <c r="H211" cm="1">
        <f t="array" ref="H211">MIN(IF(($A211=pokemon!$AC$2:$AC$415)*(pokemon!$D$2:$D$415 &lt;&gt; "Noble Form")*(ISBLANK(pokemon!$AK$2:$AK$415)), pokemon!$V$2:$V$415))</f>
        <v>10</v>
      </c>
      <c r="I211" cm="1">
        <f t="array" ref="I211">MAX(IF(($A211=pokemon!$AC$2:$AC$415)*(pokemon!$D$2:$D$415 &lt;&gt; "Noble Form")*(ISBLANK(pokemon!$AK$2:$AK$415)), pokemon!$V$2:$V$415))</f>
        <v>15</v>
      </c>
      <c r="J211">
        <f t="shared" ref="J211:J260" si="12">I211-H211</f>
        <v>5</v>
      </c>
    </row>
    <row r="212" spans="1:10" x14ac:dyDescent="0.25">
      <c r="A212" t="s">
        <v>532</v>
      </c>
      <c r="B212" s="16" t="s">
        <v>33</v>
      </c>
      <c r="C212">
        <v>60</v>
      </c>
      <c r="D212">
        <f t="shared" si="11"/>
        <v>3</v>
      </c>
      <c r="E212" s="1" t="s">
        <v>1241</v>
      </c>
      <c r="F212" t="s">
        <v>1253</v>
      </c>
      <c r="G212" cm="1">
        <f t="array" ref="G212">COUNT(IF(($A212=pokemon!$AC$2:$AC$415)*(pokemon!$D$2:$D$415 &lt;&gt; "Noble Form")*(ISBLANK(pokemon!$AK$2:$AK$415)), pokemon!$V$2:$V$415))</f>
        <v>2</v>
      </c>
      <c r="H212" cm="1">
        <f t="array" ref="H212">MIN(IF(($A212=pokemon!$AC$2:$AC$415)*(pokemon!$D$2:$D$415 &lt;&gt; "Noble Form")*(ISBLANK(pokemon!$AK$2:$AK$415)), pokemon!$V$2:$V$415))</f>
        <v>10</v>
      </c>
      <c r="I212" cm="1">
        <f t="array" ref="I212">MAX(IF(($A212=pokemon!$AC$2:$AC$415)*(pokemon!$D$2:$D$415 &lt;&gt; "Noble Form")*(ISBLANK(pokemon!$AK$2:$AK$415)), pokemon!$V$2:$V$415))</f>
        <v>13</v>
      </c>
      <c r="J212">
        <f t="shared" si="12"/>
        <v>3</v>
      </c>
    </row>
    <row r="213" spans="1:10" x14ac:dyDescent="0.25">
      <c r="A213" t="s">
        <v>1176</v>
      </c>
      <c r="B213" s="16" t="s">
        <v>33</v>
      </c>
      <c r="C213">
        <v>60</v>
      </c>
      <c r="D213">
        <f t="shared" si="11"/>
        <v>3</v>
      </c>
      <c r="E213" s="1" t="s">
        <v>1228</v>
      </c>
      <c r="F213" t="s">
        <v>1215</v>
      </c>
      <c r="G213" cm="1">
        <f t="array" ref="G213">COUNT(IF(($A213=pokemon!$AC$2:$AC$415)*(pokemon!$D$2:$D$415 &lt;&gt; "Noble Form")*(ISBLANK(pokemon!$AK$2:$AK$415)), pokemon!$V$2:$V$415))</f>
        <v>1</v>
      </c>
      <c r="H213" cm="1">
        <f t="array" ref="H213">MIN(IF(($A213=pokemon!$AC$2:$AC$415)*(pokemon!$D$2:$D$415 &lt;&gt; "Noble Form")*(ISBLANK(pokemon!$AK$2:$AK$415)), pokemon!$V$2:$V$415))</f>
        <v>20</v>
      </c>
      <c r="I213" cm="1">
        <f t="array" ref="I213">MAX(IF(($A213=pokemon!$AC$2:$AC$415)*(pokemon!$D$2:$D$415 &lt;&gt; "Noble Form")*(ISBLANK(pokemon!$AK$2:$AK$415)), pokemon!$V$2:$V$415))</f>
        <v>20</v>
      </c>
      <c r="J213">
        <f t="shared" si="12"/>
        <v>0</v>
      </c>
    </row>
    <row r="214" spans="1:10" x14ac:dyDescent="0.25">
      <c r="A214" t="s">
        <v>1103</v>
      </c>
      <c r="B214" s="16" t="s">
        <v>33</v>
      </c>
      <c r="C214">
        <v>80</v>
      </c>
      <c r="D214">
        <f t="shared" si="11"/>
        <v>4</v>
      </c>
      <c r="F214" t="s">
        <v>1401</v>
      </c>
      <c r="G214" cm="1">
        <f t="array" ref="G214">COUNT(IF(($A214=pokemon!$AC$2:$AC$415)*(pokemon!$D$2:$D$415 &lt;&gt; "Noble Form")*(ISBLANK(pokemon!$AK$2:$AK$415)), pokemon!$V$2:$V$415))</f>
        <v>1</v>
      </c>
      <c r="H214" cm="1">
        <f t="array" ref="H214">MIN(IF(($A214=pokemon!$AC$2:$AC$415)*(pokemon!$D$2:$D$415 &lt;&gt; "Noble Form")*(ISBLANK(pokemon!$AK$2:$AK$415)), pokemon!$V$2:$V$415))</f>
        <v>16</v>
      </c>
      <c r="I214" cm="1">
        <f t="array" ref="I214">MAX(IF(($A214=pokemon!$AC$2:$AC$415)*(pokemon!$D$2:$D$415 &lt;&gt; "Noble Form")*(ISBLANK(pokemon!$AK$2:$AK$415)), pokemon!$V$2:$V$415))</f>
        <v>16</v>
      </c>
      <c r="J214">
        <f t="shared" si="12"/>
        <v>0</v>
      </c>
    </row>
    <row r="215" spans="1:10" x14ac:dyDescent="0.25">
      <c r="A215" t="s">
        <v>498</v>
      </c>
      <c r="B215" s="16" t="s">
        <v>33</v>
      </c>
      <c r="C215">
        <v>100</v>
      </c>
      <c r="D215">
        <f t="shared" si="11"/>
        <v>5</v>
      </c>
      <c r="F215" t="s">
        <v>1405</v>
      </c>
      <c r="G215" cm="1">
        <f t="array" ref="G215">COUNT(IF(($A215=pokemon!$AC$2:$AC$415)*(pokemon!$D$2:$D$415 &lt;&gt; "Noble Form")*(ISBLANK(pokemon!$AK$2:$AK$415)), pokemon!$V$2:$V$415))</f>
        <v>2</v>
      </c>
      <c r="H215" cm="1">
        <f t="array" ref="H215">MIN(IF(($A215=pokemon!$AC$2:$AC$415)*(pokemon!$D$2:$D$415 &lt;&gt; "Noble Form")*(ISBLANK(pokemon!$AK$2:$AK$415)), pokemon!$V$2:$V$415))</f>
        <v>15</v>
      </c>
      <c r="I215" cm="1">
        <f t="array" ref="I215">MAX(IF(($A215=pokemon!$AC$2:$AC$415)*(pokemon!$D$2:$D$415 &lt;&gt; "Noble Form")*(ISBLANK(pokemon!$AK$2:$AK$415)), pokemon!$V$2:$V$415))</f>
        <v>20</v>
      </c>
      <c r="J215">
        <f t="shared" si="12"/>
        <v>5</v>
      </c>
    </row>
    <row r="216" spans="1:10" x14ac:dyDescent="0.25">
      <c r="A216" t="s">
        <v>500</v>
      </c>
      <c r="B216" s="16" t="s">
        <v>33</v>
      </c>
      <c r="C216">
        <v>100</v>
      </c>
      <c r="D216">
        <f t="shared" si="11"/>
        <v>5</v>
      </c>
      <c r="F216" t="s">
        <v>1398</v>
      </c>
      <c r="G216" cm="1">
        <f t="array" ref="G216">COUNT(IF(($A216=pokemon!$AC$2:$AC$415)*(pokemon!$D$2:$D$415 &lt;&gt; "Noble Form")*(ISBLANK(pokemon!$AK$2:$AK$415)), pokemon!$V$2:$V$415))</f>
        <v>3</v>
      </c>
      <c r="H216" cm="1">
        <f t="array" ref="H216">MIN(IF(($A216=pokemon!$AC$2:$AC$415)*(pokemon!$D$2:$D$415 &lt;&gt; "Noble Form")*(ISBLANK(pokemon!$AK$2:$AK$415)), pokemon!$V$2:$V$415))</f>
        <v>12</v>
      </c>
      <c r="I216" cm="1">
        <f t="array" ref="I216">MAX(IF(($A216=pokemon!$AC$2:$AC$415)*(pokemon!$D$2:$D$415 &lt;&gt; "Noble Form")*(ISBLANK(pokemon!$AK$2:$AK$415)), pokemon!$V$2:$V$415))</f>
        <v>13</v>
      </c>
      <c r="J216">
        <f t="shared" si="12"/>
        <v>1</v>
      </c>
    </row>
    <row r="217" spans="1:10" x14ac:dyDescent="0.25">
      <c r="A217" t="s">
        <v>512</v>
      </c>
      <c r="B217" s="16" t="s">
        <v>33</v>
      </c>
      <c r="C217">
        <v>160</v>
      </c>
      <c r="D217">
        <f t="shared" si="11"/>
        <v>8</v>
      </c>
      <c r="E217" s="1" t="s">
        <v>1242</v>
      </c>
      <c r="F217" t="s">
        <v>1239</v>
      </c>
      <c r="G217" cm="1">
        <f t="array" ref="G217">COUNT(IF(($A217=pokemon!$AC$2:$AC$415)*(pokemon!$D$2:$D$415 &lt;&gt; "Noble Form")*(ISBLANK(pokemon!$AK$2:$AK$415)), pokemon!$V$2:$V$415))</f>
        <v>1</v>
      </c>
      <c r="H217" cm="1">
        <f t="array" ref="H217">MIN(IF(($A217=pokemon!$AC$2:$AC$415)*(pokemon!$D$2:$D$415 &lt;&gt; "Noble Form")*(ISBLANK(pokemon!$AK$2:$AK$415)), pokemon!$V$2:$V$415))</f>
        <v>18</v>
      </c>
      <c r="I217" cm="1">
        <f t="array" ref="I217">MAX(IF(($A217=pokemon!$AC$2:$AC$415)*(pokemon!$D$2:$D$415 &lt;&gt; "Noble Form")*(ISBLANK(pokemon!$AK$2:$AK$415)), pokemon!$V$2:$V$415))</f>
        <v>18</v>
      </c>
      <c r="J217">
        <f t="shared" si="12"/>
        <v>0</v>
      </c>
    </row>
    <row r="218" spans="1:10" x14ac:dyDescent="0.25">
      <c r="A218" t="s">
        <v>499</v>
      </c>
      <c r="B218" s="16" t="s">
        <v>33</v>
      </c>
      <c r="C218">
        <v>120</v>
      </c>
      <c r="D218">
        <f t="shared" si="11"/>
        <v>6</v>
      </c>
      <c r="E218" s="1" t="s">
        <v>1242</v>
      </c>
      <c r="F218" t="s">
        <v>1257</v>
      </c>
      <c r="G218" cm="1">
        <f t="array" ref="G218">COUNT(IF(($A218=pokemon!$AC$2:$AC$415)*(pokemon!$D$2:$D$415 &lt;&gt; "Noble Form")*(ISBLANK(pokemon!$AK$2:$AK$415)), pokemon!$V$2:$V$415))</f>
        <v>1</v>
      </c>
      <c r="H218" cm="1">
        <f t="array" ref="H218">MIN(IF(($A218=pokemon!$AC$2:$AC$415)*(pokemon!$D$2:$D$415 &lt;&gt; "Noble Form")*(ISBLANK(pokemon!$AK$2:$AK$415)), pokemon!$V$2:$V$415))</f>
        <v>19</v>
      </c>
      <c r="I218" cm="1">
        <f t="array" ref="I218">MAX(IF(($A218=pokemon!$AC$2:$AC$415)*(pokemon!$D$2:$D$415 &lt;&gt; "Noble Form")*(ISBLANK(pokemon!$AK$2:$AK$415)), pokemon!$V$2:$V$415))</f>
        <v>19</v>
      </c>
      <c r="J218">
        <f t="shared" si="12"/>
        <v>0</v>
      </c>
    </row>
    <row r="219" spans="1:10" x14ac:dyDescent="0.25">
      <c r="A219" t="s">
        <v>1172</v>
      </c>
      <c r="B219" s="16" t="s">
        <v>33</v>
      </c>
      <c r="C219">
        <v>80</v>
      </c>
      <c r="D219">
        <f t="shared" si="11"/>
        <v>4</v>
      </c>
      <c r="F219" t="s">
        <v>1480</v>
      </c>
      <c r="G219" cm="1">
        <f t="array" ref="G219">COUNT(IF(($A219=pokemon!$AC$2:$AC$415)*(pokemon!$D$2:$D$415 &lt;&gt; "Noble Form")*(ISBLANK(pokemon!$AK$2:$AK$415)), pokemon!$V$2:$V$415))</f>
        <v>1</v>
      </c>
      <c r="H219" cm="1">
        <f t="array" ref="H219">MIN(IF(($A219=pokemon!$AC$2:$AC$415)*(pokemon!$D$2:$D$415 &lt;&gt; "Noble Form")*(ISBLANK(pokemon!$AK$2:$AK$415)), pokemon!$V$2:$V$415))</f>
        <v>21</v>
      </c>
      <c r="I219" cm="1">
        <f t="array" ref="I219">MAX(IF(($A219=pokemon!$AC$2:$AC$415)*(pokemon!$D$2:$D$415 &lt;&gt; "Noble Form")*(ISBLANK(pokemon!$AK$2:$AK$415)), pokemon!$V$2:$V$415))</f>
        <v>21</v>
      </c>
      <c r="J219">
        <f t="shared" si="12"/>
        <v>0</v>
      </c>
    </row>
    <row r="220" spans="1:10" x14ac:dyDescent="0.25">
      <c r="A220" t="s">
        <v>1094</v>
      </c>
      <c r="B220" s="16" t="s">
        <v>33</v>
      </c>
      <c r="C220">
        <v>40</v>
      </c>
      <c r="D220">
        <f t="shared" si="11"/>
        <v>2</v>
      </c>
      <c r="E220" s="1" t="s">
        <v>1241</v>
      </c>
      <c r="F220" t="s">
        <v>1254</v>
      </c>
      <c r="G220" cm="1">
        <f t="array" ref="G220">COUNT(IF(($A220=pokemon!$AC$2:$AC$415)*(pokemon!$D$2:$D$415 &lt;&gt; "Noble Form")*(ISBLANK(pokemon!$AK$2:$AK$415)), pokemon!$V$2:$V$415))</f>
        <v>1</v>
      </c>
      <c r="H220" cm="1">
        <f t="array" ref="H220">MIN(IF(($A220=pokemon!$AC$2:$AC$415)*(pokemon!$D$2:$D$415 &lt;&gt; "Noble Form")*(ISBLANK(pokemon!$AK$2:$AK$415)), pokemon!$V$2:$V$415))</f>
        <v>28</v>
      </c>
      <c r="I220" cm="1">
        <f t="array" ref="I220">MAX(IF(($A220=pokemon!$AC$2:$AC$415)*(pokemon!$D$2:$D$415 &lt;&gt; "Noble Form")*(ISBLANK(pokemon!$AK$2:$AK$415)), pokemon!$V$2:$V$415))</f>
        <v>28</v>
      </c>
      <c r="J220">
        <f t="shared" si="12"/>
        <v>0</v>
      </c>
    </row>
    <row r="221" spans="1:10" x14ac:dyDescent="0.25">
      <c r="A221" t="s">
        <v>1206</v>
      </c>
      <c r="B221" s="16" t="s">
        <v>33</v>
      </c>
      <c r="C221">
        <v>80</v>
      </c>
      <c r="D221">
        <f t="shared" si="11"/>
        <v>4</v>
      </c>
      <c r="E221" s="1" t="s">
        <v>1218</v>
      </c>
      <c r="F221" t="s">
        <v>1416</v>
      </c>
      <c r="G221" cm="1">
        <f t="array" ref="G221">COUNT(IF(($A221=pokemon!$AC$2:$AC$415)*(pokemon!$D$2:$D$415 &lt;&gt; "Noble Form")*(ISBLANK(pokemon!$AK$2:$AK$415)), pokemon!$V$2:$V$415))</f>
        <v>1</v>
      </c>
      <c r="H221" cm="1">
        <f t="array" ref="H221">MIN(IF(($A221=pokemon!$AC$2:$AC$415)*(pokemon!$D$2:$D$415 &lt;&gt; "Noble Form")*(ISBLANK(pokemon!$AK$2:$AK$415)), pokemon!$V$2:$V$415))</f>
        <v>15</v>
      </c>
      <c r="I221" cm="1">
        <f t="array" ref="I221">MAX(IF(($A221=pokemon!$AC$2:$AC$415)*(pokemon!$D$2:$D$415 &lt;&gt; "Noble Form")*(ISBLANK(pokemon!$AK$2:$AK$415)), pokemon!$V$2:$V$415))</f>
        <v>15</v>
      </c>
      <c r="J221">
        <f>I221-H221</f>
        <v>0</v>
      </c>
    </row>
    <row r="222" spans="1:10" x14ac:dyDescent="0.25">
      <c r="A222" t="s">
        <v>1203</v>
      </c>
      <c r="B222" s="16" t="s">
        <v>33</v>
      </c>
      <c r="C222">
        <v>40</v>
      </c>
      <c r="D222">
        <f t="shared" si="11"/>
        <v>2</v>
      </c>
      <c r="E222" s="1" t="s">
        <v>1218</v>
      </c>
      <c r="F222" t="s">
        <v>1232</v>
      </c>
      <c r="G222" cm="1">
        <f t="array" ref="G222">COUNT(IF(($A222=pokemon!$AC$2:$AC$415)*(pokemon!$D$2:$D$415 &lt;&gt; "Noble Form")*(ISBLANK(pokemon!$AK$2:$AK$415)), pokemon!$V$2:$V$415))</f>
        <v>1</v>
      </c>
      <c r="H222" cm="1">
        <f t="array" ref="H222">MIN(IF(($A222=pokemon!$AC$2:$AC$415)*(pokemon!$D$2:$D$415 &lt;&gt; "Noble Form")*(ISBLANK(pokemon!$AK$2:$AK$415)), pokemon!$V$2:$V$415))</f>
        <v>15</v>
      </c>
      <c r="I222" cm="1">
        <f t="array" ref="I222">MAX(IF(($A222=pokemon!$AC$2:$AC$415)*(pokemon!$D$2:$D$415 &lt;&gt; "Noble Form")*(ISBLANK(pokemon!$AK$2:$AK$415)), pokemon!$V$2:$V$415))</f>
        <v>15</v>
      </c>
      <c r="J222">
        <f t="shared" si="12"/>
        <v>0</v>
      </c>
    </row>
    <row r="223" spans="1:10" x14ac:dyDescent="0.25">
      <c r="A223" t="s">
        <v>757</v>
      </c>
      <c r="B223" s="20" t="s">
        <v>39</v>
      </c>
      <c r="C223">
        <v>20</v>
      </c>
      <c r="D223">
        <f t="shared" si="11"/>
        <v>1</v>
      </c>
      <c r="E223" s="1" t="s">
        <v>1227</v>
      </c>
      <c r="F223" t="s">
        <v>1425</v>
      </c>
      <c r="G223" cm="1">
        <f t="array" ref="G223">COUNT(IF(($A223=pokemon!$AC$2:$AC$415)*(pokemon!$D$2:$D$415 &lt;&gt; "Noble Form")*(ISBLANK(pokemon!$AK$2:$AK$415)), pokemon!$V$2:$V$415))</f>
        <v>1</v>
      </c>
      <c r="H223" cm="1">
        <f t="array" ref="H223">MIN(IF(($A223=pokemon!$AC$2:$AC$415)*(pokemon!$D$2:$D$415 &lt;&gt; "Noble Form")*(ISBLANK(pokemon!$AK$2:$AK$415)), pokemon!$V$2:$V$415))</f>
        <v>10</v>
      </c>
      <c r="I223" cm="1">
        <f t="array" ref="I223">MAX(IF(($A223=pokemon!$AC$2:$AC$415)*(pokemon!$D$2:$D$415 &lt;&gt; "Noble Form")*(ISBLANK(pokemon!$AK$2:$AK$415)), pokemon!$V$2:$V$415))</f>
        <v>10</v>
      </c>
      <c r="J223">
        <f t="shared" si="12"/>
        <v>0</v>
      </c>
    </row>
    <row r="224" spans="1:10" x14ac:dyDescent="0.25">
      <c r="A224" t="s">
        <v>967</v>
      </c>
      <c r="B224" s="20" t="s">
        <v>39</v>
      </c>
      <c r="C224">
        <v>20</v>
      </c>
      <c r="D224">
        <f t="shared" si="11"/>
        <v>1</v>
      </c>
      <c r="E224" s="1" t="s">
        <v>1218</v>
      </c>
      <c r="F224" t="s">
        <v>1427</v>
      </c>
      <c r="G224" cm="1">
        <f t="array" ref="G224">COUNT(IF(($A224=pokemon!$AC$2:$AC$415)*(pokemon!$D$2:$D$415 &lt;&gt; "Noble Form")*(ISBLANK(pokemon!$AK$2:$AK$415)), pokemon!$V$2:$V$415))</f>
        <v>1</v>
      </c>
      <c r="H224" cm="1">
        <f t="array" ref="H224">MIN(IF(($A224=pokemon!$AC$2:$AC$415)*(pokemon!$D$2:$D$415 &lt;&gt; "Noble Form")*(ISBLANK(pokemon!$AK$2:$AK$415)), pokemon!$V$2:$V$415))</f>
        <v>19</v>
      </c>
      <c r="I224" cm="1">
        <f t="array" ref="I224">MAX(IF(($A224=pokemon!$AC$2:$AC$415)*(pokemon!$D$2:$D$415 &lt;&gt; "Noble Form")*(ISBLANK(pokemon!$AK$2:$AK$415)), pokemon!$V$2:$V$415))</f>
        <v>19</v>
      </c>
      <c r="J224">
        <f t="shared" si="12"/>
        <v>0</v>
      </c>
    </row>
    <row r="225" spans="1:10" x14ac:dyDescent="0.25">
      <c r="A225" t="s">
        <v>641</v>
      </c>
      <c r="B225" s="20" t="s">
        <v>39</v>
      </c>
      <c r="C225">
        <v>40</v>
      </c>
      <c r="D225">
        <f t="shared" si="11"/>
        <v>2</v>
      </c>
      <c r="E225" s="1" t="s">
        <v>1219</v>
      </c>
      <c r="F225" t="s">
        <v>1394</v>
      </c>
      <c r="G225" cm="1">
        <f t="array" ref="G225">COUNT(IF(($A225=pokemon!$AC$2:$AC$415)*(pokemon!$D$2:$D$415 &lt;&gt; "Noble Form")*(ISBLANK(pokemon!$AK$2:$AK$415)), pokemon!$V$2:$V$415))</f>
        <v>1</v>
      </c>
      <c r="H225" cm="1">
        <f t="array" ref="H225">MIN(IF(($A225=pokemon!$AC$2:$AC$415)*(pokemon!$D$2:$D$415 &lt;&gt; "Noble Form")*(ISBLANK(pokemon!$AK$2:$AK$415)), pokemon!$V$2:$V$415))</f>
        <v>19</v>
      </c>
      <c r="I225" cm="1">
        <f t="array" ref="I225">MAX(IF(($A225=pokemon!$AC$2:$AC$415)*(pokemon!$D$2:$D$415 &lt;&gt; "Noble Form")*(ISBLANK(pokemon!$AK$2:$AK$415)), pokemon!$V$2:$V$415))</f>
        <v>19</v>
      </c>
      <c r="J225">
        <f t="shared" si="12"/>
        <v>0</v>
      </c>
    </row>
    <row r="226" spans="1:10" x14ac:dyDescent="0.25">
      <c r="A226" t="s">
        <v>702</v>
      </c>
      <c r="B226" s="20" t="s">
        <v>39</v>
      </c>
      <c r="C226">
        <v>20</v>
      </c>
      <c r="D226">
        <f t="shared" si="11"/>
        <v>1</v>
      </c>
      <c r="E226" s="1" t="s">
        <v>1241</v>
      </c>
      <c r="F226" t="s">
        <v>1255</v>
      </c>
      <c r="G226" cm="1">
        <f t="array" ref="G226">COUNT(IF(($A226=pokemon!$AC$2:$AC$415)*(pokemon!$D$2:$D$415 &lt;&gt; "Noble Form")*(ISBLANK(pokemon!$AK$2:$AK$415)), pokemon!$V$2:$V$415))</f>
        <v>1</v>
      </c>
      <c r="H226" cm="1">
        <f t="array" ref="H226">MIN(IF(($A226=pokemon!$AC$2:$AC$415)*(pokemon!$D$2:$D$415 &lt;&gt; "Noble Form")*(ISBLANK(pokemon!$AK$2:$AK$415)), pokemon!$V$2:$V$415))</f>
        <v>28</v>
      </c>
      <c r="I226" cm="1">
        <f t="array" ref="I226">MAX(IF(($A226=pokemon!$AC$2:$AC$415)*(pokemon!$D$2:$D$415 &lt;&gt; "Noble Form")*(ISBLANK(pokemon!$AK$2:$AK$415)), pokemon!$V$2:$V$415))</f>
        <v>28</v>
      </c>
      <c r="J226">
        <f t="shared" si="12"/>
        <v>0</v>
      </c>
    </row>
    <row r="227" spans="1:10" x14ac:dyDescent="0.25">
      <c r="A227" t="s">
        <v>593</v>
      </c>
      <c r="B227" s="20" t="s">
        <v>39</v>
      </c>
      <c r="C227">
        <v>55</v>
      </c>
      <c r="D227">
        <f t="shared" si="11"/>
        <v>3</v>
      </c>
      <c r="F227" t="s">
        <v>1390</v>
      </c>
      <c r="G227" cm="1">
        <f t="array" ref="G227">COUNT(IF(($A227=pokemon!$AC$2:$AC$415)*(pokemon!$D$2:$D$415 &lt;&gt; "Noble Form")*(ISBLANK(pokemon!$AK$2:$AK$415)), pokemon!$V$2:$V$415))</f>
        <v>2</v>
      </c>
      <c r="H227" cm="1">
        <f t="array" ref="H227">MIN(IF(($A227=pokemon!$AC$2:$AC$415)*(pokemon!$D$2:$D$415 &lt;&gt; "Noble Form")*(ISBLANK(pokemon!$AK$2:$AK$415)), pokemon!$V$2:$V$415))</f>
        <v>10</v>
      </c>
      <c r="I227" cm="1">
        <f t="array" ref="I227">MAX(IF(($A227=pokemon!$AC$2:$AC$415)*(pokemon!$D$2:$D$415 &lt;&gt; "Noble Form")*(ISBLANK(pokemon!$AK$2:$AK$415)), pokemon!$V$2:$V$415))</f>
        <v>14</v>
      </c>
      <c r="J227">
        <f t="shared" si="12"/>
        <v>4</v>
      </c>
    </row>
    <row r="228" spans="1:10" x14ac:dyDescent="0.25">
      <c r="A228" t="s">
        <v>1178</v>
      </c>
      <c r="B228" s="20" t="s">
        <v>39</v>
      </c>
      <c r="C228">
        <v>60</v>
      </c>
      <c r="D228">
        <f t="shared" si="11"/>
        <v>3</v>
      </c>
      <c r="E228" s="1" t="s">
        <v>1228</v>
      </c>
      <c r="F228" t="s">
        <v>1231</v>
      </c>
      <c r="G228" cm="1">
        <f t="array" ref="G228">COUNT(IF(($A228=pokemon!$AC$2:$AC$415)*(pokemon!$D$2:$D$415 &lt;&gt; "Noble Form")*(ISBLANK(pokemon!$AK$2:$AK$415)), pokemon!$V$2:$V$415))</f>
        <v>1</v>
      </c>
      <c r="H228" cm="1">
        <f t="array" ref="H228">MIN(IF(($A228=pokemon!$AC$2:$AC$415)*(pokemon!$D$2:$D$415 &lt;&gt; "Noble Form")*(ISBLANK(pokemon!$AK$2:$AK$415)), pokemon!$V$2:$V$415))</f>
        <v>20</v>
      </c>
      <c r="I228" cm="1">
        <f t="array" ref="I228">MAX(IF(($A228=pokemon!$AC$2:$AC$415)*(pokemon!$D$2:$D$415 &lt;&gt; "Noble Form")*(ISBLANK(pokemon!$AK$2:$AK$415)), pokemon!$V$2:$V$415))</f>
        <v>20</v>
      </c>
      <c r="J228">
        <f t="shared" si="12"/>
        <v>0</v>
      </c>
    </row>
    <row r="229" spans="1:10" x14ac:dyDescent="0.25">
      <c r="A229" t="s">
        <v>805</v>
      </c>
      <c r="B229" s="20" t="s">
        <v>39</v>
      </c>
      <c r="C229">
        <v>70</v>
      </c>
      <c r="D229">
        <f t="shared" si="11"/>
        <v>3</v>
      </c>
      <c r="F229" t="s">
        <v>1418</v>
      </c>
      <c r="G229" cm="1">
        <f t="array" ref="G229">COUNT(IF(($A229=pokemon!$AC$2:$AC$415)*(pokemon!$D$2:$D$415 &lt;&gt; "Noble Form")*(ISBLANK(pokemon!$AK$2:$AK$415)), pokemon!$V$2:$V$415))</f>
        <v>1</v>
      </c>
      <c r="H229" cm="1">
        <f t="array" ref="H229">MIN(IF(($A229=pokemon!$AC$2:$AC$415)*(pokemon!$D$2:$D$415 &lt;&gt; "Noble Form")*(ISBLANK(pokemon!$AK$2:$AK$415)), pokemon!$V$2:$V$415))</f>
        <v>13</v>
      </c>
      <c r="I229" cm="1">
        <f t="array" ref="I229">MAX(IF(($A229=pokemon!$AC$2:$AC$415)*(pokemon!$D$2:$D$415 &lt;&gt; "Noble Form")*(ISBLANK(pokemon!$AK$2:$AK$415)), pokemon!$V$2:$V$415))</f>
        <v>13</v>
      </c>
      <c r="J229">
        <f t="shared" si="12"/>
        <v>0</v>
      </c>
    </row>
    <row r="230" spans="1:10" x14ac:dyDescent="0.25">
      <c r="A230" t="s">
        <v>673</v>
      </c>
      <c r="B230" s="20" t="s">
        <v>39</v>
      </c>
      <c r="C230">
        <v>60</v>
      </c>
      <c r="D230">
        <f t="shared" si="11"/>
        <v>3</v>
      </c>
      <c r="F230" t="s">
        <v>1481</v>
      </c>
      <c r="G230" cm="1">
        <f t="array" ref="G230">COUNT(IF(($A230=pokemon!$AC$2:$AC$415)*(pokemon!$D$2:$D$415 &lt;&gt; "Noble Form")*(ISBLANK(pokemon!$AK$2:$AK$415)), pokemon!$V$2:$V$415))</f>
        <v>1</v>
      </c>
      <c r="H230" cm="1">
        <f t="array" ref="H230">MIN(IF(($A230=pokemon!$AC$2:$AC$415)*(pokemon!$D$2:$D$415 &lt;&gt; "Noble Form")*(ISBLANK(pokemon!$AK$2:$AK$415)), pokemon!$V$2:$V$415))</f>
        <v>18</v>
      </c>
      <c r="I230" cm="1">
        <f t="array" ref="I230">MAX(IF(($A230=pokemon!$AC$2:$AC$415)*(pokemon!$D$2:$D$415 &lt;&gt; "Noble Form")*(ISBLANK(pokemon!$AK$2:$AK$415)), pokemon!$V$2:$V$415))</f>
        <v>18</v>
      </c>
      <c r="J230">
        <f t="shared" si="12"/>
        <v>0</v>
      </c>
    </row>
    <row r="231" spans="1:10" x14ac:dyDescent="0.25">
      <c r="A231" t="s">
        <v>506</v>
      </c>
      <c r="B231" s="20" t="s">
        <v>39</v>
      </c>
      <c r="C231">
        <v>90</v>
      </c>
      <c r="D231">
        <f t="shared" si="11"/>
        <v>4</v>
      </c>
      <c r="F231" t="s">
        <v>1419</v>
      </c>
      <c r="G231" cm="1">
        <f t="array" ref="G231">COUNT(IF(($A231=pokemon!$AC$2:$AC$415)*(pokemon!$D$2:$D$415 &lt;&gt; "Noble Form")*(ISBLANK(pokemon!$AK$2:$AK$415)), pokemon!$V$2:$V$415))</f>
        <v>2</v>
      </c>
      <c r="H231" cm="1">
        <f t="array" ref="H231">MIN(IF(($A231=pokemon!$AC$2:$AC$415)*(pokemon!$D$2:$D$415 &lt;&gt; "Noble Form")*(ISBLANK(pokemon!$AK$2:$AK$415)), pokemon!$V$2:$V$415))</f>
        <v>14</v>
      </c>
      <c r="I231" cm="1">
        <f t="array" ref="I231">MAX(IF(($A231=pokemon!$AC$2:$AC$415)*(pokemon!$D$2:$D$415 &lt;&gt; "Noble Form")*(ISBLANK(pokemon!$AK$2:$AK$415)), pokemon!$V$2:$V$415))</f>
        <v>17</v>
      </c>
      <c r="J231">
        <f t="shared" si="12"/>
        <v>3</v>
      </c>
    </row>
    <row r="232" spans="1:10" x14ac:dyDescent="0.25">
      <c r="A232" t="s">
        <v>507</v>
      </c>
      <c r="B232" s="20" t="s">
        <v>39</v>
      </c>
      <c r="C232">
        <v>80</v>
      </c>
      <c r="D232">
        <f t="shared" si="11"/>
        <v>4</v>
      </c>
      <c r="F232" t="s">
        <v>1392</v>
      </c>
      <c r="G232" cm="1">
        <f t="array" ref="G232">COUNT(IF(($A232=pokemon!$AC$2:$AC$415)*(pokemon!$D$2:$D$415 &lt;&gt; "Noble Form")*(ISBLANK(pokemon!$AK$2:$AK$415)), pokemon!$V$2:$V$415))</f>
        <v>1</v>
      </c>
      <c r="H232" cm="1">
        <f t="array" ref="H232">MIN(IF(($A232=pokemon!$AC$2:$AC$415)*(pokemon!$D$2:$D$415 &lt;&gt; "Noble Form")*(ISBLANK(pokemon!$AK$2:$AK$415)), pokemon!$V$2:$V$415))</f>
        <v>19</v>
      </c>
      <c r="I232" cm="1">
        <f t="array" ref="I232">MAX(IF(($A232=pokemon!$AC$2:$AC$415)*(pokemon!$D$2:$D$415 &lt;&gt; "Noble Form")*(ISBLANK(pokemon!$AK$2:$AK$415)), pokemon!$V$2:$V$415))</f>
        <v>19</v>
      </c>
      <c r="J232">
        <f t="shared" si="12"/>
        <v>0</v>
      </c>
    </row>
    <row r="233" spans="1:10" x14ac:dyDescent="0.25">
      <c r="A233" t="s">
        <v>1113</v>
      </c>
      <c r="B233" s="20" t="s">
        <v>39</v>
      </c>
      <c r="C233">
        <v>80</v>
      </c>
      <c r="D233">
        <f t="shared" si="11"/>
        <v>4</v>
      </c>
      <c r="F233" t="s">
        <v>1402</v>
      </c>
      <c r="G233" cm="1">
        <f t="array" ref="G233">COUNT(IF(($A233=pokemon!$AC$2:$AC$415)*(pokemon!$D$2:$D$415 &lt;&gt; "Noble Form")*(ISBLANK(pokemon!$AK$2:$AK$415)), pokemon!$V$2:$V$415))</f>
        <v>1</v>
      </c>
      <c r="H233" cm="1">
        <f t="array" ref="H233">MIN(IF(($A233=pokemon!$AC$2:$AC$415)*(pokemon!$D$2:$D$415 &lt;&gt; "Noble Form")*(ISBLANK(pokemon!$AK$2:$AK$415)), pokemon!$V$2:$V$415))</f>
        <v>25</v>
      </c>
      <c r="I233" cm="1">
        <f t="array" ref="I233">MAX(IF(($A233=pokemon!$AC$2:$AC$415)*(pokemon!$D$2:$D$415 &lt;&gt; "Noble Form")*(ISBLANK(pokemon!$AK$2:$AK$415)), pokemon!$V$2:$V$415))</f>
        <v>25</v>
      </c>
      <c r="J233">
        <f t="shared" si="12"/>
        <v>0</v>
      </c>
    </row>
    <row r="234" spans="1:10" x14ac:dyDescent="0.25">
      <c r="A234" t="s">
        <v>966</v>
      </c>
      <c r="B234" s="20" t="s">
        <v>39</v>
      </c>
      <c r="C234">
        <v>100</v>
      </c>
      <c r="D234">
        <f t="shared" si="11"/>
        <v>5</v>
      </c>
      <c r="E234" s="1" t="s">
        <v>1218</v>
      </c>
      <c r="F234" t="s">
        <v>1404</v>
      </c>
      <c r="G234" cm="1">
        <f t="array" ref="G234">COUNT(IF(($A234=pokemon!$AC$2:$AC$415)*(pokemon!$D$2:$D$415 &lt;&gt; "Noble Form")*(ISBLANK(pokemon!$AK$2:$AK$415)), pokemon!$V$2:$V$415))</f>
        <v>1</v>
      </c>
      <c r="H234" cm="1">
        <f t="array" ref="H234">MIN(IF(($A234=pokemon!$AC$2:$AC$415)*(pokemon!$D$2:$D$415 &lt;&gt; "Noble Form")*(ISBLANK(pokemon!$AK$2:$AK$415)), pokemon!$V$2:$V$415))</f>
        <v>19</v>
      </c>
      <c r="I234" cm="1">
        <f t="array" ref="I234">MAX(IF(($A234=pokemon!$AC$2:$AC$415)*(pokemon!$D$2:$D$415 &lt;&gt; "Noble Form")*(ISBLANK(pokemon!$AK$2:$AK$415)), pokemon!$V$2:$V$415))</f>
        <v>19</v>
      </c>
      <c r="J234">
        <f t="shared" si="12"/>
        <v>0</v>
      </c>
    </row>
    <row r="235" spans="1:10" x14ac:dyDescent="0.25">
      <c r="A235" t="s">
        <v>794</v>
      </c>
      <c r="B235" s="20" t="s">
        <v>39</v>
      </c>
      <c r="C235">
        <v>120</v>
      </c>
      <c r="D235">
        <f t="shared" si="11"/>
        <v>6</v>
      </c>
      <c r="E235" s="1" t="s">
        <v>1242</v>
      </c>
      <c r="F235" s="26" t="s">
        <v>1444</v>
      </c>
      <c r="G235" cm="1">
        <f t="array" ref="G235">COUNT(IF(($A235=pokemon!$AC$2:$AC$415)*(pokemon!$D$2:$D$415 &lt;&gt; "Noble Form")*(ISBLANK(pokemon!$AK$2:$AK$415)), pokemon!$V$2:$V$415))</f>
        <v>1</v>
      </c>
      <c r="H235" cm="1">
        <f t="array" ref="H235">MIN(IF(($A235=pokemon!$AC$2:$AC$415)*(pokemon!$D$2:$D$415 &lt;&gt; "Noble Form")*(ISBLANK(pokemon!$AK$2:$AK$415)), pokemon!$V$2:$V$415))</f>
        <v>42</v>
      </c>
      <c r="I235" cm="1">
        <f t="array" ref="I235">MAX(IF(($A235=pokemon!$AC$2:$AC$415)*(pokemon!$D$2:$D$415 &lt;&gt; "Noble Form")*(ISBLANK(pokemon!$AK$2:$AK$415)), pokemon!$V$2:$V$415))</f>
        <v>42</v>
      </c>
      <c r="J235">
        <f t="shared" si="12"/>
        <v>0</v>
      </c>
    </row>
    <row r="236" spans="1:10" x14ac:dyDescent="0.25">
      <c r="A236" t="s">
        <v>561</v>
      </c>
      <c r="B236" s="20" t="s">
        <v>39</v>
      </c>
      <c r="D236" t="str">
        <f t="shared" si="11"/>
        <v/>
      </c>
      <c r="E236" s="1" t="s">
        <v>1241</v>
      </c>
      <c r="F236" t="s">
        <v>1276</v>
      </c>
      <c r="G236" cm="1">
        <f t="array" ref="G236">COUNT(IF(($A236=pokemon!$AC$2:$AC$415)*(pokemon!$D$2:$D$415 &lt;&gt; "Noble Form")*(ISBLANK(pokemon!$AK$2:$AK$415)), pokemon!$V$2:$V$415))</f>
        <v>2</v>
      </c>
      <c r="H236" cm="1">
        <f t="array" ref="H236">MIN(IF(($A236=pokemon!$AC$2:$AC$415)*(pokemon!$D$2:$D$415 &lt;&gt; "Noble Form")*(ISBLANK(pokemon!$AK$2:$AK$415)), pokemon!$V$2:$V$415))</f>
        <v>16</v>
      </c>
      <c r="I236" cm="1">
        <f t="array" ref="I236">MAX(IF(($A236=pokemon!$AC$2:$AC$415)*(pokemon!$D$2:$D$415 &lt;&gt; "Noble Form")*(ISBLANK(pokemon!$AK$2:$AK$415)), pokemon!$V$2:$V$415))</f>
        <v>17</v>
      </c>
      <c r="J236">
        <f t="shared" si="12"/>
        <v>1</v>
      </c>
    </row>
    <row r="237" spans="1:10" x14ac:dyDescent="0.25">
      <c r="A237" t="s">
        <v>1169</v>
      </c>
      <c r="B237" s="20" t="s">
        <v>39</v>
      </c>
      <c r="C237">
        <v>60</v>
      </c>
      <c r="D237">
        <f t="shared" si="11"/>
        <v>3</v>
      </c>
      <c r="F237" t="s">
        <v>1439</v>
      </c>
      <c r="G237" cm="1">
        <f t="array" ref="G237">COUNT(IF(($A237=pokemon!$AC$2:$AC$415)*(pokemon!$D$2:$D$415 &lt;&gt; "Noble Form")*(ISBLANK(pokemon!$AK$2:$AK$415)), pokemon!$V$2:$V$415))</f>
        <v>1</v>
      </c>
      <c r="H237" cm="1">
        <f t="array" ref="H237">MIN(IF(($A237=pokemon!$AC$2:$AC$415)*(pokemon!$D$2:$D$415 &lt;&gt; "Noble Form")*(ISBLANK(pokemon!$AK$2:$AK$415)), pokemon!$V$2:$V$415))</f>
        <v>21</v>
      </c>
      <c r="I237" cm="1">
        <f t="array" ref="I237">MAX(IF(($A237=pokemon!$AC$2:$AC$415)*(pokemon!$D$2:$D$415 &lt;&gt; "Noble Form")*(ISBLANK(pokemon!$AK$2:$AK$415)), pokemon!$V$2:$V$415))</f>
        <v>21</v>
      </c>
      <c r="J237">
        <f t="shared" si="12"/>
        <v>0</v>
      </c>
    </row>
    <row r="238" spans="1:10" x14ac:dyDescent="0.25">
      <c r="A238" t="s">
        <v>1200</v>
      </c>
      <c r="B238" s="20" t="s">
        <v>39</v>
      </c>
      <c r="C238">
        <v>90</v>
      </c>
      <c r="D238">
        <f t="shared" si="11"/>
        <v>4</v>
      </c>
      <c r="E238" s="1" t="s">
        <v>1228</v>
      </c>
      <c r="F238" t="s">
        <v>1424</v>
      </c>
      <c r="G238" cm="1">
        <f t="array" ref="G238">COUNT(IF(($A238=pokemon!$AC$2:$AC$415)*(pokemon!$D$2:$D$415 &lt;&gt; "Noble Form")*(ISBLANK(pokemon!$AK$2:$AK$415)), pokemon!$V$2:$V$415))</f>
        <v>1</v>
      </c>
      <c r="H238" cm="1">
        <f t="array" ref="H238">MIN(IF(($A238=pokemon!$AC$2:$AC$415)*(pokemon!$D$2:$D$415 &lt;&gt; "Noble Form")*(ISBLANK(pokemon!$AK$2:$AK$415)), pokemon!$V$2:$V$415))</f>
        <v>20</v>
      </c>
      <c r="I238" cm="1">
        <f t="array" ref="I238">MAX(IF(($A238=pokemon!$AC$2:$AC$415)*(pokemon!$D$2:$D$415 &lt;&gt; "Noble Form")*(ISBLANK(pokemon!$AK$2:$AK$415)), pokemon!$V$2:$V$415))</f>
        <v>20</v>
      </c>
      <c r="J238">
        <f t="shared" si="12"/>
        <v>0</v>
      </c>
    </row>
    <row r="239" spans="1:10" x14ac:dyDescent="0.25">
      <c r="A239" t="s">
        <v>1385</v>
      </c>
      <c r="B239" s="20" t="s">
        <v>39</v>
      </c>
      <c r="C239">
        <v>120</v>
      </c>
      <c r="D239">
        <f t="shared" ref="D239" si="13">IF(NOT(ISBLANK(C239)), IF(ISNUMBER(C239), ROUND((C239 - 5)/20, 0), C239), "")</f>
        <v>6</v>
      </c>
      <c r="E239" s="1" t="s">
        <v>1242</v>
      </c>
      <c r="F239" t="s">
        <v>1386</v>
      </c>
      <c r="G239" cm="1">
        <f t="array" ref="G239">COUNT(IF(($A239=pokemon!$AC$2:$AC$415)*(pokemon!$D$2:$D$415 &lt;&gt; "Noble Form")*(ISBLANK(pokemon!$AK$2:$AK$415)), pokemon!$V$2:$V$415))</f>
        <v>1</v>
      </c>
      <c r="H239" cm="1">
        <f t="array" ref="H239">MIN(IF(($A239=pokemon!$AC$2:$AC$415)*(pokemon!$D$2:$D$415 &lt;&gt; "Noble Form")*(ISBLANK(pokemon!$AK$2:$AK$415)), pokemon!$V$2:$V$415))</f>
        <v>20</v>
      </c>
      <c r="I239" cm="1">
        <f t="array" ref="I239">MAX(IF(($A239=pokemon!$AC$2:$AC$415)*(pokemon!$D$2:$D$415 &lt;&gt; "Noble Form")*(ISBLANK(pokemon!$AK$2:$AK$415)), pokemon!$V$2:$V$415))</f>
        <v>20</v>
      </c>
      <c r="J239">
        <f t="shared" ref="J239" si="14">I239-H239</f>
        <v>0</v>
      </c>
    </row>
    <row r="240" spans="1:10" x14ac:dyDescent="0.25">
      <c r="A240" t="s">
        <v>537</v>
      </c>
      <c r="B240" t="s">
        <v>548</v>
      </c>
      <c r="C240">
        <v>55</v>
      </c>
      <c r="D240">
        <f t="shared" si="11"/>
        <v>3</v>
      </c>
      <c r="E240" s="1" t="s">
        <v>1241</v>
      </c>
      <c r="F240" t="s">
        <v>562</v>
      </c>
      <c r="G240" cm="1">
        <f t="array" ref="G240">COUNT(IF(($A240=pokemon!$AC$2:$AC$415)*(pokemon!$D$2:$D$415 &lt;&gt; "Noble Form")*(ISBLANK(pokemon!$AK$2:$AK$415)), pokemon!$V$2:$V$415))</f>
        <v>1</v>
      </c>
      <c r="H240" cm="1">
        <f t="array" ref="H240">MIN(IF(($A240=pokemon!$AC$2:$AC$415)*(pokemon!$D$2:$D$415 &lt;&gt; "Noble Form")*(ISBLANK(pokemon!$AK$2:$AK$415)), pokemon!$V$2:$V$415))</f>
        <v>11</v>
      </c>
      <c r="I240" cm="1">
        <f t="array" ref="I240">MAX(IF(($A240=pokemon!$AC$2:$AC$415)*(pokemon!$D$2:$D$415 &lt;&gt; "Noble Form")*(ISBLANK(pokemon!$AK$2:$AK$415)), pokemon!$V$2:$V$415))</f>
        <v>11</v>
      </c>
      <c r="J240">
        <f t="shared" si="12"/>
        <v>0</v>
      </c>
    </row>
    <row r="241" spans="1:10" x14ac:dyDescent="0.25">
      <c r="A241" t="s">
        <v>705</v>
      </c>
      <c r="B241" t="s">
        <v>548</v>
      </c>
      <c r="C241">
        <v>75</v>
      </c>
      <c r="D241">
        <f t="shared" si="11"/>
        <v>4</v>
      </c>
      <c r="E241" s="1" t="s">
        <v>1241</v>
      </c>
      <c r="F241" t="s">
        <v>562</v>
      </c>
      <c r="G241" cm="1">
        <f t="array" ref="G241">COUNT(IF(($A241=pokemon!$AC$2:$AC$415)*(pokemon!$D$2:$D$415 &lt;&gt; "Noble Form")*(ISBLANK(pokemon!$AK$2:$AK$415)), pokemon!$V$2:$V$415))</f>
        <v>2</v>
      </c>
      <c r="H241" cm="1">
        <f t="array" ref="H241">MIN(IF(($A241=pokemon!$AC$2:$AC$415)*(pokemon!$D$2:$D$415 &lt;&gt; "Noble Form")*(ISBLANK(pokemon!$AK$2:$AK$415)), pokemon!$V$2:$V$415))</f>
        <v>16</v>
      </c>
      <c r="I241" cm="1">
        <f t="array" ref="I241">MAX(IF(($A241=pokemon!$AC$2:$AC$415)*(pokemon!$D$2:$D$415 &lt;&gt; "Noble Form")*(ISBLANK(pokemon!$AK$2:$AK$415)), pokemon!$V$2:$V$415))</f>
        <v>18</v>
      </c>
      <c r="J241">
        <f t="shared" si="12"/>
        <v>2</v>
      </c>
    </row>
    <row r="242" spans="1:10" x14ac:dyDescent="0.25">
      <c r="A242" t="s">
        <v>770</v>
      </c>
      <c r="B242" t="s">
        <v>548</v>
      </c>
      <c r="C242">
        <v>90</v>
      </c>
      <c r="D242">
        <f t="shared" si="11"/>
        <v>4</v>
      </c>
      <c r="E242" s="1" t="s">
        <v>1241</v>
      </c>
      <c r="F242" t="s">
        <v>784</v>
      </c>
      <c r="G242" cm="1">
        <f t="array" ref="G242">COUNT(IF(($A242=pokemon!$AC$2:$AC$415)*(pokemon!$D$2:$D$415 &lt;&gt; "Noble Form")*(ISBLANK(pokemon!$AK$2:$AK$415)), pokemon!$V$2:$V$415))</f>
        <v>1</v>
      </c>
      <c r="H242" cm="1">
        <f t="array" ref="H242">MIN(IF(($A242=pokemon!$AC$2:$AC$415)*(pokemon!$D$2:$D$415 &lt;&gt; "Noble Form")*(ISBLANK(pokemon!$AK$2:$AK$415)), pokemon!$V$2:$V$415))</f>
        <v>20</v>
      </c>
      <c r="I242" cm="1">
        <f t="array" ref="I242">MAX(IF(($A242=pokemon!$AC$2:$AC$415)*(pokemon!$D$2:$D$415 &lt;&gt; "Noble Form")*(ISBLANK(pokemon!$AK$2:$AK$415)), pokemon!$V$2:$V$415))</f>
        <v>20</v>
      </c>
      <c r="J242">
        <f t="shared" si="12"/>
        <v>0</v>
      </c>
    </row>
    <row r="243" spans="1:10" x14ac:dyDescent="0.25">
      <c r="A243" t="s">
        <v>545</v>
      </c>
      <c r="B243" t="s">
        <v>548</v>
      </c>
      <c r="C243">
        <v>120</v>
      </c>
      <c r="D243">
        <f t="shared" si="11"/>
        <v>6</v>
      </c>
      <c r="E243" s="1" t="s">
        <v>1242</v>
      </c>
      <c r="F243" t="s">
        <v>1260</v>
      </c>
      <c r="G243" cm="1">
        <f t="array" ref="G243">COUNT(IF(($A243=pokemon!$AC$2:$AC$415)*(pokemon!$D$2:$D$415 &lt;&gt; "Noble Form")*(ISBLANK(pokemon!$AK$2:$AK$415)), pokemon!$V$2:$V$415))</f>
        <v>1</v>
      </c>
      <c r="H243" cm="1">
        <f t="array" ref="H243">MIN(IF(($A243=pokemon!$AC$2:$AC$415)*(pokemon!$D$2:$D$415 &lt;&gt; "Noble Form")*(ISBLANK(pokemon!$AK$2:$AK$415)), pokemon!$V$2:$V$415))</f>
        <v>24</v>
      </c>
      <c r="I243" cm="1">
        <f t="array" ref="I243">MAX(IF(($A243=pokemon!$AC$2:$AC$415)*(pokemon!$D$2:$D$415 &lt;&gt; "Noble Form")*(ISBLANK(pokemon!$AK$2:$AK$415)), pokemon!$V$2:$V$415))</f>
        <v>24</v>
      </c>
      <c r="J243">
        <f t="shared" si="12"/>
        <v>0</v>
      </c>
    </row>
    <row r="244" spans="1:10" x14ac:dyDescent="0.25">
      <c r="A244" t="s">
        <v>796</v>
      </c>
      <c r="B244" t="s">
        <v>548</v>
      </c>
      <c r="C244">
        <v>100</v>
      </c>
      <c r="D244">
        <f t="shared" si="11"/>
        <v>5</v>
      </c>
      <c r="F244" t="s">
        <v>1403</v>
      </c>
      <c r="G244" cm="1">
        <f t="array" ref="G244">COUNT(IF(($A244=pokemon!$AC$2:$AC$415)*(pokemon!$D$2:$D$415 &lt;&gt; "Noble Form")*(ISBLANK(pokemon!$AK$2:$AK$415)), pokemon!$V$2:$V$415))</f>
        <v>1</v>
      </c>
      <c r="H244" cm="1">
        <f t="array" ref="H244">MIN(IF(($A244=pokemon!$AC$2:$AC$415)*(pokemon!$D$2:$D$415 &lt;&gt; "Noble Form")*(ISBLANK(pokemon!$AK$2:$AK$415)), pokemon!$V$2:$V$415))</f>
        <v>51</v>
      </c>
      <c r="I244" cm="1">
        <f t="array" ref="I244">MAX(IF(($A244=pokemon!$AC$2:$AC$415)*(pokemon!$D$2:$D$415 &lt;&gt; "Noble Form")*(ISBLANK(pokemon!$AK$2:$AK$415)), pokemon!$V$2:$V$415))</f>
        <v>51</v>
      </c>
      <c r="J244">
        <f t="shared" si="12"/>
        <v>0</v>
      </c>
    </row>
    <row r="245" spans="1:10" x14ac:dyDescent="0.25">
      <c r="A245" t="s">
        <v>518</v>
      </c>
      <c r="B245" t="s">
        <v>548</v>
      </c>
      <c r="D245" t="str">
        <f t="shared" si="11"/>
        <v/>
      </c>
      <c r="E245" s="1" t="s">
        <v>1241</v>
      </c>
      <c r="F245" t="s">
        <v>1267</v>
      </c>
      <c r="G245" cm="1">
        <f t="array" ref="G245">COUNT(IF(($A245=pokemon!$AC$2:$AC$415)*(pokemon!$D$2:$D$415 &lt;&gt; "Noble Form")*(ISBLANK(pokemon!$AK$2:$AK$415)), pokemon!$V$2:$V$415))</f>
        <v>2</v>
      </c>
      <c r="H245" cm="1">
        <f t="array" ref="H245">MIN(IF(($A245=pokemon!$AC$2:$AC$415)*(pokemon!$D$2:$D$415 &lt;&gt; "Noble Form")*(ISBLANK(pokemon!$AK$2:$AK$415)), pokemon!$V$2:$V$415))</f>
        <v>11</v>
      </c>
      <c r="I245" cm="1">
        <f t="array" ref="I245">MAX(IF(($A245=pokemon!$AC$2:$AC$415)*(pokemon!$D$2:$D$415 &lt;&gt; "Noble Form")*(ISBLANK(pokemon!$AK$2:$AK$415)), pokemon!$V$2:$V$415))</f>
        <v>11</v>
      </c>
      <c r="J245">
        <f t="shared" si="12"/>
        <v>0</v>
      </c>
    </row>
    <row r="246" spans="1:10" x14ac:dyDescent="0.25">
      <c r="A246" t="s">
        <v>540</v>
      </c>
      <c r="B246" t="s">
        <v>548</v>
      </c>
      <c r="D246" t="str">
        <f t="shared" si="11"/>
        <v/>
      </c>
      <c r="E246" s="1" t="s">
        <v>1241</v>
      </c>
      <c r="F246" t="s">
        <v>1268</v>
      </c>
      <c r="G246" cm="1">
        <f t="array" ref="G246">COUNT(IF(($A246=pokemon!$AC$2:$AC$415)*(pokemon!$D$2:$D$415 &lt;&gt; "Noble Form")*(ISBLANK(pokemon!$AK$2:$AK$415)), pokemon!$V$2:$V$415))</f>
        <v>1</v>
      </c>
      <c r="H246" cm="1">
        <f t="array" ref="H246">MIN(IF(($A246=pokemon!$AC$2:$AC$415)*(pokemon!$D$2:$D$415 &lt;&gt; "Noble Form")*(ISBLANK(pokemon!$AK$2:$AK$415)), pokemon!$V$2:$V$415))</f>
        <v>11</v>
      </c>
      <c r="I246" cm="1">
        <f t="array" ref="I246">MAX(IF(($A246=pokemon!$AC$2:$AC$415)*(pokemon!$D$2:$D$415 &lt;&gt; "Noble Form")*(ISBLANK(pokemon!$AK$2:$AK$415)), pokemon!$V$2:$V$415))</f>
        <v>11</v>
      </c>
      <c r="J246">
        <f t="shared" si="12"/>
        <v>0</v>
      </c>
    </row>
    <row r="247" spans="1:10" x14ac:dyDescent="0.25">
      <c r="A247" t="s">
        <v>635</v>
      </c>
      <c r="B247" s="7" t="s">
        <v>6</v>
      </c>
      <c r="C247">
        <v>40</v>
      </c>
      <c r="D247">
        <f t="shared" si="11"/>
        <v>2</v>
      </c>
      <c r="E247" s="1" t="s">
        <v>1219</v>
      </c>
      <c r="F247" t="s">
        <v>1394</v>
      </c>
      <c r="G247" cm="1">
        <f t="array" ref="G247">COUNT(IF(($A247=pokemon!$AC$2:$AC$415)*(pokemon!$D$2:$D$415 &lt;&gt; "Noble Form")*(ISBLANK(pokemon!$AK$2:$AK$415)), pokemon!$V$2:$V$415))</f>
        <v>2</v>
      </c>
      <c r="H247" cm="1">
        <f t="array" ref="H247">MIN(IF(($A247=pokemon!$AC$2:$AC$415)*(pokemon!$D$2:$D$415 &lt;&gt; "Noble Form")*(ISBLANK(pokemon!$AK$2:$AK$415)), pokemon!$V$2:$V$415))</f>
        <v>14</v>
      </c>
      <c r="I247" cm="1">
        <f t="array" ref="I247">MAX(IF(($A247=pokemon!$AC$2:$AC$415)*(pokemon!$D$2:$D$415 &lt;&gt; "Noble Form")*(ISBLANK(pokemon!$AK$2:$AK$415)), pokemon!$V$2:$V$415))</f>
        <v>18</v>
      </c>
      <c r="J247">
        <f t="shared" si="12"/>
        <v>4</v>
      </c>
    </row>
    <row r="248" spans="1:10" x14ac:dyDescent="0.25">
      <c r="A248" t="s">
        <v>598</v>
      </c>
      <c r="B248" s="7" t="s">
        <v>6</v>
      </c>
      <c r="C248">
        <v>40</v>
      </c>
      <c r="D248">
        <f t="shared" si="11"/>
        <v>2</v>
      </c>
      <c r="F248" t="s">
        <v>1417</v>
      </c>
      <c r="G248" cm="1">
        <f t="array" ref="G248">COUNT(IF(($A248=pokemon!$AC$2:$AC$415)*(pokemon!$D$2:$D$415 &lt;&gt; "Noble Form")*(ISBLANK(pokemon!$AK$2:$AK$415)), pokemon!$V$2:$V$415))</f>
        <v>3</v>
      </c>
      <c r="H248" cm="1">
        <f t="array" ref="H248">MIN(IF(($A248=pokemon!$AC$2:$AC$415)*(pokemon!$D$2:$D$415 &lt;&gt; "Noble Form")*(ISBLANK(pokemon!$AK$2:$AK$415)), pokemon!$V$2:$V$415))</f>
        <v>9</v>
      </c>
      <c r="I248" cm="1">
        <f t="array" ref="I248">MAX(IF(($A248=pokemon!$AC$2:$AC$415)*(pokemon!$D$2:$D$415 &lt;&gt; "Noble Form")*(ISBLANK(pokemon!$AK$2:$AK$415)), pokemon!$V$2:$V$415))</f>
        <v>11</v>
      </c>
      <c r="J248">
        <f t="shared" si="12"/>
        <v>2</v>
      </c>
    </row>
    <row r="249" spans="1:10" x14ac:dyDescent="0.25">
      <c r="A249" t="s">
        <v>740</v>
      </c>
      <c r="B249" s="7" t="s">
        <v>6</v>
      </c>
      <c r="C249">
        <v>70</v>
      </c>
      <c r="D249">
        <f t="shared" si="11"/>
        <v>3</v>
      </c>
      <c r="F249" t="s">
        <v>1404</v>
      </c>
      <c r="G249" cm="1">
        <f t="array" ref="G249">COUNT(IF(($A249=pokemon!$AC$2:$AC$415)*(pokemon!$D$2:$D$415 &lt;&gt; "Noble Form")*(ISBLANK(pokemon!$AK$2:$AK$415)), pokemon!$V$2:$V$415))</f>
        <v>1</v>
      </c>
      <c r="H249" cm="1">
        <f t="array" ref="H249">MIN(IF(($A249=pokemon!$AC$2:$AC$415)*(pokemon!$D$2:$D$415 &lt;&gt; "Noble Form")*(ISBLANK(pokemon!$AK$2:$AK$415)), pokemon!$V$2:$V$415))</f>
        <v>10</v>
      </c>
      <c r="I249" cm="1">
        <f t="array" ref="I249">MAX(IF(($A249=pokemon!$AC$2:$AC$415)*(pokemon!$D$2:$D$415 &lt;&gt; "Noble Form")*(ISBLANK(pokemon!$AK$2:$AK$415)), pokemon!$V$2:$V$415))</f>
        <v>10</v>
      </c>
      <c r="J249">
        <f t="shared" si="12"/>
        <v>0</v>
      </c>
    </row>
    <row r="250" spans="1:10" x14ac:dyDescent="0.25">
      <c r="A250" t="s">
        <v>541</v>
      </c>
      <c r="B250" s="7" t="s">
        <v>6</v>
      </c>
      <c r="C250">
        <v>60</v>
      </c>
      <c r="D250">
        <f t="shared" si="11"/>
        <v>3</v>
      </c>
      <c r="F250" t="s">
        <v>1461</v>
      </c>
      <c r="G250" cm="1">
        <f t="array" ref="G250">COUNT(IF(($A250=pokemon!$AC$2:$AC$415)*(pokemon!$D$2:$D$415 &lt;&gt; "Noble Form")*(ISBLANK(pokemon!$AK$2:$AK$415)), pokemon!$V$2:$V$415))</f>
        <v>3</v>
      </c>
      <c r="H250" cm="1">
        <f t="array" ref="H250">MIN(IF(($A250=pokemon!$AC$2:$AC$415)*(pokemon!$D$2:$D$415 &lt;&gt; "Noble Form")*(ISBLANK(pokemon!$AK$2:$AK$415)), pokemon!$V$2:$V$415))</f>
        <v>10</v>
      </c>
      <c r="I250" cm="1">
        <f t="array" ref="I250">MAX(IF(($A250=pokemon!$AC$2:$AC$415)*(pokemon!$D$2:$D$415 &lt;&gt; "Noble Form")*(ISBLANK(pokemon!$AK$2:$AK$415)), pokemon!$V$2:$V$415))</f>
        <v>14</v>
      </c>
      <c r="J250">
        <f t="shared" si="12"/>
        <v>4</v>
      </c>
    </row>
    <row r="251" spans="1:10" x14ac:dyDescent="0.25">
      <c r="A251" t="s">
        <v>630</v>
      </c>
      <c r="B251" s="7" t="s">
        <v>6</v>
      </c>
      <c r="C251">
        <v>60</v>
      </c>
      <c r="D251">
        <f t="shared" ref="D251:D263" si="15">IF(NOT(ISBLANK(C251)), IF(ISNUMBER(C251), ROUND((C251 - 5)/20, 0), C251), "")</f>
        <v>3</v>
      </c>
      <c r="E251" s="1" t="s">
        <v>1227</v>
      </c>
      <c r="F251" t="s">
        <v>1417</v>
      </c>
      <c r="G251" cm="1">
        <f t="array" ref="G251">COUNT(IF(($A251=pokemon!$AC$2:$AC$415)*(pokemon!$D$2:$D$415 &lt;&gt; "Noble Form")*(ISBLANK(pokemon!$AK$2:$AK$415)), pokemon!$V$2:$V$415))</f>
        <v>2</v>
      </c>
      <c r="H251" cm="1">
        <f t="array" ref="H251">MIN(IF(($A251=pokemon!$AC$2:$AC$415)*(pokemon!$D$2:$D$415 &lt;&gt; "Noble Form")*(ISBLANK(pokemon!$AK$2:$AK$415)), pokemon!$V$2:$V$415))</f>
        <v>11</v>
      </c>
      <c r="I251" cm="1">
        <f t="array" ref="I251">MAX(IF(($A251=pokemon!$AC$2:$AC$415)*(pokemon!$D$2:$D$415 &lt;&gt; "Noble Form")*(ISBLANK(pokemon!$AK$2:$AK$415)), pokemon!$V$2:$V$415))</f>
        <v>15</v>
      </c>
      <c r="J251">
        <f t="shared" si="12"/>
        <v>4</v>
      </c>
    </row>
    <row r="252" spans="1:10" x14ac:dyDescent="0.25">
      <c r="A252" t="s">
        <v>913</v>
      </c>
      <c r="B252" s="7" t="s">
        <v>6</v>
      </c>
      <c r="C252">
        <v>65</v>
      </c>
      <c r="D252">
        <f t="shared" si="15"/>
        <v>3</v>
      </c>
      <c r="F252" t="s">
        <v>1396</v>
      </c>
      <c r="G252" cm="1">
        <f t="array" ref="G252">COUNT(IF(($A252=pokemon!$AC$2:$AC$415)*(pokemon!$D$2:$D$415 &lt;&gt; "Noble Form")*(ISBLANK(pokemon!$AK$2:$AK$415)), pokemon!$V$2:$V$415))</f>
        <v>1</v>
      </c>
      <c r="H252" cm="1">
        <f t="array" ref="H252">MIN(IF(($A252=pokemon!$AC$2:$AC$415)*(pokemon!$D$2:$D$415 &lt;&gt; "Noble Form")*(ISBLANK(pokemon!$AK$2:$AK$415)), pokemon!$V$2:$V$415))</f>
        <v>10</v>
      </c>
      <c r="I252" cm="1">
        <f t="array" ref="I252">MAX(IF(($A252=pokemon!$AC$2:$AC$415)*(pokemon!$D$2:$D$415 &lt;&gt; "Noble Form")*(ISBLANK(pokemon!$AK$2:$AK$415)), pokemon!$V$2:$V$415))</f>
        <v>10</v>
      </c>
      <c r="J252">
        <f t="shared" si="12"/>
        <v>0</v>
      </c>
    </row>
    <row r="253" spans="1:10" x14ac:dyDescent="0.25">
      <c r="A253" t="s">
        <v>528</v>
      </c>
      <c r="B253" s="7" t="s">
        <v>6</v>
      </c>
      <c r="C253">
        <v>75</v>
      </c>
      <c r="D253">
        <f t="shared" si="15"/>
        <v>4</v>
      </c>
      <c r="F253" t="s">
        <v>1406</v>
      </c>
      <c r="G253" cm="1">
        <f t="array" ref="G253">COUNT(IF(($A253=pokemon!$AC$2:$AC$415)*(pokemon!$D$2:$D$415 &lt;&gt; "Noble Form")*(ISBLANK(pokemon!$AK$2:$AK$415)), pokemon!$V$2:$V$415))</f>
        <v>1</v>
      </c>
      <c r="H253" cm="1">
        <f t="array" ref="H253">MIN(IF(($A253=pokemon!$AC$2:$AC$415)*(pokemon!$D$2:$D$415 &lt;&gt; "Noble Form")*(ISBLANK(pokemon!$AK$2:$AK$415)), pokemon!$V$2:$V$415))</f>
        <v>16</v>
      </c>
      <c r="I253" cm="1">
        <f t="array" ref="I253">MAX(IF(($A253=pokemon!$AC$2:$AC$415)*(pokemon!$D$2:$D$415 &lt;&gt; "Noble Form")*(ISBLANK(pokemon!$AK$2:$AK$415)), pokemon!$V$2:$V$415))</f>
        <v>16</v>
      </c>
      <c r="J253">
        <f t="shared" si="12"/>
        <v>0</v>
      </c>
    </row>
    <row r="254" spans="1:10" x14ac:dyDescent="0.25">
      <c r="A254" t="s">
        <v>576</v>
      </c>
      <c r="B254" s="7" t="s">
        <v>6</v>
      </c>
      <c r="C254">
        <v>90</v>
      </c>
      <c r="D254">
        <f t="shared" si="15"/>
        <v>4</v>
      </c>
      <c r="E254" s="1" t="s">
        <v>1241</v>
      </c>
      <c r="F254" t="s">
        <v>1269</v>
      </c>
      <c r="G254" cm="1">
        <f t="array" ref="G254">COUNT(IF(($A254=pokemon!$AC$2:$AC$415)*(pokemon!$D$2:$D$415 &lt;&gt; "Noble Form")*(ISBLANK(pokemon!$AK$2:$AK$415)), pokemon!$V$2:$V$415))</f>
        <v>6</v>
      </c>
      <c r="H254" cm="1">
        <f t="array" ref="H254">MIN(IF(($A254=pokemon!$AC$2:$AC$415)*(pokemon!$D$2:$D$415 &lt;&gt; "Noble Form")*(ISBLANK(pokemon!$AK$2:$AK$415)), pokemon!$V$2:$V$415))</f>
        <v>14</v>
      </c>
      <c r="I254" cm="1">
        <f t="array" ref="I254">MAX(IF(($A254=pokemon!$AC$2:$AC$415)*(pokemon!$D$2:$D$415 &lt;&gt; "Noble Form")*(ISBLANK(pokemon!$AK$2:$AK$415)), pokemon!$V$2:$V$415))</f>
        <v>17</v>
      </c>
      <c r="J254">
        <f t="shared" si="12"/>
        <v>3</v>
      </c>
    </row>
    <row r="255" spans="1:10" x14ac:dyDescent="0.25">
      <c r="A255" t="s">
        <v>483</v>
      </c>
      <c r="B255" s="7" t="s">
        <v>6</v>
      </c>
      <c r="C255">
        <v>80</v>
      </c>
      <c r="D255">
        <f t="shared" si="15"/>
        <v>4</v>
      </c>
      <c r="F255" t="s">
        <v>1443</v>
      </c>
      <c r="G255" cm="1">
        <f t="array" ref="G255">COUNT(IF(($A255=pokemon!$AC$2:$AC$415)*(pokemon!$D$2:$D$415 &lt;&gt; "Noble Form")*(ISBLANK(pokemon!$AK$2:$AK$415)), pokemon!$V$2:$V$415))</f>
        <v>1</v>
      </c>
      <c r="H255" cm="1">
        <f t="array" ref="H255">MIN(IF(($A255=pokemon!$AC$2:$AC$415)*(pokemon!$D$2:$D$415 &lt;&gt; "Noble Form")*(ISBLANK(pokemon!$AK$2:$AK$415)), pokemon!$V$2:$V$415))</f>
        <v>16</v>
      </c>
      <c r="I255" cm="1">
        <f t="array" ref="I255">MAX(IF(($A255=pokemon!$AC$2:$AC$415)*(pokemon!$D$2:$D$415 &lt;&gt; "Noble Form")*(ISBLANK(pokemon!$AK$2:$AK$415)), pokemon!$V$2:$V$415))</f>
        <v>16</v>
      </c>
      <c r="J255">
        <f t="shared" si="12"/>
        <v>0</v>
      </c>
    </row>
    <row r="256" spans="1:10" x14ac:dyDescent="0.25">
      <c r="A256" t="s">
        <v>841</v>
      </c>
      <c r="B256" s="7" t="s">
        <v>6</v>
      </c>
      <c r="C256">
        <v>40</v>
      </c>
      <c r="D256">
        <f t="shared" si="15"/>
        <v>2</v>
      </c>
      <c r="F256" t="s">
        <v>1462</v>
      </c>
      <c r="G256" cm="1">
        <f t="array" ref="G256">COUNT(IF(($A256=pokemon!$AC$2:$AC$415)*(pokemon!$D$2:$D$415 &lt;&gt; "Noble Form")*(ISBLANK(pokemon!$AK$2:$AK$415)), pokemon!$V$2:$V$415))</f>
        <v>1</v>
      </c>
      <c r="H256" cm="1">
        <f t="array" ref="H256">MIN(IF(($A256=pokemon!$AC$2:$AC$415)*(pokemon!$D$2:$D$415 &lt;&gt; "Noble Form")*(ISBLANK(pokemon!$AK$2:$AK$415)), pokemon!$V$2:$V$415))</f>
        <v>16</v>
      </c>
      <c r="I256" cm="1">
        <f t="array" ref="I256">MAX(IF(($A256=pokemon!$AC$2:$AC$415)*(pokemon!$D$2:$D$415 &lt;&gt; "Noble Form")*(ISBLANK(pokemon!$AK$2:$AK$415)), pokemon!$V$2:$V$415))</f>
        <v>16</v>
      </c>
      <c r="J256">
        <f t="shared" si="12"/>
        <v>0</v>
      </c>
    </row>
    <row r="257" spans="1:10" x14ac:dyDescent="0.25">
      <c r="A257" t="s">
        <v>804</v>
      </c>
      <c r="B257" s="7" t="s">
        <v>6</v>
      </c>
      <c r="C257">
        <v>90</v>
      </c>
      <c r="D257">
        <f t="shared" si="15"/>
        <v>4</v>
      </c>
      <c r="F257" t="s">
        <v>1392</v>
      </c>
      <c r="G257" cm="1">
        <f t="array" ref="G257">COUNT(IF(($A257=pokemon!$AC$2:$AC$415)*(pokemon!$D$2:$D$415 &lt;&gt; "Noble Form")*(ISBLANK(pokemon!$AK$2:$AK$415)), pokemon!$V$2:$V$415))</f>
        <v>1</v>
      </c>
      <c r="H257" cm="1">
        <f t="array" ref="H257">MIN(IF(($A257=pokemon!$AC$2:$AC$415)*(pokemon!$D$2:$D$415 &lt;&gt; "Noble Form")*(ISBLANK(pokemon!$AK$2:$AK$415)), pokemon!$V$2:$V$415))</f>
        <v>14</v>
      </c>
      <c r="I257" cm="1">
        <f t="array" ref="I257">MAX(IF(($A257=pokemon!$AC$2:$AC$415)*(pokemon!$D$2:$D$415 &lt;&gt; "Noble Form")*(ISBLANK(pokemon!$AK$2:$AK$415)), pokemon!$V$2:$V$415))</f>
        <v>14</v>
      </c>
      <c r="J257">
        <f t="shared" si="12"/>
        <v>0</v>
      </c>
    </row>
    <row r="258" spans="1:10" x14ac:dyDescent="0.25">
      <c r="A258" t="s">
        <v>766</v>
      </c>
      <c r="B258" s="7" t="s">
        <v>6</v>
      </c>
      <c r="C258">
        <v>100</v>
      </c>
      <c r="D258">
        <f t="shared" si="15"/>
        <v>5</v>
      </c>
      <c r="F258" t="s">
        <v>1412</v>
      </c>
      <c r="G258" cm="1">
        <f t="array" ref="G258">COUNT(IF(($A258=pokemon!$AC$2:$AC$415)*(pokemon!$D$2:$D$415 &lt;&gt; "Noble Form")*(ISBLANK(pokemon!$AK$2:$AK$415)), pokemon!$V$2:$V$415))</f>
        <v>1</v>
      </c>
      <c r="H258" cm="1">
        <f t="array" ref="H258">MIN(IF(($A258=pokemon!$AC$2:$AC$415)*(pokemon!$D$2:$D$415 &lt;&gt; "Noble Form")*(ISBLANK(pokemon!$AK$2:$AK$415)), pokemon!$V$2:$V$415))</f>
        <v>18</v>
      </c>
      <c r="I258" cm="1">
        <f t="array" ref="I258">MAX(IF(($A258=pokemon!$AC$2:$AC$415)*(pokemon!$D$2:$D$415 &lt;&gt; "Noble Form")*(ISBLANK(pokemon!$AK$2:$AK$415)), pokemon!$V$2:$V$415))</f>
        <v>18</v>
      </c>
      <c r="J258">
        <f t="shared" si="12"/>
        <v>0</v>
      </c>
    </row>
    <row r="259" spans="1:10" x14ac:dyDescent="0.25">
      <c r="A259" t="s">
        <v>479</v>
      </c>
      <c r="B259" s="7" t="s">
        <v>6</v>
      </c>
      <c r="C259">
        <v>100</v>
      </c>
      <c r="D259">
        <f t="shared" si="15"/>
        <v>5</v>
      </c>
      <c r="F259" t="s">
        <v>1460</v>
      </c>
      <c r="G259" cm="1">
        <f t="array" ref="G259">COUNT(IF(($A259=pokemon!$AC$2:$AC$415)*(pokemon!$D$2:$D$415 &lt;&gt; "Noble Form")*(ISBLANK(pokemon!$AK$2:$AK$415)), pokemon!$V$2:$V$415))</f>
        <v>5</v>
      </c>
      <c r="H259" cm="1">
        <f t="array" ref="H259">MIN(IF(($A259=pokemon!$AC$2:$AC$415)*(pokemon!$D$2:$D$415 &lt;&gt; "Noble Form")*(ISBLANK(pokemon!$AK$2:$AK$415)), pokemon!$V$2:$V$415))</f>
        <v>17</v>
      </c>
      <c r="I259" cm="1">
        <f t="array" ref="I259">MAX(IF(($A259=pokemon!$AC$2:$AC$415)*(pokemon!$D$2:$D$415 &lt;&gt; "Noble Form")*(ISBLANK(pokemon!$AK$2:$AK$415)), pokemon!$V$2:$V$415))</f>
        <v>20</v>
      </c>
      <c r="J259">
        <f t="shared" si="12"/>
        <v>3</v>
      </c>
    </row>
    <row r="260" spans="1:10" x14ac:dyDescent="0.25">
      <c r="A260" t="s">
        <v>1070</v>
      </c>
      <c r="B260" s="7" t="s">
        <v>6</v>
      </c>
      <c r="C260">
        <v>140</v>
      </c>
      <c r="D260">
        <f t="shared" si="15"/>
        <v>7</v>
      </c>
      <c r="E260" s="1" t="s">
        <v>1242</v>
      </c>
      <c r="F260" t="s">
        <v>1489</v>
      </c>
      <c r="G260" cm="1">
        <f t="array" ref="G260">COUNT(IF(($A260=pokemon!$AC$2:$AC$415)*(pokemon!$D$2:$D$415 &lt;&gt; "Noble Form")*(ISBLANK(pokemon!$AK$2:$AK$415)), pokemon!$V$2:$V$415))</f>
        <v>1</v>
      </c>
      <c r="H260" cm="1">
        <f t="array" ref="H260">MIN(IF(($A260=pokemon!$AC$2:$AC$415)*(pokemon!$D$2:$D$415 &lt;&gt; "Noble Form")*(ISBLANK(pokemon!$AK$2:$AK$415)), pokemon!$V$2:$V$415))</f>
        <v>25</v>
      </c>
      <c r="I260" cm="1">
        <f t="array" ref="I260">MAX(IF(($A260=pokemon!$AC$2:$AC$415)*(pokemon!$D$2:$D$415 &lt;&gt; "Noble Form")*(ISBLANK(pokemon!$AK$2:$AK$415)), pokemon!$V$2:$V$415))</f>
        <v>25</v>
      </c>
      <c r="J260">
        <f t="shared" si="12"/>
        <v>0</v>
      </c>
    </row>
    <row r="261" spans="1:10" x14ac:dyDescent="0.25">
      <c r="A261" t="s">
        <v>1166</v>
      </c>
      <c r="B261" s="7" t="s">
        <v>6</v>
      </c>
      <c r="C261">
        <v>100</v>
      </c>
      <c r="D261">
        <f t="shared" si="15"/>
        <v>5</v>
      </c>
      <c r="F261" t="s">
        <v>1448</v>
      </c>
      <c r="G261" cm="1">
        <f t="array" ref="G261">COUNT(IF(($A261=pokemon!$AC$2:$AC$415)*(pokemon!$D$2:$D$415 &lt;&gt; "Noble Form")*(ISBLANK(pokemon!$AK$2:$AK$415)), pokemon!$V$2:$V$415))</f>
        <v>1</v>
      </c>
      <c r="H261" cm="1">
        <f t="array" ref="H261">MIN(IF(($A261=pokemon!$AC$2:$AC$415)*(pokemon!$D$2:$D$415 &lt;&gt; "Noble Form")*(ISBLANK(pokemon!$AK$2:$AK$415)), pokemon!$V$2:$V$415))</f>
        <v>21</v>
      </c>
      <c r="I261" cm="1">
        <f t="array" ref="I261">MAX(IF(($A261=pokemon!$AC$2:$AC$415)*(pokemon!$D$2:$D$415 &lt;&gt; "Noble Form")*(ISBLANK(pokemon!$AK$2:$AK$415)), pokemon!$V$2:$V$415))</f>
        <v>21</v>
      </c>
      <c r="J261">
        <f t="shared" ref="J261" si="16">I261-H261</f>
        <v>0</v>
      </c>
    </row>
    <row r="262" spans="1:10" x14ac:dyDescent="0.25">
      <c r="A262" t="s">
        <v>1471</v>
      </c>
      <c r="B262" s="13" t="s">
        <v>5</v>
      </c>
      <c r="C262">
        <v>100</v>
      </c>
      <c r="D262">
        <f t="shared" si="15"/>
        <v>5</v>
      </c>
      <c r="E262" s="1" t="s">
        <v>1242</v>
      </c>
      <c r="F262" t="s">
        <v>1472</v>
      </c>
      <c r="G262" cm="1">
        <f t="array" ref="G262">COUNT(IF(($A262=pokemon!$AC$2:$AC$415)*(pokemon!$D$2:$D$415 &lt;&gt; "Noble Form")*(ISBLANK(pokemon!$AK$2:$AK$415)), pokemon!$V$2:$V$415))</f>
        <v>1</v>
      </c>
      <c r="H262" cm="1">
        <f t="array" ref="H262">MIN(IF(($A262=pokemon!$AC$2:$AC$415)*(pokemon!$D$2:$D$415 &lt;&gt; "Noble Form")*(ISBLANK(pokemon!$AK$2:$AK$415)), pokemon!$V$2:$V$415))</f>
        <v>23</v>
      </c>
      <c r="I262" cm="1">
        <f t="array" ref="I262">MAX(IF(($A262=pokemon!$AC$2:$AC$415)*(pokemon!$D$2:$D$415 &lt;&gt; "Noble Form")*(ISBLANK(pokemon!$AK$2:$AK$415)), pokemon!$V$2:$V$415))</f>
        <v>23</v>
      </c>
      <c r="J262">
        <f>I262-H262</f>
        <v>0</v>
      </c>
    </row>
    <row r="263" spans="1:10" x14ac:dyDescent="0.25">
      <c r="A263" t="s">
        <v>1487</v>
      </c>
      <c r="B263" s="14" t="s">
        <v>26</v>
      </c>
      <c r="C263">
        <v>80</v>
      </c>
      <c r="D263">
        <f t="shared" si="15"/>
        <v>4</v>
      </c>
      <c r="E263" s="1" t="s">
        <v>1241</v>
      </c>
      <c r="F263" t="s">
        <v>1492</v>
      </c>
      <c r="G263" cm="1">
        <f t="array" ref="G263">COUNT(IF(($A263=pokemon!$AC$2:$AC$415)*(pokemon!$D$2:$D$415 &lt;&gt; "Noble Form")*(ISBLANK(pokemon!$AK$2:$AK$415)), pokemon!$V$2:$V$415))</f>
        <v>1</v>
      </c>
      <c r="H263" cm="1">
        <f t="array" ref="H263">MIN(IF(($A263=pokemon!$AC$2:$AC$415)*(pokemon!$D$2:$D$415 &lt;&gt; "Noble Form")*(ISBLANK(pokemon!$AK$2:$AK$415)), pokemon!$V$2:$V$415))</f>
        <v>20</v>
      </c>
      <c r="I263" cm="1">
        <f t="array" ref="I263">MAX(IF(($A263=pokemon!$AC$2:$AC$415)*(pokemon!$D$2:$D$415 &lt;&gt; "Noble Form")*(ISBLANK(pokemon!$AK$2:$AK$415)), pokemon!$V$2:$V$415))</f>
        <v>20</v>
      </c>
      <c r="J263">
        <f>I263-H263</f>
        <v>0</v>
      </c>
    </row>
  </sheetData>
  <sortState xmlns:xlrd2="http://schemas.microsoft.com/office/spreadsheetml/2017/richdata2" ref="A2:J260">
    <sortCondition ref="B2:B260"/>
    <sortCondition ref="D2:D260"/>
    <sortCondition ref="F2:F260"/>
    <sortCondition ref="A2:A260"/>
  </sortState>
  <phoneticPr fontId="18" type="noConversion"/>
  <conditionalFormatting sqref="A135:A141">
    <cfRule type="expression" dxfId="12" priority="22">
      <formula>NOT(ISNA(VLOOKUP(A135,XEI:XEI,1,FALSE)))</formula>
    </cfRule>
  </conditionalFormatting>
  <conditionalFormatting sqref="C2:C13 C231">
    <cfRule type="expression" priority="15">
      <formula>MOD((C2-10),20)=0</formula>
    </cfRule>
  </conditionalFormatting>
  <conditionalFormatting sqref="C7 C11:C12 C14:C34 C36:C260 C262:C263">
    <cfRule type="expression" dxfId="11" priority="13">
      <formula>MOD((C7-10),20)=0</formula>
    </cfRule>
  </conditionalFormatting>
  <conditionalFormatting sqref="C35">
    <cfRule type="expression" priority="1">
      <formula>MOD((C35-10),20)=0</formula>
    </cfRule>
  </conditionalFormatting>
  <conditionalFormatting sqref="G1:G1048576">
    <cfRule type="colorScale" priority="2">
      <colorScale>
        <cfvo type="min"/>
        <cfvo type="max"/>
        <color rgb="FFFCFCFF"/>
        <color rgb="FFF8696B"/>
      </colorScale>
    </cfRule>
  </conditionalFormatting>
  <conditionalFormatting sqref="G264:G1048576 G1">
    <cfRule type="colorScale" priority="3">
      <colorScale>
        <cfvo type="min"/>
        <cfvo type="max"/>
        <color rgb="FFFCFCFF"/>
        <color rgb="FFF8696B"/>
      </colorScale>
    </cfRule>
  </conditionalFormatting>
  <conditionalFormatting sqref="J1:J1048576">
    <cfRule type="colorScale" priority="4">
      <colorScale>
        <cfvo type="min"/>
        <cfvo type="max"/>
        <color rgb="FFFCFCFF"/>
        <color rgb="FFF8696B"/>
      </colorScale>
    </cfRule>
    <cfRule type="colorScale" priority="5">
      <colorScale>
        <cfvo type="min"/>
        <cfvo type="percentile" val="50"/>
        <cfvo type="max"/>
        <color rgb="FF63BE7B"/>
        <color rgb="FFFFEB84"/>
        <color rgb="FFF8696B"/>
      </colorScale>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50280-6A16-4374-AAEC-6C6C8F25DF8F}">
  <dimension ref="A1:H55"/>
  <sheetViews>
    <sheetView topLeftCell="A4" workbookViewId="0">
      <selection activeCell="E49" sqref="E49"/>
    </sheetView>
  </sheetViews>
  <sheetFormatPr defaultRowHeight="15" x14ac:dyDescent="0.25"/>
  <cols>
    <col min="1" max="1" width="9.5703125" bestFit="1" customWidth="1"/>
    <col min="2" max="2" width="10.7109375" bestFit="1" customWidth="1"/>
    <col min="3" max="3" width="10.7109375" customWidth="1"/>
    <col min="4" max="5" width="9.7109375" bestFit="1" customWidth="1"/>
    <col min="6" max="6" width="9.85546875" bestFit="1" customWidth="1"/>
    <col min="7" max="7" width="12" bestFit="1" customWidth="1"/>
  </cols>
  <sheetData>
    <row r="1" spans="1:6" x14ac:dyDescent="0.25">
      <c r="C1" t="s">
        <v>599</v>
      </c>
      <c r="D1" t="s">
        <v>600</v>
      </c>
      <c r="E1" t="s">
        <v>601</v>
      </c>
      <c r="F1" t="s">
        <v>557</v>
      </c>
    </row>
    <row r="2" spans="1:6" x14ac:dyDescent="0.25">
      <c r="A2" t="s">
        <v>301</v>
      </c>
      <c r="B2" s="27" t="s">
        <v>299</v>
      </c>
      <c r="C2">
        <f>SUM(COUNTIFS(pokemon!$N:$N, $A2, pokemon!$O:$O, $B2, pokemon!$AJ:$AJ, "weak", pokemon!$AN:$AN, "&lt;=1"), COUNTIFS(pokemon!$N:$N, $A2, pokemon!$O:$O, $B2, pokemon!$AJ:$AJ, "starter", pokemon!$AN:$AN, "&lt;=1"))</f>
        <v>0</v>
      </c>
      <c r="D2">
        <f>COUNTIFS(pokemon!$N:$N, $A2, pokemon!$O:$O, $B2, pokemon!$AJ:$AJ, D$1, pokemon!$AN:$AN, "&lt;=1")</f>
        <v>0</v>
      </c>
      <c r="E2">
        <f>COUNTIFS(pokemon!$N:$N, $A2, pokemon!$O:$O, $B2, pokemon!$AJ:$AJ, E$1, pokemon!$AN:$AN, "&lt;=1")</f>
        <v>2</v>
      </c>
      <c r="F2">
        <f>SUM(C2,D2,E2)</f>
        <v>2</v>
      </c>
    </row>
    <row r="3" spans="1:6" x14ac:dyDescent="0.25">
      <c r="A3" t="s">
        <v>301</v>
      </c>
      <c r="B3" s="27" t="s">
        <v>300</v>
      </c>
      <c r="C3">
        <f>SUM(COUNTIFS(pokemon!$N:$N, $A3, pokemon!$O:$O, $B3, pokemon!$AJ:$AJ, "weak", pokemon!$AN:$AN, "&lt;=1"), COUNTIFS(pokemon!$N:$N, $A3, pokemon!$O:$O, $B3, pokemon!$AJ:$AJ, "starter", pokemon!$AN:$AN, "&lt;=1"))</f>
        <v>0</v>
      </c>
      <c r="D3">
        <f>COUNTIFS(pokemon!$N:$N, $A3, pokemon!$O:$O, $B3, pokemon!$AJ:$AJ, D$1, pokemon!$AN:$AN, "&lt;=1")</f>
        <v>0</v>
      </c>
      <c r="E3">
        <f>COUNTIFS(pokemon!$N:$N, $A3, pokemon!$O:$O, $B3, pokemon!$AJ:$AJ, E$1, pokemon!$AN:$AN, "&lt;=1")</f>
        <v>0</v>
      </c>
      <c r="F3">
        <f t="shared" ref="F3:F14" si="0">SUM(C3,D3,E3)</f>
        <v>0</v>
      </c>
    </row>
    <row r="4" spans="1:6" x14ac:dyDescent="0.25">
      <c r="A4" t="s">
        <v>301</v>
      </c>
      <c r="B4" s="27" t="s">
        <v>302</v>
      </c>
      <c r="C4">
        <f>SUM(COUNTIFS(pokemon!$N:$N, $A4, pokemon!$O:$O, $B4, pokemon!$AJ:$AJ, "weak", pokemon!$AN:$AN, "&lt;=1"), COUNTIFS(pokemon!$N:$N, $A4, pokemon!$O:$O, $B4, pokemon!$AJ:$AJ, "starter", pokemon!$AN:$AN, "&lt;=1"))</f>
        <v>0</v>
      </c>
      <c r="D4">
        <f>COUNTIFS(pokemon!$N:$N, $A4, pokemon!$O:$O, $B4, pokemon!$AJ:$AJ, D$1, pokemon!$AN:$AN, "&lt;=1")</f>
        <v>0</v>
      </c>
      <c r="E4">
        <f>COUNTIFS(pokemon!$N:$N, $A4, pokemon!$O:$O, $B4, pokemon!$AJ:$AJ, E$1, pokemon!$AN:$AN, "&lt;=1")</f>
        <v>4</v>
      </c>
      <c r="F4">
        <f t="shared" si="0"/>
        <v>4</v>
      </c>
    </row>
    <row r="5" spans="1:6" x14ac:dyDescent="0.25">
      <c r="A5" t="s">
        <v>298</v>
      </c>
      <c r="B5" s="27" t="s">
        <v>299</v>
      </c>
      <c r="C5">
        <f>SUM(COUNTIFS(pokemon!$N:$N, $A5, pokemon!$O:$O, $B5, pokemon!$AJ:$AJ, "weak", pokemon!$AN:$AN, "&lt;=1"), COUNTIFS(pokemon!$N:$N, $A5, pokemon!$O:$O, $B5, pokemon!$AJ:$AJ, "starter", pokemon!$AN:$AN, "&lt;=1"))</f>
        <v>0</v>
      </c>
      <c r="D5">
        <f>COUNTIFS(pokemon!$N:$N, $A5, pokemon!$O:$O, $B5, pokemon!$AJ:$AJ, D$1, pokemon!$AN:$AN, "&lt;=1")</f>
        <v>0</v>
      </c>
      <c r="E5">
        <f>COUNTIFS(pokemon!$N:$N, $A5, pokemon!$O:$O, $B5, pokemon!$AJ:$AJ, E$1, pokemon!$AN:$AN, "&lt;=1")</f>
        <v>1</v>
      </c>
      <c r="F5">
        <f t="shared" si="0"/>
        <v>1</v>
      </c>
    </row>
    <row r="6" spans="1:6" x14ac:dyDescent="0.25">
      <c r="A6" t="s">
        <v>298</v>
      </c>
      <c r="B6" s="27" t="s">
        <v>300</v>
      </c>
      <c r="C6">
        <f>SUM(COUNTIFS(pokemon!$N:$N, $A6, pokemon!$O:$O, $B6, pokemon!$AJ:$AJ, "weak", pokemon!$AN:$AN, "&lt;=1"), COUNTIFS(pokemon!$N:$N, $A6, pokemon!$O:$O, $B6, pokemon!$AJ:$AJ, "starter", pokemon!$AN:$AN, "&lt;=1"))</f>
        <v>0</v>
      </c>
      <c r="D6">
        <f>COUNTIFS(pokemon!$N:$N, $A6, pokemon!$O:$O, $B6, pokemon!$AJ:$AJ, D$1, pokemon!$AN:$AN, "&lt;=1")</f>
        <v>1</v>
      </c>
      <c r="E6">
        <f>COUNTIFS(pokemon!$N:$N, $A6, pokemon!$O:$O, $B6, pokemon!$AJ:$AJ, E$1, pokemon!$AN:$AN, "&lt;=1")</f>
        <v>3</v>
      </c>
      <c r="F6">
        <f t="shared" si="0"/>
        <v>4</v>
      </c>
    </row>
    <row r="7" spans="1:6" x14ac:dyDescent="0.25">
      <c r="A7" t="s">
        <v>298</v>
      </c>
      <c r="B7" s="27" t="s">
        <v>302</v>
      </c>
      <c r="C7">
        <f>SUM(COUNTIFS(pokemon!$N:$N, $A7, pokemon!$O:$O, $B7, pokemon!$AJ:$AJ, "weak", pokemon!$AN:$AN, "&lt;=1"), COUNTIFS(pokemon!$N:$N, $A7, pokemon!$O:$O, $B7, pokemon!$AJ:$AJ, "starter", pokemon!$AN:$AN, "&lt;=1"))</f>
        <v>0</v>
      </c>
      <c r="D7">
        <f>COUNTIFS(pokemon!$N:$N, $A7, pokemon!$O:$O, $B7, pokemon!$AJ:$AJ, D$1, pokemon!$AN:$AN, "&lt;=1")</f>
        <v>1</v>
      </c>
      <c r="E7">
        <f>COUNTIFS(pokemon!$N:$N, $A7, pokemon!$O:$O, $B7, pokemon!$AJ:$AJ, E$1, pokemon!$AN:$AN, "&lt;=1")</f>
        <v>1</v>
      </c>
      <c r="F7">
        <f t="shared" si="0"/>
        <v>2</v>
      </c>
    </row>
    <row r="8" spans="1:6" x14ac:dyDescent="0.25">
      <c r="A8" t="s">
        <v>304</v>
      </c>
      <c r="B8" s="27" t="s">
        <v>299</v>
      </c>
      <c r="C8">
        <f>SUM(COUNTIFS(pokemon!$N:$N, $A8, pokemon!$O:$O, $B8, pokemon!$AJ:$AJ, "weak", pokemon!$AN:$AN, "&lt;=1"), COUNTIFS(pokemon!$N:$N, $A8, pokemon!$O:$O, $B8, pokemon!$AJ:$AJ, "starter", pokemon!$AN:$AN, "&lt;=1"))</f>
        <v>0</v>
      </c>
      <c r="D8">
        <f>COUNTIFS(pokemon!$N:$N, $A8, pokemon!$O:$O, $B8, pokemon!$AJ:$AJ, D$1, pokemon!$AN:$AN, "&lt;=1")</f>
        <v>1</v>
      </c>
      <c r="E8">
        <f>COUNTIFS(pokemon!$N:$N, $A8, pokemon!$O:$O, $B8, pokemon!$AJ:$AJ, E$1, pokemon!$AN:$AN, "&lt;=1")</f>
        <v>1</v>
      </c>
      <c r="F8">
        <f t="shared" si="0"/>
        <v>2</v>
      </c>
    </row>
    <row r="9" spans="1:6" x14ac:dyDescent="0.25">
      <c r="A9" t="s">
        <v>304</v>
      </c>
      <c r="B9" s="27" t="s">
        <v>300</v>
      </c>
      <c r="C9">
        <f>SUM(COUNTIFS(pokemon!$N:$N, $A9, pokemon!$O:$O, $B9, pokemon!$AJ:$AJ, "weak", pokemon!$AN:$AN, "&lt;=1"), COUNTIFS(pokemon!$N:$N, $A9, pokemon!$O:$O, $B9, pokemon!$AJ:$AJ, "starter", pokemon!$AN:$AN, "&lt;=1"))</f>
        <v>0</v>
      </c>
      <c r="D9">
        <f>COUNTIFS(pokemon!$N:$N, $A9, pokemon!$O:$O, $B9, pokemon!$AJ:$AJ, D$1, pokemon!$AN:$AN, "&lt;=1")</f>
        <v>0</v>
      </c>
      <c r="E9">
        <f>COUNTIFS(pokemon!$N:$N, $A9, pokemon!$O:$O, $B9, pokemon!$AJ:$AJ, E$1, pokemon!$AN:$AN, "&lt;=1")</f>
        <v>2</v>
      </c>
      <c r="F9">
        <f t="shared" si="0"/>
        <v>2</v>
      </c>
    </row>
    <row r="10" spans="1:6" x14ac:dyDescent="0.25">
      <c r="A10" t="s">
        <v>304</v>
      </c>
      <c r="B10" s="27" t="s">
        <v>302</v>
      </c>
      <c r="C10">
        <f>SUM(COUNTIFS(pokemon!$N:$N, $A10, pokemon!$O:$O, $B10, pokemon!$AJ:$AJ, "weak", pokemon!$AN:$AN, "&lt;=1"), COUNTIFS(pokemon!$N:$N, $A10, pokemon!$O:$O, $B10, pokemon!$AJ:$AJ, "starter", pokemon!$AN:$AN, "&lt;=1"))</f>
        <v>0</v>
      </c>
      <c r="D10">
        <f>COUNTIFS(pokemon!$N:$N, $A10, pokemon!$O:$O, $B10, pokemon!$AJ:$AJ, D$1, pokemon!$AN:$AN, "&lt;=1")</f>
        <v>0</v>
      </c>
      <c r="E10">
        <f>COUNTIFS(pokemon!$N:$N, $A10, pokemon!$O:$O, $B10, pokemon!$AJ:$AJ, E$1, pokemon!$AN:$AN, "&lt;=1")</f>
        <v>1</v>
      </c>
      <c r="F10">
        <f t="shared" si="0"/>
        <v>1</v>
      </c>
    </row>
    <row r="11" spans="1:6" x14ac:dyDescent="0.25">
      <c r="A11" t="s">
        <v>303</v>
      </c>
      <c r="B11" s="27" t="s">
        <v>299</v>
      </c>
      <c r="C11">
        <f>SUM(COUNTIFS(pokemon!$N:$N, $A11, pokemon!$O:$O, $B11, pokemon!$AJ:$AJ, "weak", pokemon!$AN:$AN, "&lt;=1"), COUNTIFS(pokemon!$N:$N, $A11, pokemon!$O:$O, $B11, pokemon!$AJ:$AJ, "starter", pokemon!$AN:$AN, "&lt;=1"))</f>
        <v>0</v>
      </c>
      <c r="D11">
        <f>COUNTIFS(pokemon!$N:$N, $A11, pokemon!$O:$O, $B11, pokemon!$AJ:$AJ, D$1, pokemon!$AN:$AN, "&lt;=1")</f>
        <v>0</v>
      </c>
      <c r="E11">
        <f>COUNTIFS(pokemon!$N:$N, $A11, pokemon!$O:$O, $B11, pokemon!$AJ:$AJ, E$1, pokemon!$AN:$AN, "&lt;=1")</f>
        <v>3</v>
      </c>
      <c r="F11">
        <f t="shared" si="0"/>
        <v>3</v>
      </c>
    </row>
    <row r="12" spans="1:6" x14ac:dyDescent="0.25">
      <c r="A12" t="s">
        <v>303</v>
      </c>
      <c r="B12" s="27" t="s">
        <v>300</v>
      </c>
      <c r="C12">
        <f>SUM(COUNTIFS(pokemon!$N:$N, $A12, pokemon!$O:$O, $B12, pokemon!$AJ:$AJ, "weak", pokemon!$AN:$AN, "&lt;=1"), COUNTIFS(pokemon!$N:$N, $A12, pokemon!$O:$O, $B12, pokemon!$AJ:$AJ, "starter", pokemon!$AN:$AN, "&lt;=1"))</f>
        <v>0</v>
      </c>
      <c r="D12">
        <f>COUNTIFS(pokemon!$N:$N, $A12, pokemon!$O:$O, $B12, pokemon!$AJ:$AJ, D$1, pokemon!$AN:$AN, "&lt;=1")</f>
        <v>0</v>
      </c>
      <c r="E12">
        <f>COUNTIFS(pokemon!$N:$N, $A12, pokemon!$O:$O, $B12, pokemon!$AJ:$AJ, E$1, pokemon!$AN:$AN, "&lt;=1")</f>
        <v>0</v>
      </c>
      <c r="F12">
        <f t="shared" si="0"/>
        <v>0</v>
      </c>
    </row>
    <row r="13" spans="1:6" x14ac:dyDescent="0.25">
      <c r="A13" t="s">
        <v>303</v>
      </c>
      <c r="B13" s="27" t="s">
        <v>302</v>
      </c>
      <c r="C13">
        <f>SUM(COUNTIFS(pokemon!$N:$N, $A13, pokemon!$O:$O, $B13, pokemon!$AJ:$AJ, "weak", pokemon!$AN:$AN, "&lt;=1"), COUNTIFS(pokemon!$N:$N, $A13, pokemon!$O:$O, $B13, pokemon!$AJ:$AJ, "starter", pokemon!$AN:$AN, "&lt;=1"))</f>
        <v>0</v>
      </c>
      <c r="D13">
        <f>COUNTIFS(pokemon!$N:$N, $A13, pokemon!$O:$O, $B13, pokemon!$AJ:$AJ, D$1, pokemon!$AN:$AN, "&lt;=1")</f>
        <v>0</v>
      </c>
      <c r="E13">
        <f>COUNTIFS(pokemon!$N:$N, $A13, pokemon!$O:$O, $B13, pokemon!$AJ:$AJ, E$1, pokemon!$AN:$AN, "&lt;=1")</f>
        <v>0</v>
      </c>
      <c r="F13">
        <f t="shared" si="0"/>
        <v>0</v>
      </c>
    </row>
    <row r="14" spans="1:6" x14ac:dyDescent="0.25">
      <c r="B14" s="27" t="s">
        <v>549</v>
      </c>
      <c r="C14">
        <f>SUM(COUNTIFS(pokemon!$O:$O, $B14, pokemon!$AJ:$AJ, "starter", pokemon!$AN:$AN, "&lt;=1"), COUNTIFS(pokemon!$O:$O, $B14, pokemon!$AJ:$AJ, "weak", pokemon!$AN:$AN, "&lt;=1"))</f>
        <v>0</v>
      </c>
      <c r="D14">
        <f>COUNTIFS(pokemon!$O:$O, $B14, pokemon!$AJ:$AJ, D$1, pokemon!$AN:$AN, "&lt;=1")</f>
        <v>1</v>
      </c>
      <c r="E14">
        <f>COUNTIFS(pokemon!$O:$O, $B14, pokemon!$AJ:$AJ, E$1, pokemon!$AN:$AN, "&lt;=1")</f>
        <v>2</v>
      </c>
      <c r="F14">
        <f t="shared" si="0"/>
        <v>3</v>
      </c>
    </row>
    <row r="15" spans="1:6" x14ac:dyDescent="0.25">
      <c r="C15">
        <f>SUM(C2:C14)</f>
        <v>0</v>
      </c>
      <c r="D15">
        <f>SUM(D2:D14)</f>
        <v>4</v>
      </c>
      <c r="E15">
        <f>SUM(E2:E14)</f>
        <v>20</v>
      </c>
      <c r="F15">
        <f>SUM(C15:E15)</f>
        <v>24</v>
      </c>
    </row>
    <row r="17" spans="1:7" x14ac:dyDescent="0.25">
      <c r="E17" t="s">
        <v>626</v>
      </c>
      <c r="F17" t="s">
        <v>627</v>
      </c>
      <c r="G17" t="s">
        <v>628</v>
      </c>
    </row>
    <row r="18" spans="1:7" x14ac:dyDescent="0.25">
      <c r="A18" t="s">
        <v>8</v>
      </c>
      <c r="B18">
        <f>COUNTIFS(pokemon!E:E, $A18, pokemon!$AI:$AI, 0, pokemon!$AK:$AK, "")</f>
        <v>33</v>
      </c>
      <c r="D18">
        <f>COUNTIFS(pokemon!F:F, $A18, pokemon!$AI:$AI, 0, pokemon!$AK:$AK, "")</f>
        <v>0</v>
      </c>
      <c r="E18">
        <f t="shared" ref="E18:E35" si="1">SUM(B18,D18)</f>
        <v>33</v>
      </c>
      <c r="F18">
        <f>SUMIF(moves!B:B, A18, moves!G:G)</f>
        <v>39</v>
      </c>
      <c r="G18" s="24">
        <f>F18/E18</f>
        <v>1.1818181818181819</v>
      </c>
    </row>
    <row r="19" spans="1:7" x14ac:dyDescent="0.25">
      <c r="A19" t="s">
        <v>4</v>
      </c>
      <c r="B19">
        <f>COUNTIFS(pokemon!E:E, $A19, pokemon!$AI:$AI, 0, pokemon!$AK:$AK, "")</f>
        <v>21</v>
      </c>
      <c r="D19">
        <f>COUNTIFS(pokemon!F:F, $A19, pokemon!$AI:$AI, 0, pokemon!$AK:$AK, "")</f>
        <v>9</v>
      </c>
      <c r="E19">
        <f t="shared" si="1"/>
        <v>30</v>
      </c>
      <c r="F19">
        <f>SUMIF(moves!B:B, A19, moves!G:G)</f>
        <v>25</v>
      </c>
      <c r="G19" s="24">
        <f t="shared" ref="G19:G34" si="2">F19/E19</f>
        <v>0.83333333333333337</v>
      </c>
    </row>
    <row r="20" spans="1:7" x14ac:dyDescent="0.25">
      <c r="A20" t="s">
        <v>6</v>
      </c>
      <c r="B20">
        <f>COUNTIFS(pokemon!E:E, $A20, pokemon!$AI:$AI, 0, pokemon!$AK:$AK, "")</f>
        <v>43</v>
      </c>
      <c r="D20">
        <f>COUNTIFS(pokemon!F:F, $A20, pokemon!$AI:$AI, 0, pokemon!$AK:$AK, "")</f>
        <v>5</v>
      </c>
      <c r="E20">
        <f t="shared" si="1"/>
        <v>48</v>
      </c>
      <c r="F20">
        <f>SUMIF(moves!B:B, A20, moves!G:G)</f>
        <v>30</v>
      </c>
      <c r="G20" s="24">
        <f t="shared" si="2"/>
        <v>0.625</v>
      </c>
    </row>
    <row r="21" spans="1:7" x14ac:dyDescent="0.25">
      <c r="A21" t="s">
        <v>11</v>
      </c>
      <c r="B21">
        <f>COUNTIFS(pokemon!E:E, $A21, pokemon!$AI:$AI, 0, pokemon!$AK:$AK, "")</f>
        <v>22</v>
      </c>
      <c r="D21">
        <f>COUNTIFS(pokemon!F:F, $A21, pokemon!$AI:$AI, 0, pokemon!$AK:$AK, "")</f>
        <v>0</v>
      </c>
      <c r="E21">
        <f t="shared" si="1"/>
        <v>22</v>
      </c>
      <c r="F21">
        <f>SUMIF(moves!B:B, A21, moves!G:G)</f>
        <v>19</v>
      </c>
      <c r="G21" s="24">
        <f t="shared" si="2"/>
        <v>0.86363636363636365</v>
      </c>
    </row>
    <row r="22" spans="1:7" x14ac:dyDescent="0.25">
      <c r="A22" t="s">
        <v>2</v>
      </c>
      <c r="B22">
        <f>COUNTIFS(pokemon!E:E, $A22, pokemon!$AI:$AI, 0, pokemon!$AK:$AK, "")</f>
        <v>23</v>
      </c>
      <c r="D22">
        <f>COUNTIFS(pokemon!F:F, $A22, pokemon!$AI:$AI, 0, pokemon!$AK:$AK, "")</f>
        <v>4</v>
      </c>
      <c r="E22">
        <f t="shared" si="1"/>
        <v>27</v>
      </c>
      <c r="F22">
        <f>SUMIF(moves!B:B, A22, moves!G:G)</f>
        <v>20</v>
      </c>
      <c r="G22" s="24">
        <f t="shared" si="2"/>
        <v>0.7407407407407407</v>
      </c>
    </row>
    <row r="23" spans="1:7" x14ac:dyDescent="0.25">
      <c r="A23" t="s">
        <v>14</v>
      </c>
      <c r="B23">
        <f>COUNTIFS(pokemon!E:E, $A23, pokemon!$AI:$AI, 0, pokemon!$AK:$AK, "")</f>
        <v>13</v>
      </c>
      <c r="D23">
        <f>COUNTIFS(pokemon!F:F, $A23, pokemon!$AI:$AI, 0, pokemon!$AK:$AK, "")</f>
        <v>4</v>
      </c>
      <c r="E23">
        <f t="shared" si="1"/>
        <v>17</v>
      </c>
      <c r="F23">
        <f>SUMIF(moves!B:B, A23, moves!G:G)</f>
        <v>16</v>
      </c>
      <c r="G23" s="24">
        <f t="shared" si="2"/>
        <v>0.94117647058823528</v>
      </c>
    </row>
    <row r="24" spans="1:7" x14ac:dyDescent="0.25">
      <c r="A24" t="s">
        <v>22</v>
      </c>
      <c r="B24">
        <f>COUNTIFS(pokemon!E:E, $A24, pokemon!$AI:$AI, 0, pokemon!$AK:$AK, "")</f>
        <v>11</v>
      </c>
      <c r="D24">
        <f>COUNTIFS(pokemon!F:F, $A24, pokemon!$AI:$AI, 0, pokemon!$AK:$AK, "")</f>
        <v>8</v>
      </c>
      <c r="E24">
        <f t="shared" si="1"/>
        <v>19</v>
      </c>
      <c r="F24">
        <f>SUMIF(moves!B:B, A24, moves!G:G)</f>
        <v>13</v>
      </c>
      <c r="G24" s="24">
        <f t="shared" si="2"/>
        <v>0.68421052631578949</v>
      </c>
    </row>
    <row r="25" spans="1:7" x14ac:dyDescent="0.25">
      <c r="A25" t="s">
        <v>3</v>
      </c>
      <c r="B25">
        <f>COUNTIFS(pokemon!E:E, $A25, pokemon!$AI:$AI, 0, pokemon!$AK:$AK, "")</f>
        <v>15</v>
      </c>
      <c r="D25">
        <f>COUNTIFS(pokemon!F:F, $A25, pokemon!$AI:$AI, 0, pokemon!$AK:$AK, "")</f>
        <v>11</v>
      </c>
      <c r="E25">
        <f t="shared" si="1"/>
        <v>26</v>
      </c>
      <c r="F25">
        <f>SUMIF(moves!B:B, A25, moves!G:G)</f>
        <v>16</v>
      </c>
      <c r="G25" s="24">
        <f t="shared" si="2"/>
        <v>0.61538461538461542</v>
      </c>
    </row>
    <row r="26" spans="1:7" x14ac:dyDescent="0.25">
      <c r="A26" t="s">
        <v>13</v>
      </c>
      <c r="B26">
        <f>COUNTIFS(pokemon!E:E, $A26, pokemon!$AI:$AI, 0, pokemon!$AK:$AK, "")</f>
        <v>9</v>
      </c>
      <c r="D26">
        <f>COUNTIFS(pokemon!F:F, $A26, pokemon!$AI:$AI, 0, pokemon!$AK:$AK, "")</f>
        <v>21</v>
      </c>
      <c r="E26">
        <f t="shared" si="1"/>
        <v>30</v>
      </c>
      <c r="F26">
        <f>SUMIF(moves!B:B, A26, moves!G:G)</f>
        <v>14</v>
      </c>
      <c r="G26" s="24">
        <f t="shared" si="2"/>
        <v>0.46666666666666667</v>
      </c>
    </row>
    <row r="27" spans="1:7" x14ac:dyDescent="0.25">
      <c r="A27" t="s">
        <v>5</v>
      </c>
      <c r="B27">
        <f>COUNTIFS(pokemon!E:E, $A27, pokemon!$AI:$AI, 0, pokemon!$AK:$AK, "")</f>
        <v>0</v>
      </c>
      <c r="D27">
        <f>COUNTIFS(pokemon!F:F, $A27, pokemon!$AI:$AI, 0, pokemon!$AK:$AK, "")</f>
        <v>40</v>
      </c>
      <c r="E27">
        <f t="shared" si="1"/>
        <v>40</v>
      </c>
      <c r="F27">
        <f>SUMIF(moves!B:B, A27, moves!G:G)</f>
        <v>16</v>
      </c>
      <c r="G27" s="24">
        <f t="shared" si="2"/>
        <v>0.4</v>
      </c>
    </row>
    <row r="28" spans="1:7" x14ac:dyDescent="0.25">
      <c r="A28" t="s">
        <v>26</v>
      </c>
      <c r="B28">
        <f>COUNTIFS(pokemon!E:E, $A28, pokemon!$AI:$AI, 0, pokemon!$AK:$AK, "")</f>
        <v>19</v>
      </c>
      <c r="D28">
        <f>COUNTIFS(pokemon!F:F, $A28, pokemon!$AI:$AI, 0, pokemon!$AK:$AK, "")</f>
        <v>14</v>
      </c>
      <c r="E28">
        <f t="shared" si="1"/>
        <v>33</v>
      </c>
      <c r="F28">
        <f>SUMIF(moves!B:B, A28, moves!G:G)</f>
        <v>26</v>
      </c>
      <c r="G28" s="24">
        <f t="shared" si="2"/>
        <v>0.78787878787878785</v>
      </c>
    </row>
    <row r="29" spans="1:7" x14ac:dyDescent="0.25">
      <c r="A29" t="s">
        <v>7</v>
      </c>
      <c r="B29">
        <f>COUNTIFS(pokemon!E:E, $A29, pokemon!$AI:$AI, 0, pokemon!$AK:$AK, "")</f>
        <v>25</v>
      </c>
      <c r="D29">
        <f>COUNTIFS(pokemon!F:F, $A29, pokemon!$AI:$AI, 0, pokemon!$AK:$AK, "")</f>
        <v>1</v>
      </c>
      <c r="E29">
        <f t="shared" si="1"/>
        <v>26</v>
      </c>
      <c r="F29">
        <f>SUMIF(moves!B:B, A29, moves!G:G)</f>
        <v>20</v>
      </c>
      <c r="G29" s="24">
        <f t="shared" si="2"/>
        <v>0.76923076923076927</v>
      </c>
    </row>
    <row r="30" spans="1:7" x14ac:dyDescent="0.25">
      <c r="A30" t="s">
        <v>33</v>
      </c>
      <c r="B30">
        <f>COUNTIFS(pokemon!E:E, $A30, pokemon!$AI:$AI, 0, pokemon!$AK:$AK, "")</f>
        <v>22</v>
      </c>
      <c r="D30">
        <f>COUNTIFS(pokemon!F:F, $A30, pokemon!$AI:$AI, 0, pokemon!$AK:$AK, "")</f>
        <v>4</v>
      </c>
      <c r="E30">
        <f t="shared" si="1"/>
        <v>26</v>
      </c>
      <c r="F30">
        <f>SUMIF(moves!B:B, A30, moves!G:G)</f>
        <v>21</v>
      </c>
      <c r="G30" s="24">
        <f t="shared" si="2"/>
        <v>0.80769230769230771</v>
      </c>
    </row>
    <row r="31" spans="1:7" x14ac:dyDescent="0.25">
      <c r="A31" t="s">
        <v>42</v>
      </c>
      <c r="B31">
        <f>COUNTIFS(pokemon!E:E, $A31, pokemon!$AI:$AI, 0, pokemon!$AK:$AK, "")</f>
        <v>15</v>
      </c>
      <c r="D31">
        <f>COUNTIFS(pokemon!F:F, $A31, pokemon!$AI:$AI, 0, pokemon!$AK:$AK, "")</f>
        <v>8</v>
      </c>
      <c r="E31">
        <f t="shared" si="1"/>
        <v>23</v>
      </c>
      <c r="F31">
        <f>SUMIF(moves!B:B, A31, moves!G:G)</f>
        <v>13</v>
      </c>
      <c r="G31" s="24">
        <f t="shared" si="2"/>
        <v>0.56521739130434778</v>
      </c>
    </row>
    <row r="32" spans="1:7" x14ac:dyDescent="0.25">
      <c r="A32" t="s">
        <v>67</v>
      </c>
      <c r="B32">
        <f>COUNTIFS(pokemon!E:E, $A32, pokemon!$AI:$AI, 0, pokemon!$AK:$AK, "")</f>
        <v>13</v>
      </c>
      <c r="D32">
        <f>COUNTIFS(pokemon!F:F, $A32, pokemon!$AI:$AI, 0, pokemon!$AK:$AK, "")</f>
        <v>8</v>
      </c>
      <c r="E32">
        <f t="shared" si="1"/>
        <v>21</v>
      </c>
      <c r="F32">
        <f>SUMIF(moves!B:B, A32, moves!G:G)</f>
        <v>16</v>
      </c>
      <c r="G32" s="24">
        <f t="shared" si="2"/>
        <v>0.76190476190476186</v>
      </c>
    </row>
    <row r="33" spans="1:8" x14ac:dyDescent="0.25">
      <c r="A33" t="s">
        <v>9</v>
      </c>
      <c r="B33">
        <f>COUNTIFS(pokemon!E:E, $A33, pokemon!$AI:$AI, 0, pokemon!$AK:$AK, "")</f>
        <v>16</v>
      </c>
      <c r="D33">
        <f>COUNTIFS(pokemon!F:F, $A33, pokemon!$AI:$AI, 0, pokemon!$AK:$AK, "")</f>
        <v>6</v>
      </c>
      <c r="E33">
        <f t="shared" si="1"/>
        <v>22</v>
      </c>
      <c r="F33">
        <f>SUMIF(moves!B:B, A33, moves!G:G)</f>
        <v>20</v>
      </c>
      <c r="G33" s="24">
        <f t="shared" si="2"/>
        <v>0.90909090909090906</v>
      </c>
    </row>
    <row r="34" spans="1:8" x14ac:dyDescent="0.25">
      <c r="A34" t="s">
        <v>39</v>
      </c>
      <c r="B34">
        <f>COUNTIFS(pokemon!E:E, $A34, pokemon!$AI:$AI, 0, pokemon!$AK:$AK, "")</f>
        <v>12</v>
      </c>
      <c r="D34">
        <f>COUNTIFS(pokemon!F:F, $A34, pokemon!$AI:$AI, 0, pokemon!$AK:$AK, "")</f>
        <v>13</v>
      </c>
      <c r="E34">
        <f t="shared" si="1"/>
        <v>25</v>
      </c>
      <c r="F34">
        <f>SUMIF(moves!B:B, A34, moves!G:G)</f>
        <v>20</v>
      </c>
      <c r="G34" s="24">
        <f t="shared" si="2"/>
        <v>0.8</v>
      </c>
    </row>
    <row r="35" spans="1:8" x14ac:dyDescent="0.25">
      <c r="A35" t="s">
        <v>16</v>
      </c>
      <c r="B35">
        <f>COUNTIFS(pokemon!E:E, $A35, pokemon!$AI:$AI, 0, pokemon!$AK:$AK, "")</f>
        <v>7</v>
      </c>
      <c r="D35">
        <f>COUNTIFS(pokemon!F:F, $A35, pokemon!$AI:$AI, 0, pokemon!$AK:$AK, "")</f>
        <v>13</v>
      </c>
      <c r="E35">
        <f t="shared" si="1"/>
        <v>20</v>
      </c>
      <c r="F35">
        <f>SUMIF(moves!B:B, A35, moves!G:G)</f>
        <v>13</v>
      </c>
      <c r="G35" s="24">
        <f>F35/E35</f>
        <v>0.65</v>
      </c>
    </row>
    <row r="37" spans="1:8" x14ac:dyDescent="0.25">
      <c r="B37" t="s">
        <v>1074</v>
      </c>
      <c r="D37" t="s">
        <v>599</v>
      </c>
      <c r="E37" t="s">
        <v>600</v>
      </c>
      <c r="F37" t="s">
        <v>601</v>
      </c>
      <c r="G37" t="s">
        <v>1069</v>
      </c>
      <c r="H37" t="s">
        <v>557</v>
      </c>
    </row>
    <row r="38" spans="1:8" x14ac:dyDescent="0.25">
      <c r="A38" t="s">
        <v>8</v>
      </c>
      <c r="B38">
        <f>COUNTIFS(pokemon!$E:$E, $A38, pokemon!$AJ:$AJ, B$37, pokemon!$AN:$AN, "&lt;=1")+COUNTIFS(pokemon!$F:$F, $A38, pokemon!$AJ:$AJ, B$37, pokemon!$AN:$AN, "&lt;=1")</f>
        <v>0</v>
      </c>
      <c r="D38">
        <f>COUNTIFS(pokemon!$E:$E, $A38, pokemon!$AJ:$AJ, D$37, pokemon!$AN:$AN, "&lt;=1")+COUNTIFS(pokemon!$F:$F, $A38, pokemon!$AJ:$AJ, D$37, pokemon!$AN:$AN, "&lt;=1")</f>
        <v>0</v>
      </c>
      <c r="E38">
        <f>COUNTIFS(pokemon!$E:$E, $A38, pokemon!$AJ:$AJ, E$37, pokemon!$AN:$AN, "&lt;=1")+COUNTIFS(pokemon!$F:$F, $A38, pokemon!$AJ:$AJ, E$37, pokemon!$AN:$AN, "&lt;=1")</f>
        <v>0</v>
      </c>
      <c r="F38">
        <f>COUNTIFS(pokemon!$E:$E, $A38, pokemon!$AJ:$AJ, F$37, pokemon!$AN:$AN, "&lt;=1")+COUNTIFS(pokemon!$F:$F, $A38, pokemon!$AJ:$AJ, F$37, pokemon!$AN:$AN, "&lt;=1")</f>
        <v>2</v>
      </c>
      <c r="G38">
        <f>COUNTIFS(pokemon!$E:$E, $A38, pokemon!$AJ:$AJ, G$37, pokemon!$AN:$AN, "&lt;=1")+COUNTIFS(pokemon!$F:$F, $A38, pokemon!$AJ:$AJ, G$37, pokemon!$AN:$AN, "&lt;=1")</f>
        <v>0</v>
      </c>
      <c r="H38">
        <f>SUM(B38:G38)</f>
        <v>2</v>
      </c>
    </row>
    <row r="39" spans="1:8" x14ac:dyDescent="0.25">
      <c r="A39" t="s">
        <v>4</v>
      </c>
      <c r="B39">
        <f>COUNTIFS(pokemon!$E:$E, $A39, pokemon!$AJ:$AJ, B$37, pokemon!$AN:$AN, "&lt;=1")+COUNTIFS(pokemon!$F:$F, $A39, pokemon!$AJ:$AJ, B$37, pokemon!$AN:$AN, "&lt;=1")</f>
        <v>0</v>
      </c>
      <c r="D39">
        <f>COUNTIFS(pokemon!$E:$E, $A39, pokemon!$AJ:$AJ, D$37, pokemon!$AN:$AN, "&lt;=1")+COUNTIFS(pokemon!$F:$F, $A39, pokemon!$AJ:$AJ, D$37, pokemon!$AN:$AN, "&lt;=1")</f>
        <v>0</v>
      </c>
      <c r="E39">
        <f>COUNTIFS(pokemon!$E:$E, $A39, pokemon!$AJ:$AJ, E$37, pokemon!$AN:$AN, "&lt;=1")+COUNTIFS(pokemon!$F:$F, $A39, pokemon!$AJ:$AJ, E$37, pokemon!$AN:$AN, "&lt;=1")</f>
        <v>0</v>
      </c>
      <c r="F39">
        <f>COUNTIFS(pokemon!$E:$E, $A39, pokemon!$AJ:$AJ, F$37, pokemon!$AN:$AN, "&lt;=1")+COUNTIFS(pokemon!$F:$F, $A39, pokemon!$AJ:$AJ, F$37, pokemon!$AN:$AN, "&lt;=1")</f>
        <v>4</v>
      </c>
      <c r="G39">
        <f>COUNTIFS(pokemon!$E:$E, $A39, pokemon!$AJ:$AJ, G$37, pokemon!$AN:$AN, "&lt;=1")+COUNTIFS(pokemon!$F:$F, $A39, pokemon!$AJ:$AJ, G$37, pokemon!$AN:$AN, "&lt;=1")</f>
        <v>0</v>
      </c>
      <c r="H39">
        <f t="shared" ref="H39:H55" si="3">SUM(B39:G39)</f>
        <v>4</v>
      </c>
    </row>
    <row r="40" spans="1:8" x14ac:dyDescent="0.25">
      <c r="A40" t="s">
        <v>6</v>
      </c>
      <c r="B40">
        <f>COUNTIFS(pokemon!$E:$E, $A40, pokemon!$AJ:$AJ, B$37, pokemon!$AN:$AN, "&lt;=1")+COUNTIFS(pokemon!$F:$F, $A40, pokemon!$AJ:$AJ, B$37, pokemon!$AN:$AN, "&lt;=1")</f>
        <v>0</v>
      </c>
      <c r="D40">
        <f>COUNTIFS(pokemon!$E:$E, $A40, pokemon!$AJ:$AJ, D$37, pokemon!$AN:$AN, "&lt;=1")+COUNTIFS(pokemon!$F:$F, $A40, pokemon!$AJ:$AJ, D$37, pokemon!$AN:$AN, "&lt;=1")</f>
        <v>0</v>
      </c>
      <c r="E40">
        <f>COUNTIFS(pokemon!$E:$E, $A40, pokemon!$AJ:$AJ, E$37, pokemon!$AN:$AN, "&lt;=1")+COUNTIFS(pokemon!$F:$F, $A40, pokemon!$AJ:$AJ, E$37, pokemon!$AN:$AN, "&lt;=1")</f>
        <v>0</v>
      </c>
      <c r="F40">
        <f>COUNTIFS(pokemon!$E:$E, $A40, pokemon!$AJ:$AJ, F$37, pokemon!$AN:$AN, "&lt;=1")+COUNTIFS(pokemon!$F:$F, $A40, pokemon!$AJ:$AJ, F$37, pokemon!$AN:$AN, "&lt;=1")</f>
        <v>3</v>
      </c>
      <c r="G40">
        <f>COUNTIFS(pokemon!$E:$E, $A40, pokemon!$AJ:$AJ, G$37, pokemon!$AN:$AN, "&lt;=1")+COUNTIFS(pokemon!$F:$F, $A40, pokemon!$AJ:$AJ, G$37, pokemon!$AN:$AN, "&lt;=1")</f>
        <v>1</v>
      </c>
      <c r="H40">
        <f t="shared" si="3"/>
        <v>4</v>
      </c>
    </row>
    <row r="41" spans="1:8" x14ac:dyDescent="0.25">
      <c r="A41" t="s">
        <v>11</v>
      </c>
      <c r="B41">
        <f>COUNTIFS(pokemon!$E:$E, $A41, pokemon!$AJ:$AJ, B$37, pokemon!$AN:$AN, "&lt;=1")+COUNTIFS(pokemon!$F:$F, $A41, pokemon!$AJ:$AJ, B$37, pokemon!$AN:$AN, "&lt;=1")</f>
        <v>0</v>
      </c>
      <c r="D41">
        <f>COUNTIFS(pokemon!$E:$E, $A41, pokemon!$AJ:$AJ, D$37, pokemon!$AN:$AN, "&lt;=1")+COUNTIFS(pokemon!$F:$F, $A41, pokemon!$AJ:$AJ, D$37, pokemon!$AN:$AN, "&lt;=1")</f>
        <v>0</v>
      </c>
      <c r="E41">
        <f>COUNTIFS(pokemon!$E:$E, $A41, pokemon!$AJ:$AJ, E$37, pokemon!$AN:$AN, "&lt;=1")+COUNTIFS(pokemon!$F:$F, $A41, pokemon!$AJ:$AJ, E$37, pokemon!$AN:$AN, "&lt;=1")</f>
        <v>1</v>
      </c>
      <c r="F41">
        <f>COUNTIFS(pokemon!$E:$E, $A41, pokemon!$AJ:$AJ, F$37, pokemon!$AN:$AN, "&lt;=1")+COUNTIFS(pokemon!$F:$F, $A41, pokemon!$AJ:$AJ, F$37, pokemon!$AN:$AN, "&lt;=1")</f>
        <v>2</v>
      </c>
      <c r="G41">
        <f>COUNTIFS(pokemon!$E:$E, $A41, pokemon!$AJ:$AJ, G$37, pokemon!$AN:$AN, "&lt;=1")+COUNTIFS(pokemon!$F:$F, $A41, pokemon!$AJ:$AJ, G$37, pokemon!$AN:$AN, "&lt;=1")</f>
        <v>1</v>
      </c>
      <c r="H41">
        <f t="shared" si="3"/>
        <v>4</v>
      </c>
    </row>
    <row r="42" spans="1:8" x14ac:dyDescent="0.25">
      <c r="A42" t="s">
        <v>2</v>
      </c>
      <c r="B42">
        <f>COUNTIFS(pokemon!$E:$E, $A42, pokemon!$AJ:$AJ, B$37, pokemon!$AN:$AN, "&lt;=1")+COUNTIFS(pokemon!$F:$F, $A42, pokemon!$AJ:$AJ, B$37, pokemon!$AN:$AN, "&lt;=1")</f>
        <v>0</v>
      </c>
      <c r="D42">
        <f>COUNTIFS(pokemon!$E:$E, $A42, pokemon!$AJ:$AJ, D$37, pokemon!$AN:$AN, "&lt;=1")+COUNTIFS(pokemon!$F:$F, $A42, pokemon!$AJ:$AJ, D$37, pokemon!$AN:$AN, "&lt;=1")</f>
        <v>0</v>
      </c>
      <c r="E42">
        <f>COUNTIFS(pokemon!$E:$E, $A42, pokemon!$AJ:$AJ, E$37, pokemon!$AN:$AN, "&lt;=1")+COUNTIFS(pokemon!$F:$F, $A42, pokemon!$AJ:$AJ, E$37, pokemon!$AN:$AN, "&lt;=1")</f>
        <v>2</v>
      </c>
      <c r="F42">
        <f>COUNTIFS(pokemon!$E:$E, $A42, pokemon!$AJ:$AJ, F$37, pokemon!$AN:$AN, "&lt;=1")+COUNTIFS(pokemon!$F:$F, $A42, pokemon!$AJ:$AJ, F$37, pokemon!$AN:$AN, "&lt;=1")</f>
        <v>3</v>
      </c>
      <c r="G42">
        <f>COUNTIFS(pokemon!$E:$E, $A42, pokemon!$AJ:$AJ, G$37, pokemon!$AN:$AN, "&lt;=1")+COUNTIFS(pokemon!$F:$F, $A42, pokemon!$AJ:$AJ, G$37, pokemon!$AN:$AN, "&lt;=1")</f>
        <v>1</v>
      </c>
      <c r="H42">
        <f t="shared" si="3"/>
        <v>6</v>
      </c>
    </row>
    <row r="43" spans="1:8" x14ac:dyDescent="0.25">
      <c r="A43" t="s">
        <v>14</v>
      </c>
      <c r="B43">
        <f>COUNTIFS(pokemon!$E:$E, $A43, pokemon!$AJ:$AJ, B$37, pokemon!$AN:$AN, "&lt;=1")+COUNTIFS(pokemon!$F:$F, $A43, pokemon!$AJ:$AJ, B$37, pokemon!$AN:$AN, "&lt;=1")</f>
        <v>0</v>
      </c>
      <c r="D43">
        <f>COUNTIFS(pokemon!$E:$E, $A43, pokemon!$AJ:$AJ, D$37, pokemon!$AN:$AN, "&lt;=1")+COUNTIFS(pokemon!$F:$F, $A43, pokemon!$AJ:$AJ, D$37, pokemon!$AN:$AN, "&lt;=1")</f>
        <v>0</v>
      </c>
      <c r="E43">
        <f>COUNTIFS(pokemon!$E:$E, $A43, pokemon!$AJ:$AJ, E$37, pokemon!$AN:$AN, "&lt;=1")+COUNTIFS(pokemon!$F:$F, $A43, pokemon!$AJ:$AJ, E$37, pokemon!$AN:$AN, "&lt;=1")</f>
        <v>0</v>
      </c>
      <c r="F43">
        <f>COUNTIFS(pokemon!$E:$E, $A43, pokemon!$AJ:$AJ, F$37, pokemon!$AN:$AN, "&lt;=1")+COUNTIFS(pokemon!$F:$F, $A43, pokemon!$AJ:$AJ, F$37, pokemon!$AN:$AN, "&lt;=1")</f>
        <v>2</v>
      </c>
      <c r="G43">
        <f>COUNTIFS(pokemon!$E:$E, $A43, pokemon!$AJ:$AJ, G$37, pokemon!$AN:$AN, "&lt;=1")+COUNTIFS(pokemon!$F:$F, $A43, pokemon!$AJ:$AJ, G$37, pokemon!$AN:$AN, "&lt;=1")</f>
        <v>0</v>
      </c>
      <c r="H43">
        <f t="shared" si="3"/>
        <v>2</v>
      </c>
    </row>
    <row r="44" spans="1:8" x14ac:dyDescent="0.25">
      <c r="A44" t="s">
        <v>22</v>
      </c>
      <c r="B44">
        <f>COUNTIFS(pokemon!$E:$E, $A44, pokemon!$AJ:$AJ, B$37, pokemon!$AN:$AN, "&lt;=1")+COUNTIFS(pokemon!$F:$F, $A44, pokemon!$AJ:$AJ, B$37, pokemon!$AN:$AN, "&lt;=1")</f>
        <v>0</v>
      </c>
      <c r="D44">
        <f>COUNTIFS(pokemon!$E:$E, $A44, pokemon!$AJ:$AJ, D$37, pokemon!$AN:$AN, "&lt;=1")+COUNTIFS(pokemon!$F:$F, $A44, pokemon!$AJ:$AJ, D$37, pokemon!$AN:$AN, "&lt;=1")</f>
        <v>0</v>
      </c>
      <c r="E44">
        <f>COUNTIFS(pokemon!$E:$E, $A44, pokemon!$AJ:$AJ, E$37, pokemon!$AN:$AN, "&lt;=1")+COUNTIFS(pokemon!$F:$F, $A44, pokemon!$AJ:$AJ, E$37, pokemon!$AN:$AN, "&lt;=1")</f>
        <v>0</v>
      </c>
      <c r="F44">
        <f>COUNTIFS(pokemon!$E:$E, $A44, pokemon!$AJ:$AJ, F$37, pokemon!$AN:$AN, "&lt;=1")+COUNTIFS(pokemon!$F:$F, $A44, pokemon!$AJ:$AJ, F$37, pokemon!$AN:$AN, "&lt;=1")</f>
        <v>2</v>
      </c>
      <c r="G44">
        <f>COUNTIFS(pokemon!$E:$E, $A44, pokemon!$AJ:$AJ, G$37, pokemon!$AN:$AN, "&lt;=1")+COUNTIFS(pokemon!$F:$F, $A44, pokemon!$AJ:$AJ, G$37, pokemon!$AN:$AN, "&lt;=1")</f>
        <v>0</v>
      </c>
      <c r="H44">
        <f t="shared" si="3"/>
        <v>2</v>
      </c>
    </row>
    <row r="45" spans="1:8" x14ac:dyDescent="0.25">
      <c r="A45" t="s">
        <v>3</v>
      </c>
      <c r="B45">
        <f>COUNTIFS(pokemon!$E:$E, $A45, pokemon!$AJ:$AJ, B$37, pokemon!$AN:$AN, "&lt;=1")+COUNTIFS(pokemon!$F:$F, $A45, pokemon!$AJ:$AJ, B$37, pokemon!$AN:$AN, "&lt;=1")</f>
        <v>0</v>
      </c>
      <c r="D45">
        <f>COUNTIFS(pokemon!$E:$E, $A45, pokemon!$AJ:$AJ, D$37, pokemon!$AN:$AN, "&lt;=1")+COUNTIFS(pokemon!$F:$F, $A45, pokemon!$AJ:$AJ, D$37, pokemon!$AN:$AN, "&lt;=1")</f>
        <v>0</v>
      </c>
      <c r="E45">
        <f>COUNTIFS(pokemon!$E:$E, $A45, pokemon!$AJ:$AJ, E$37, pokemon!$AN:$AN, "&lt;=1")+COUNTIFS(pokemon!$F:$F, $A45, pokemon!$AJ:$AJ, E$37, pokemon!$AN:$AN, "&lt;=1")</f>
        <v>0</v>
      </c>
      <c r="F45">
        <f>COUNTIFS(pokemon!$E:$E, $A45, pokemon!$AJ:$AJ, F$37, pokemon!$AN:$AN, "&lt;=1")+COUNTIFS(pokemon!$F:$F, $A45, pokemon!$AJ:$AJ, F$37, pokemon!$AN:$AN, "&lt;=1")</f>
        <v>2</v>
      </c>
      <c r="G45">
        <f>COUNTIFS(pokemon!$E:$E, $A45, pokemon!$AJ:$AJ, G$37, pokemon!$AN:$AN, "&lt;=1")+COUNTIFS(pokemon!$F:$F, $A45, pokemon!$AJ:$AJ, G$37, pokemon!$AN:$AN, "&lt;=1")</f>
        <v>0</v>
      </c>
      <c r="H45">
        <f t="shared" si="3"/>
        <v>2</v>
      </c>
    </row>
    <row r="46" spans="1:8" x14ac:dyDescent="0.25">
      <c r="A46" t="s">
        <v>13</v>
      </c>
      <c r="B46">
        <f>COUNTIFS(pokemon!$E:$E, $A46, pokemon!$AJ:$AJ, B$37, pokemon!$AN:$AN, "&lt;=1")+COUNTIFS(pokemon!$F:$F, $A46, pokemon!$AJ:$AJ, B$37, pokemon!$AN:$AN, "&lt;=1")</f>
        <v>0</v>
      </c>
      <c r="D46">
        <f>COUNTIFS(pokemon!$E:$E, $A46, pokemon!$AJ:$AJ, D$37, pokemon!$AN:$AN, "&lt;=1")+COUNTIFS(pokemon!$F:$F, $A46, pokemon!$AJ:$AJ, D$37, pokemon!$AN:$AN, "&lt;=1")</f>
        <v>0</v>
      </c>
      <c r="E46">
        <f>COUNTIFS(pokemon!$E:$E, $A46, pokemon!$AJ:$AJ, E$37, pokemon!$AN:$AN, "&lt;=1")+COUNTIFS(pokemon!$F:$F, $A46, pokemon!$AJ:$AJ, E$37, pokemon!$AN:$AN, "&lt;=1")</f>
        <v>0</v>
      </c>
      <c r="F46">
        <f>COUNTIFS(pokemon!$E:$E, $A46, pokemon!$AJ:$AJ, F$37, pokemon!$AN:$AN, "&lt;=1")+COUNTIFS(pokemon!$F:$F, $A46, pokemon!$AJ:$AJ, F$37, pokemon!$AN:$AN, "&lt;=1")</f>
        <v>2</v>
      </c>
      <c r="G46">
        <f>COUNTIFS(pokemon!$E:$E, $A46, pokemon!$AJ:$AJ, G$37, pokemon!$AN:$AN, "&lt;=1")+COUNTIFS(pokemon!$F:$F, $A46, pokemon!$AJ:$AJ, G$37, pokemon!$AN:$AN, "&lt;=1")</f>
        <v>0</v>
      </c>
      <c r="H46">
        <f t="shared" si="3"/>
        <v>2</v>
      </c>
    </row>
    <row r="47" spans="1:8" x14ac:dyDescent="0.25">
      <c r="A47" t="s">
        <v>5</v>
      </c>
      <c r="B47">
        <f>COUNTIFS(pokemon!$E:$E, $A47, pokemon!$AJ:$AJ, B$37, pokemon!$AN:$AN, "&lt;=1")+COUNTIFS(pokemon!$F:$F, $A47, pokemon!$AJ:$AJ, B$37, pokemon!$AN:$AN, "&lt;=1")</f>
        <v>0</v>
      </c>
      <c r="D47">
        <f>COUNTIFS(pokemon!$E:$E, $A47, pokemon!$AJ:$AJ, D$37, pokemon!$AN:$AN, "&lt;=1")+COUNTIFS(pokemon!$F:$F, $A47, pokemon!$AJ:$AJ, D$37, pokemon!$AN:$AN, "&lt;=1")</f>
        <v>0</v>
      </c>
      <c r="E47">
        <f>COUNTIFS(pokemon!$E:$E, $A47, pokemon!$AJ:$AJ, E$37, pokemon!$AN:$AN, "&lt;=1")+COUNTIFS(pokemon!$F:$F, $A47, pokemon!$AJ:$AJ, E$37, pokemon!$AN:$AN, "&lt;=1")</f>
        <v>1</v>
      </c>
      <c r="F47">
        <f>COUNTIFS(pokemon!$E:$E, $A47, pokemon!$AJ:$AJ, F$37, pokemon!$AN:$AN, "&lt;=1")+COUNTIFS(pokemon!$F:$F, $A47, pokemon!$AJ:$AJ, F$37, pokemon!$AN:$AN, "&lt;=1")</f>
        <v>2</v>
      </c>
      <c r="G47">
        <f>COUNTIFS(pokemon!$E:$E, $A47, pokemon!$AJ:$AJ, G$37, pokemon!$AN:$AN, "&lt;=1")+COUNTIFS(pokemon!$F:$F, $A47, pokemon!$AJ:$AJ, G$37, pokemon!$AN:$AN, "&lt;=1")</f>
        <v>0</v>
      </c>
      <c r="H47">
        <f t="shared" si="3"/>
        <v>3</v>
      </c>
    </row>
    <row r="48" spans="1:8" x14ac:dyDescent="0.25">
      <c r="A48" t="s">
        <v>26</v>
      </c>
      <c r="B48">
        <f>COUNTIFS(pokemon!$E:$E, $A48, pokemon!$AJ:$AJ, B$37, pokemon!$AN:$AN, "&lt;=1")+COUNTIFS(pokemon!$F:$F, $A48, pokemon!$AJ:$AJ, B$37, pokemon!$AN:$AN, "&lt;=1")</f>
        <v>0</v>
      </c>
      <c r="D48">
        <f>COUNTIFS(pokemon!$E:$E, $A48, pokemon!$AJ:$AJ, D$37, pokemon!$AN:$AN, "&lt;=1")+COUNTIFS(pokemon!$F:$F, $A48, pokemon!$AJ:$AJ, D$37, pokemon!$AN:$AN, "&lt;=1")</f>
        <v>0</v>
      </c>
      <c r="E48">
        <f>COUNTIFS(pokemon!$E:$E, $A48, pokemon!$AJ:$AJ, E$37, pokemon!$AN:$AN, "&lt;=1")+COUNTIFS(pokemon!$F:$F, $A48, pokemon!$AJ:$AJ, E$37, pokemon!$AN:$AN, "&lt;=1")</f>
        <v>0</v>
      </c>
      <c r="F48">
        <f>COUNTIFS(pokemon!$E:$E, $A48, pokemon!$AJ:$AJ, F$37, pokemon!$AN:$AN, "&lt;=1")+COUNTIFS(pokemon!$F:$F, $A48, pokemon!$AJ:$AJ, F$37, pokemon!$AN:$AN, "&lt;=1")</f>
        <v>0</v>
      </c>
      <c r="G48">
        <f>COUNTIFS(pokemon!$E:$E, $A48, pokemon!$AJ:$AJ, G$37, pokemon!$AN:$AN, "&lt;=1")+COUNTIFS(pokemon!$F:$F, $A48, pokemon!$AJ:$AJ, G$37, pokemon!$AN:$AN, "&lt;=1")</f>
        <v>0</v>
      </c>
      <c r="H48">
        <f t="shared" si="3"/>
        <v>0</v>
      </c>
    </row>
    <row r="49" spans="1:8" x14ac:dyDescent="0.25">
      <c r="A49" t="s">
        <v>7</v>
      </c>
      <c r="B49">
        <f>COUNTIFS(pokemon!$E:$E, $A49, pokemon!$AJ:$AJ, B$37, pokemon!$AN:$AN, "&lt;=1")+COUNTIFS(pokemon!$F:$F, $A49, pokemon!$AJ:$AJ, B$37, pokemon!$AN:$AN, "&lt;=1")</f>
        <v>0</v>
      </c>
      <c r="D49">
        <f>COUNTIFS(pokemon!$E:$E, $A49, pokemon!$AJ:$AJ, D$37, pokemon!$AN:$AN, "&lt;=1")+COUNTIFS(pokemon!$F:$F, $A49, pokemon!$AJ:$AJ, D$37, pokemon!$AN:$AN, "&lt;=1")</f>
        <v>0</v>
      </c>
      <c r="E49">
        <f>COUNTIFS(pokemon!$E:$E, $A49, pokemon!$AJ:$AJ, E$37, pokemon!$AN:$AN, "&lt;=1")+COUNTIFS(pokemon!$F:$F, $A49, pokemon!$AJ:$AJ, E$37, pokemon!$AN:$AN, "&lt;=1")</f>
        <v>1</v>
      </c>
      <c r="F49">
        <f>COUNTIFS(pokemon!$E:$E, $A49, pokemon!$AJ:$AJ, F$37, pokemon!$AN:$AN, "&lt;=1")+COUNTIFS(pokemon!$F:$F, $A49, pokemon!$AJ:$AJ, F$37, pokemon!$AN:$AN, "&lt;=1")</f>
        <v>0</v>
      </c>
      <c r="G49">
        <f>COUNTIFS(pokemon!$E:$E, $A49, pokemon!$AJ:$AJ, G$37, pokemon!$AN:$AN, "&lt;=1")+COUNTIFS(pokemon!$F:$F, $A49, pokemon!$AJ:$AJ, G$37, pokemon!$AN:$AN, "&lt;=1")</f>
        <v>0</v>
      </c>
      <c r="H49">
        <f t="shared" si="3"/>
        <v>1</v>
      </c>
    </row>
    <row r="50" spans="1:8" x14ac:dyDescent="0.25">
      <c r="A50" t="s">
        <v>33</v>
      </c>
      <c r="B50">
        <f>COUNTIFS(pokemon!$E:$E, $A50, pokemon!$AJ:$AJ, B$37, pokemon!$AN:$AN, "&lt;=1")+COUNTIFS(pokemon!$F:$F, $A50, pokemon!$AJ:$AJ, B$37, pokemon!$AN:$AN, "&lt;=1")</f>
        <v>0</v>
      </c>
      <c r="D50">
        <f>COUNTIFS(pokemon!$E:$E, $A50, pokemon!$AJ:$AJ, D$37, pokemon!$AN:$AN, "&lt;=1")+COUNTIFS(pokemon!$F:$F, $A50, pokemon!$AJ:$AJ, D$37, pokemon!$AN:$AN, "&lt;=1")</f>
        <v>0</v>
      </c>
      <c r="E50">
        <f>COUNTIFS(pokemon!$E:$E, $A50, pokemon!$AJ:$AJ, E$37, pokemon!$AN:$AN, "&lt;=1")+COUNTIFS(pokemon!$F:$F, $A50, pokemon!$AJ:$AJ, E$37, pokemon!$AN:$AN, "&lt;=1")</f>
        <v>1</v>
      </c>
      <c r="F50">
        <f>COUNTIFS(pokemon!$E:$E, $A50, pokemon!$AJ:$AJ, F$37, pokemon!$AN:$AN, "&lt;=1")+COUNTIFS(pokemon!$F:$F, $A50, pokemon!$AJ:$AJ, F$37, pokemon!$AN:$AN, "&lt;=1")</f>
        <v>0</v>
      </c>
      <c r="G50">
        <f>COUNTIFS(pokemon!$E:$E, $A50, pokemon!$AJ:$AJ, G$37, pokemon!$AN:$AN, "&lt;=1")+COUNTIFS(pokemon!$F:$F, $A50, pokemon!$AJ:$AJ, G$37, pokemon!$AN:$AN, "&lt;=1")</f>
        <v>0</v>
      </c>
      <c r="H50">
        <f t="shared" si="3"/>
        <v>1</v>
      </c>
    </row>
    <row r="51" spans="1:8" x14ac:dyDescent="0.25">
      <c r="A51" t="s">
        <v>42</v>
      </c>
      <c r="B51">
        <f>COUNTIFS(pokemon!$E:$E, $A51, pokemon!$AJ:$AJ, B$37, pokemon!$AN:$AN, "&lt;=1")+COUNTIFS(pokemon!$F:$F, $A51, pokemon!$AJ:$AJ, B$37, pokemon!$AN:$AN, "&lt;=1")</f>
        <v>0</v>
      </c>
      <c r="D51">
        <f>COUNTIFS(pokemon!$E:$E, $A51, pokemon!$AJ:$AJ, D$37, pokemon!$AN:$AN, "&lt;=1")+COUNTIFS(pokemon!$F:$F, $A51, pokemon!$AJ:$AJ, D$37, pokemon!$AN:$AN, "&lt;=1")</f>
        <v>0</v>
      </c>
      <c r="E51">
        <f>COUNTIFS(pokemon!$E:$E, $A51, pokemon!$AJ:$AJ, E$37, pokemon!$AN:$AN, "&lt;=1")+COUNTIFS(pokemon!$F:$F, $A51, pokemon!$AJ:$AJ, E$37, pokemon!$AN:$AN, "&lt;=1")</f>
        <v>0</v>
      </c>
      <c r="F51">
        <f>COUNTIFS(pokemon!$E:$E, $A51, pokemon!$AJ:$AJ, F$37, pokemon!$AN:$AN, "&lt;=1")+COUNTIFS(pokemon!$F:$F, $A51, pokemon!$AJ:$AJ, F$37, pokemon!$AN:$AN, "&lt;=1")</f>
        <v>4</v>
      </c>
      <c r="G51">
        <f>COUNTIFS(pokemon!$E:$E, $A51, pokemon!$AJ:$AJ, G$37, pokemon!$AN:$AN, "&lt;=1")+COUNTIFS(pokemon!$F:$F, $A51, pokemon!$AJ:$AJ, G$37, pokemon!$AN:$AN, "&lt;=1")</f>
        <v>2</v>
      </c>
      <c r="H51">
        <f t="shared" si="3"/>
        <v>6</v>
      </c>
    </row>
    <row r="52" spans="1:8" x14ac:dyDescent="0.25">
      <c r="A52" t="s">
        <v>67</v>
      </c>
      <c r="B52">
        <f>COUNTIFS(pokemon!$E:$E, $A52, pokemon!$AJ:$AJ, B$37, pokemon!$AN:$AN, "&lt;=1")+COUNTIFS(pokemon!$F:$F, $A52, pokemon!$AJ:$AJ, B$37, pokemon!$AN:$AN, "&lt;=1")</f>
        <v>0</v>
      </c>
      <c r="D52">
        <f>COUNTIFS(pokemon!$E:$E, $A52, pokemon!$AJ:$AJ, D$37, pokemon!$AN:$AN, "&lt;=1")+COUNTIFS(pokemon!$F:$F, $A52, pokemon!$AJ:$AJ, D$37, pokemon!$AN:$AN, "&lt;=1")</f>
        <v>0</v>
      </c>
      <c r="E52">
        <f>COUNTIFS(pokemon!$E:$E, $A52, pokemon!$AJ:$AJ, E$37, pokemon!$AN:$AN, "&lt;=1")+COUNTIFS(pokemon!$F:$F, $A52, pokemon!$AJ:$AJ, E$37, pokemon!$AN:$AN, "&lt;=1")</f>
        <v>0</v>
      </c>
      <c r="F52">
        <f>COUNTIFS(pokemon!$E:$E, $A52, pokemon!$AJ:$AJ, F$37, pokemon!$AN:$AN, "&lt;=1")+COUNTIFS(pokemon!$F:$F, $A52, pokemon!$AJ:$AJ, F$37, pokemon!$AN:$AN, "&lt;=1")</f>
        <v>1</v>
      </c>
      <c r="G52">
        <f>COUNTIFS(pokemon!$E:$E, $A52, pokemon!$AJ:$AJ, G$37, pokemon!$AN:$AN, "&lt;=1")+COUNTIFS(pokemon!$F:$F, $A52, pokemon!$AJ:$AJ, G$37, pokemon!$AN:$AN, "&lt;=1")</f>
        <v>3</v>
      </c>
      <c r="H52">
        <f t="shared" si="3"/>
        <v>4</v>
      </c>
    </row>
    <row r="53" spans="1:8" x14ac:dyDescent="0.25">
      <c r="A53" t="s">
        <v>9</v>
      </c>
      <c r="B53">
        <f>COUNTIFS(pokemon!$E:$E, $A53, pokemon!$AJ:$AJ, B$37, pokemon!$AN:$AN, "&lt;=1")+COUNTIFS(pokemon!$F:$F, $A53, pokemon!$AJ:$AJ, B$37, pokemon!$AN:$AN, "&lt;=1")</f>
        <v>0</v>
      </c>
      <c r="D53">
        <f>COUNTIFS(pokemon!$E:$E, $A53, pokemon!$AJ:$AJ, D$37, pokemon!$AN:$AN, "&lt;=1")+COUNTIFS(pokemon!$F:$F, $A53, pokemon!$AJ:$AJ, D$37, pokemon!$AN:$AN, "&lt;=1")</f>
        <v>0</v>
      </c>
      <c r="E53">
        <f>COUNTIFS(pokemon!$E:$E, $A53, pokemon!$AJ:$AJ, E$37, pokemon!$AN:$AN, "&lt;=1")+COUNTIFS(pokemon!$F:$F, $A53, pokemon!$AJ:$AJ, E$37, pokemon!$AN:$AN, "&lt;=1")</f>
        <v>1</v>
      </c>
      <c r="F53">
        <f>COUNTIFS(pokemon!$E:$E, $A53, pokemon!$AJ:$AJ, F$37, pokemon!$AN:$AN, "&lt;=1")+COUNTIFS(pokemon!$F:$F, $A53, pokemon!$AJ:$AJ, F$37, pokemon!$AN:$AN, "&lt;=1")</f>
        <v>0</v>
      </c>
      <c r="G53">
        <f>COUNTIFS(pokemon!$E:$E, $A53, pokemon!$AJ:$AJ, G$37, pokemon!$AN:$AN, "&lt;=1")+COUNTIFS(pokemon!$F:$F, $A53, pokemon!$AJ:$AJ, G$37, pokemon!$AN:$AN, "&lt;=1")</f>
        <v>0</v>
      </c>
      <c r="H53">
        <f t="shared" si="3"/>
        <v>1</v>
      </c>
    </row>
    <row r="54" spans="1:8" x14ac:dyDescent="0.25">
      <c r="A54" t="s">
        <v>39</v>
      </c>
      <c r="B54">
        <f>COUNTIFS(pokemon!$E:$E, $A54, pokemon!$AJ:$AJ, B$37, pokemon!$AN:$AN, "&lt;=1")+COUNTIFS(pokemon!$F:$F, $A54, pokemon!$AJ:$AJ, B$37, pokemon!$AN:$AN, "&lt;=1")</f>
        <v>0</v>
      </c>
      <c r="D54">
        <f>COUNTIFS(pokemon!$E:$E, $A54, pokemon!$AJ:$AJ, D$37, pokemon!$AN:$AN, "&lt;=1")+COUNTIFS(pokemon!$F:$F, $A54, pokemon!$AJ:$AJ, D$37, pokemon!$AN:$AN, "&lt;=1")</f>
        <v>0</v>
      </c>
      <c r="E54">
        <f>COUNTIFS(pokemon!$E:$E, $A54, pokemon!$AJ:$AJ, E$37, pokemon!$AN:$AN, "&lt;=1")+COUNTIFS(pokemon!$F:$F, $A54, pokemon!$AJ:$AJ, E$37, pokemon!$AN:$AN, "&lt;=1")</f>
        <v>0</v>
      </c>
      <c r="F54">
        <f>COUNTIFS(pokemon!$E:$E, $A54, pokemon!$AJ:$AJ, F$37, pokemon!$AN:$AN, "&lt;=1")+COUNTIFS(pokemon!$F:$F, $A54, pokemon!$AJ:$AJ, F$37, pokemon!$AN:$AN, "&lt;=1")</f>
        <v>2</v>
      </c>
      <c r="G54">
        <f>COUNTIFS(pokemon!$E:$E, $A54, pokemon!$AJ:$AJ, G$37, pokemon!$AN:$AN, "&lt;=1")+COUNTIFS(pokemon!$F:$F, $A54, pokemon!$AJ:$AJ, G$37, pokemon!$AN:$AN, "&lt;=1")</f>
        <v>1</v>
      </c>
      <c r="H54">
        <f t="shared" si="3"/>
        <v>3</v>
      </c>
    </row>
    <row r="55" spans="1:8" x14ac:dyDescent="0.25">
      <c r="A55" t="s">
        <v>16</v>
      </c>
      <c r="B55">
        <f>COUNTIFS(pokemon!$E:$E, $A55, pokemon!$AJ:$AJ, B$37, pokemon!$AN:$AN, "&lt;=1")+COUNTIFS(pokemon!$F:$F, $A55, pokemon!$AJ:$AJ, B$37, pokemon!$AN:$AN, "&lt;=1")</f>
        <v>0</v>
      </c>
      <c r="D55">
        <f>COUNTIFS(pokemon!$E:$E, $A55, pokemon!$AJ:$AJ, D$37, pokemon!$AN:$AN, "&lt;=1")+COUNTIFS(pokemon!$F:$F, $A55, pokemon!$AJ:$AJ, D$37, pokemon!$AN:$AN, "&lt;=1")</f>
        <v>0</v>
      </c>
      <c r="E55">
        <f>COUNTIFS(pokemon!$E:$E, $A55, pokemon!$AJ:$AJ, E$37, pokemon!$AN:$AN, "&lt;=1")+COUNTIFS(pokemon!$F:$F, $A55, pokemon!$AJ:$AJ, E$37, pokemon!$AN:$AN, "&lt;=1")</f>
        <v>0</v>
      </c>
      <c r="F55">
        <f>COUNTIFS(pokemon!$E:$E, $A55, pokemon!$AJ:$AJ, F$37, pokemon!$AN:$AN, "&lt;=1")+COUNTIFS(pokemon!$F:$F, $A55, pokemon!$AJ:$AJ, F$37, pokemon!$AN:$AN, "&lt;=1")</f>
        <v>1</v>
      </c>
      <c r="G55">
        <f>COUNTIFS(pokemon!$E:$E, $A55, pokemon!$AJ:$AJ, G$37, pokemon!$AN:$AN, "&lt;=1")+COUNTIFS(pokemon!$F:$F, $A55, pokemon!$AJ:$AJ, G$37, pokemon!$AN:$AN, "&lt;=1")</f>
        <v>0</v>
      </c>
      <c r="H55">
        <f t="shared" si="3"/>
        <v>1</v>
      </c>
    </row>
  </sheetData>
  <conditionalFormatting sqref="A2:A14">
    <cfRule type="cellIs" dxfId="10" priority="7" operator="equal">
      <formula>"Ruins"</formula>
    </cfRule>
    <cfRule type="cellIs" dxfId="9" priority="8" operator="equal">
      <formula>"Ocean"</formula>
    </cfRule>
    <cfRule type="cellIs" dxfId="8" priority="9" operator="equal">
      <formula>"Forest"</formula>
    </cfRule>
    <cfRule type="cellIs" dxfId="7" priority="10" operator="equal">
      <formula>"Mountain"</formula>
    </cfRule>
    <cfRule type="cellIs" dxfId="6" priority="11" operator="equal">
      <formula>"Plains"</formula>
    </cfRule>
  </conditionalFormatting>
  <conditionalFormatting sqref="B2:B14">
    <cfRule type="cellIs" dxfId="5" priority="1" operator="equal">
      <formula>"Space"</formula>
    </cfRule>
    <cfRule type="cellIs" dxfId="4" priority="2" operator="equal">
      <formula>"Alpha"</formula>
    </cfRule>
    <cfRule type="cellIs" dxfId="3" priority="3" operator="equal">
      <formula>"Noble"</formula>
    </cfRule>
    <cfRule type="cellIs" dxfId="2" priority="4" operator="equal">
      <formula>"Cold"</formula>
    </cfRule>
    <cfRule type="cellIs" dxfId="1" priority="5" operator="equal">
      <formula>"Temperate"</formula>
    </cfRule>
    <cfRule type="cellIs" dxfId="0" priority="6" operator="equal">
      <formula>"Warm"</formula>
    </cfRule>
  </conditionalFormatting>
  <conditionalFormatting sqref="B38:C55">
    <cfRule type="colorScale" priority="18">
      <colorScale>
        <cfvo type="min"/>
        <cfvo type="percentile" val="50"/>
        <cfvo type="max"/>
        <color rgb="FFF8696B"/>
        <color rgb="FFFFEB84"/>
        <color rgb="FF63BE7B"/>
      </colorScale>
    </cfRule>
  </conditionalFormatting>
  <conditionalFormatting sqref="C2:E14">
    <cfRule type="colorScale" priority="375">
      <colorScale>
        <cfvo type="min"/>
        <cfvo type="percentile" val="50"/>
        <cfvo type="max"/>
        <color rgb="FFF8696B"/>
        <color rgb="FFFFEB84"/>
        <color rgb="FF63BE7B"/>
      </colorScale>
    </cfRule>
  </conditionalFormatting>
  <conditionalFormatting sqref="D38:D55">
    <cfRule type="colorScale" priority="27">
      <colorScale>
        <cfvo type="min"/>
        <cfvo type="percentile" val="50"/>
        <cfvo type="max"/>
        <color rgb="FFF8696B"/>
        <color rgb="FFFFEB84"/>
        <color rgb="FF63BE7B"/>
      </colorScale>
    </cfRule>
  </conditionalFormatting>
  <conditionalFormatting sqref="D16:F17 F18:F35 C2:E14">
    <cfRule type="colorScale" priority="376">
      <colorScale>
        <cfvo type="min"/>
        <cfvo type="percentile" val="50"/>
        <cfvo type="max"/>
        <color rgb="FF63BE7B"/>
        <color rgb="FFFFEB84"/>
        <color rgb="FFF8696B"/>
      </colorScale>
    </cfRule>
  </conditionalFormatting>
  <conditionalFormatting sqref="D16:F17 F18:F35">
    <cfRule type="colorScale" priority="372">
      <colorScale>
        <cfvo type="min"/>
        <cfvo type="percentile" val="50"/>
        <cfvo type="max"/>
        <color rgb="FF63BE7B"/>
        <color rgb="FFFFEB84"/>
        <color rgb="FFF8696B"/>
      </colorScale>
    </cfRule>
  </conditionalFormatting>
  <conditionalFormatting sqref="E18:E35">
    <cfRule type="colorScale" priority="43">
      <colorScale>
        <cfvo type="min"/>
        <cfvo type="percentile" val="50"/>
        <cfvo type="max"/>
        <color rgb="FFF8696B"/>
        <color rgb="FFFFEB84"/>
        <color rgb="FF63BE7B"/>
      </colorScale>
    </cfRule>
    <cfRule type="colorScale" priority="44">
      <colorScale>
        <cfvo type="min"/>
        <cfvo type="percentile" val="50"/>
        <cfvo type="max"/>
        <color rgb="FF63BE7B"/>
        <color rgb="FFFFEB84"/>
        <color rgb="FFF8696B"/>
      </colorScale>
    </cfRule>
  </conditionalFormatting>
  <conditionalFormatting sqref="E38:E55">
    <cfRule type="colorScale" priority="20">
      <colorScale>
        <cfvo type="min"/>
        <cfvo type="percentile" val="50"/>
        <cfvo type="max"/>
        <color rgb="FFF8696B"/>
        <color rgb="FFFFEB84"/>
        <color rgb="FF63BE7B"/>
      </colorScale>
    </cfRule>
  </conditionalFormatting>
  <conditionalFormatting sqref="E37:H37">
    <cfRule type="colorScale" priority="38">
      <colorScale>
        <cfvo type="min"/>
        <cfvo type="percentile" val="50"/>
        <cfvo type="max"/>
        <color rgb="FF63BE7B"/>
        <color rgb="FFFFEB84"/>
        <color rgb="FFF8696B"/>
      </colorScale>
    </cfRule>
    <cfRule type="colorScale" priority="39">
      <colorScale>
        <cfvo type="min"/>
        <cfvo type="percentile" val="50"/>
        <cfvo type="max"/>
        <color rgb="FF63BE7B"/>
        <color rgb="FFFFEB84"/>
        <color rgb="FFF8696B"/>
      </colorScale>
    </cfRule>
  </conditionalFormatting>
  <conditionalFormatting sqref="F18:F35">
    <cfRule type="colorScale" priority="41">
      <colorScale>
        <cfvo type="min"/>
        <cfvo type="percentile" val="50"/>
        <cfvo type="max"/>
        <color rgb="FFF8696B"/>
        <color rgb="FFFFEB84"/>
        <color rgb="FF63BE7B"/>
      </colorScale>
    </cfRule>
  </conditionalFormatting>
  <conditionalFormatting sqref="F38:F55">
    <cfRule type="colorScale" priority="21">
      <colorScale>
        <cfvo type="min"/>
        <cfvo type="percentile" val="50"/>
        <cfvo type="max"/>
        <color rgb="FFF8696B"/>
        <color rgb="FFFFEB84"/>
        <color rgb="FF63BE7B"/>
      </colorScale>
    </cfRule>
  </conditionalFormatting>
  <conditionalFormatting sqref="F39:F55">
    <cfRule type="colorScale" priority="23">
      <colorScale>
        <cfvo type="min"/>
        <cfvo type="percentile" val="50"/>
        <cfvo type="max"/>
        <color rgb="FFF8696B"/>
        <color rgb="FFFFEB84"/>
        <color rgb="FF63BE7B"/>
      </colorScale>
    </cfRule>
  </conditionalFormatting>
  <conditionalFormatting sqref="F38:G38 F39:F55">
    <cfRule type="colorScale" priority="25">
      <colorScale>
        <cfvo type="min"/>
        <cfvo type="percentile" val="50"/>
        <cfvo type="max"/>
        <color rgb="FF63BE7B"/>
        <color rgb="FFFFEB84"/>
        <color rgb="FFF8696B"/>
      </colorScale>
    </cfRule>
    <cfRule type="colorScale" priority="24">
      <colorScale>
        <cfvo type="min"/>
        <cfvo type="percentile" val="50"/>
        <cfvo type="max"/>
        <color rgb="FF63BE7B"/>
        <color rgb="FFFFEB84"/>
        <color rgb="FFF8696B"/>
      </colorScale>
    </cfRule>
  </conditionalFormatting>
  <conditionalFormatting sqref="G18:G35">
    <cfRule type="colorScale" priority="40">
      <colorScale>
        <cfvo type="min"/>
        <cfvo type="percentile" val="50"/>
        <cfvo type="max"/>
        <color rgb="FFF8696B"/>
        <color rgb="FFFFEB84"/>
        <color rgb="FF63BE7B"/>
      </colorScale>
    </cfRule>
  </conditionalFormatting>
  <conditionalFormatting sqref="G38:G55">
    <cfRule type="colorScale" priority="19">
      <colorScale>
        <cfvo type="min"/>
        <cfvo type="percentile" val="50"/>
        <cfvo type="max"/>
        <color rgb="FFF8696B"/>
        <color rgb="FFFFEB84"/>
        <color rgb="FF63BE7B"/>
      </colorScale>
    </cfRule>
  </conditionalFormatting>
  <conditionalFormatting sqref="G39:G55">
    <cfRule type="colorScale" priority="22">
      <colorScale>
        <cfvo type="min"/>
        <cfvo type="percentile" val="50"/>
        <cfvo type="max"/>
        <color rgb="FFF8696B"/>
        <color rgb="FFFFEB84"/>
        <color rgb="FF63BE7B"/>
      </colorScale>
    </cfRule>
  </conditionalFormatting>
  <conditionalFormatting sqref="H38:H55">
    <cfRule type="colorScale" priority="17">
      <colorScale>
        <cfvo type="min"/>
        <cfvo type="percentile" val="50"/>
        <cfvo type="max"/>
        <color rgb="FFF8696B"/>
        <color rgb="FFFFEB84"/>
        <color rgb="FF63BE7B"/>
      </colorScale>
    </cfRule>
  </conditionalFormatting>
  <conditionalFormatting sqref="I38:I55">
    <cfRule type="colorScale" priority="32">
      <colorScale>
        <cfvo type="min"/>
        <cfvo type="percentile" val="50"/>
        <cfvo type="max"/>
        <color rgb="FFF8696B"/>
        <color rgb="FFFFEB84"/>
        <color rgb="FF63BE7B"/>
      </colorScale>
    </cfRule>
    <cfRule type="colorScale" priority="33">
      <colorScale>
        <cfvo type="min"/>
        <cfvo type="percentile" val="50"/>
        <cfvo type="max"/>
        <color rgb="FF63BE7B"/>
        <color rgb="FFFFEB84"/>
        <color rgb="FFF8696B"/>
      </colorScale>
    </cfRule>
  </conditionalFormatting>
  <conditionalFormatting sqref="L38:L55">
    <cfRule type="colorScale" priority="30">
      <colorScale>
        <cfvo type="min"/>
        <cfvo type="percentile" val="50"/>
        <cfvo type="max"/>
        <color rgb="FFF8696B"/>
        <color rgb="FFFFEB84"/>
        <color rgb="FF63BE7B"/>
      </colorScale>
    </cfRule>
    <cfRule type="colorScale" priority="31">
      <colorScale>
        <cfvo type="min"/>
        <cfvo type="percentile" val="50"/>
        <cfvo type="max"/>
        <color rgb="FF63BE7B"/>
        <color rgb="FFFFEB84"/>
        <color rgb="FFF8696B"/>
      </colorScale>
    </cfRule>
  </conditionalFormatting>
  <conditionalFormatting sqref="O38:O55">
    <cfRule type="colorScale" priority="28">
      <colorScale>
        <cfvo type="min"/>
        <cfvo type="percentile" val="50"/>
        <cfvo type="max"/>
        <color rgb="FFF8696B"/>
        <color rgb="FFFFEB84"/>
        <color rgb="FF63BE7B"/>
      </colorScale>
    </cfRule>
    <cfRule type="colorScale" priority="29">
      <colorScale>
        <cfvo type="min"/>
        <cfvo type="percentile" val="50"/>
        <cfvo type="max"/>
        <color rgb="FF63BE7B"/>
        <color rgb="FFFFEB84"/>
        <color rgb="FFF8696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7F8CE-143A-44EF-A2AE-F94FA755C084}">
  <dimension ref="A1:E49"/>
  <sheetViews>
    <sheetView topLeftCell="A14" workbookViewId="0">
      <selection activeCell="D20" sqref="D20"/>
    </sheetView>
  </sheetViews>
  <sheetFormatPr defaultRowHeight="15" x14ac:dyDescent="0.25"/>
  <cols>
    <col min="1" max="1" width="17.28515625" bestFit="1" customWidth="1"/>
    <col min="2" max="2" width="20" bestFit="1" customWidth="1"/>
    <col min="3" max="3" width="52.7109375" style="23" customWidth="1"/>
    <col min="4" max="4" width="20.5703125" bestFit="1" customWidth="1"/>
    <col min="5" max="5" width="61.28515625" style="23" customWidth="1"/>
  </cols>
  <sheetData>
    <row r="1" spans="1:5" x14ac:dyDescent="0.25">
      <c r="A1" s="2" t="s">
        <v>843</v>
      </c>
      <c r="B1" s="2" t="s">
        <v>1281</v>
      </c>
      <c r="C1" s="22" t="s">
        <v>1279</v>
      </c>
      <c r="D1" s="2" t="s">
        <v>1282</v>
      </c>
      <c r="E1" s="22" t="s">
        <v>1280</v>
      </c>
    </row>
    <row r="2" spans="1:5" ht="30" x14ac:dyDescent="0.25">
      <c r="A2" s="29" t="s">
        <v>847</v>
      </c>
      <c r="B2" t="s">
        <v>1291</v>
      </c>
      <c r="C2" s="23" t="s">
        <v>1292</v>
      </c>
      <c r="D2" t="s">
        <v>848</v>
      </c>
      <c r="E2" s="23" t="s">
        <v>1289</v>
      </c>
    </row>
    <row r="3" spans="1:5" ht="30" x14ac:dyDescent="0.25">
      <c r="A3" s="28" t="s">
        <v>900</v>
      </c>
      <c r="B3" t="s">
        <v>1131</v>
      </c>
      <c r="C3" s="23" t="s">
        <v>1130</v>
      </c>
      <c r="D3" t="s">
        <v>877</v>
      </c>
      <c r="E3" s="23" t="s">
        <v>1063</v>
      </c>
    </row>
    <row r="4" spans="1:5" ht="45" x14ac:dyDescent="0.25">
      <c r="A4" t="s">
        <v>895</v>
      </c>
      <c r="B4" t="s">
        <v>897</v>
      </c>
      <c r="C4" s="23" t="s">
        <v>1293</v>
      </c>
      <c r="D4" t="s">
        <v>898</v>
      </c>
      <c r="E4" s="23" t="s">
        <v>1072</v>
      </c>
    </row>
    <row r="5" spans="1:5" ht="30" x14ac:dyDescent="0.25">
      <c r="A5" s="28" t="s">
        <v>933</v>
      </c>
      <c r="B5" t="s">
        <v>1064</v>
      </c>
      <c r="C5" s="23" t="s">
        <v>1126</v>
      </c>
      <c r="D5" t="s">
        <v>1294</v>
      </c>
      <c r="E5" s="23" t="s">
        <v>1065</v>
      </c>
    </row>
    <row r="6" spans="1:5" ht="30" x14ac:dyDescent="0.25">
      <c r="A6" s="28" t="s">
        <v>903</v>
      </c>
      <c r="B6" t="s">
        <v>908</v>
      </c>
      <c r="D6" t="s">
        <v>904</v>
      </c>
      <c r="E6" s="23" t="s">
        <v>1301</v>
      </c>
    </row>
    <row r="7" spans="1:5" ht="30" x14ac:dyDescent="0.25">
      <c r="A7" s="28" t="s">
        <v>879</v>
      </c>
      <c r="B7" t="s">
        <v>880</v>
      </c>
      <c r="C7" s="23" t="s">
        <v>1132</v>
      </c>
      <c r="D7" t="s">
        <v>1046</v>
      </c>
      <c r="E7" s="23" t="s">
        <v>1302</v>
      </c>
    </row>
    <row r="8" spans="1:5" ht="30" x14ac:dyDescent="0.25">
      <c r="A8" s="29" t="s">
        <v>861</v>
      </c>
      <c r="B8" t="s">
        <v>882</v>
      </c>
      <c r="C8" s="23" t="s">
        <v>1284</v>
      </c>
      <c r="D8" t="s">
        <v>1283</v>
      </c>
      <c r="E8" s="23" t="s">
        <v>1316</v>
      </c>
    </row>
    <row r="9" spans="1:5" ht="30" x14ac:dyDescent="0.25">
      <c r="A9" s="29" t="s">
        <v>852</v>
      </c>
      <c r="B9" t="s">
        <v>1133</v>
      </c>
      <c r="C9" s="23" t="s">
        <v>1295</v>
      </c>
      <c r="D9" t="s">
        <v>1128</v>
      </c>
      <c r="E9" s="23" t="s">
        <v>1290</v>
      </c>
    </row>
    <row r="10" spans="1:5" ht="60" x14ac:dyDescent="0.25">
      <c r="A10" s="29" t="s">
        <v>931</v>
      </c>
      <c r="B10" t="s">
        <v>1286</v>
      </c>
      <c r="C10" s="23" t="s">
        <v>1285</v>
      </c>
      <c r="D10" t="s">
        <v>1287</v>
      </c>
      <c r="E10" s="23" t="s">
        <v>1288</v>
      </c>
    </row>
    <row r="11" spans="1:5" ht="30" x14ac:dyDescent="0.25">
      <c r="A11" s="28" t="s">
        <v>854</v>
      </c>
      <c r="B11" t="s">
        <v>918</v>
      </c>
      <c r="C11" s="25" t="s">
        <v>1099</v>
      </c>
      <c r="D11" t="s">
        <v>919</v>
      </c>
      <c r="E11" s="25" t="s">
        <v>1118</v>
      </c>
    </row>
    <row r="12" spans="1:5" ht="30" x14ac:dyDescent="0.25">
      <c r="A12" s="28" t="s">
        <v>886</v>
      </c>
      <c r="B12" t="s">
        <v>1129</v>
      </c>
      <c r="C12" s="23" t="s">
        <v>1304</v>
      </c>
      <c r="D12" t="s">
        <v>888</v>
      </c>
      <c r="E12" s="23" t="s">
        <v>1303</v>
      </c>
    </row>
    <row r="13" spans="1:5" ht="60" x14ac:dyDescent="0.25">
      <c r="A13" s="29" t="s">
        <v>862</v>
      </c>
      <c r="B13" t="s">
        <v>863</v>
      </c>
      <c r="C13" s="23" t="s">
        <v>1298</v>
      </c>
      <c r="D13" t="s">
        <v>864</v>
      </c>
      <c r="E13" s="23" t="s">
        <v>1387</v>
      </c>
    </row>
    <row r="14" spans="1:5" ht="45" x14ac:dyDescent="0.25">
      <c r="A14" s="29" t="s">
        <v>1127</v>
      </c>
      <c r="B14" t="s">
        <v>1096</v>
      </c>
      <c r="C14" s="23" t="s">
        <v>1296</v>
      </c>
      <c r="D14" t="s">
        <v>1097</v>
      </c>
      <c r="E14" s="23" t="s">
        <v>1297</v>
      </c>
    </row>
    <row r="15" spans="1:5" ht="45" x14ac:dyDescent="0.25">
      <c r="A15" s="29" t="s">
        <v>878</v>
      </c>
      <c r="B15" t="s">
        <v>881</v>
      </c>
      <c r="C15" s="23" t="s">
        <v>1299</v>
      </c>
      <c r="D15" t="s">
        <v>899</v>
      </c>
      <c r="E15" s="23" t="s">
        <v>1300</v>
      </c>
    </row>
    <row r="16" spans="1:5" ht="30" x14ac:dyDescent="0.25">
      <c r="A16" s="28" t="s">
        <v>896</v>
      </c>
      <c r="D16" t="s">
        <v>901</v>
      </c>
      <c r="E16" s="23" t="s">
        <v>1104</v>
      </c>
    </row>
    <row r="17" spans="1:5" ht="60" x14ac:dyDescent="0.25">
      <c r="A17" s="29" t="s">
        <v>844</v>
      </c>
      <c r="B17" t="s">
        <v>845</v>
      </c>
      <c r="C17" s="23" t="s">
        <v>1364</v>
      </c>
      <c r="D17" t="s">
        <v>1045</v>
      </c>
      <c r="E17" s="23" t="s">
        <v>1307</v>
      </c>
    </row>
    <row r="18" spans="1:5" ht="30" x14ac:dyDescent="0.25">
      <c r="A18" s="29" t="s">
        <v>929</v>
      </c>
      <c r="B18" t="s">
        <v>1308</v>
      </c>
      <c r="C18" s="23" t="s">
        <v>1305</v>
      </c>
      <c r="D18" t="s">
        <v>935</v>
      </c>
      <c r="E18" s="23" t="s">
        <v>1306</v>
      </c>
    </row>
    <row r="19" spans="1:5" ht="45" x14ac:dyDescent="0.25">
      <c r="A19" t="s">
        <v>891</v>
      </c>
      <c r="B19" t="s">
        <v>1309</v>
      </c>
      <c r="C19" s="23" t="s">
        <v>1310</v>
      </c>
      <c r="D19" t="s">
        <v>1311</v>
      </c>
    </row>
    <row r="20" spans="1:5" ht="45" x14ac:dyDescent="0.25">
      <c r="A20" s="29" t="s">
        <v>1052</v>
      </c>
      <c r="B20" t="s">
        <v>1312</v>
      </c>
      <c r="C20" s="23" t="s">
        <v>1315</v>
      </c>
      <c r="D20" t="s">
        <v>1314</v>
      </c>
      <c r="E20" s="23" t="s">
        <v>1313</v>
      </c>
    </row>
    <row r="21" spans="1:5" ht="75" x14ac:dyDescent="0.25">
      <c r="A21" s="28" t="s">
        <v>905</v>
      </c>
      <c r="B21" t="s">
        <v>924</v>
      </c>
      <c r="C21" s="23" t="s">
        <v>1119</v>
      </c>
      <c r="D21" t="s">
        <v>909</v>
      </c>
      <c r="E21" s="23" t="s">
        <v>925</v>
      </c>
    </row>
    <row r="22" spans="1:5" ht="30" x14ac:dyDescent="0.25">
      <c r="A22" s="29" t="s">
        <v>859</v>
      </c>
      <c r="B22" t="s">
        <v>1319</v>
      </c>
      <c r="C22" s="23" t="s">
        <v>1320</v>
      </c>
      <c r="D22" t="s">
        <v>902</v>
      </c>
      <c r="E22" s="23" t="s">
        <v>1317</v>
      </c>
    </row>
    <row r="23" spans="1:5" ht="45" x14ac:dyDescent="0.25">
      <c r="A23" s="29" t="s">
        <v>849</v>
      </c>
      <c r="B23" t="s">
        <v>850</v>
      </c>
      <c r="C23" s="23" t="s">
        <v>1355</v>
      </c>
      <c r="D23" t="s">
        <v>851</v>
      </c>
      <c r="E23" s="23" t="s">
        <v>1318</v>
      </c>
    </row>
    <row r="24" spans="1:5" ht="60" x14ac:dyDescent="0.25">
      <c r="A24" s="28" t="s">
        <v>892</v>
      </c>
      <c r="B24" t="s">
        <v>893</v>
      </c>
      <c r="C24" s="23" t="s">
        <v>1134</v>
      </c>
      <c r="D24" t="s">
        <v>1066</v>
      </c>
      <c r="E24" s="23" t="s">
        <v>1068</v>
      </c>
    </row>
    <row r="25" spans="1:5" ht="45" x14ac:dyDescent="0.25">
      <c r="A25" s="29" t="s">
        <v>860</v>
      </c>
      <c r="B25" t="s">
        <v>1323</v>
      </c>
      <c r="C25" s="23" t="s">
        <v>1342</v>
      </c>
      <c r="D25" t="s">
        <v>1321</v>
      </c>
      <c r="E25" s="23" t="s">
        <v>1322</v>
      </c>
    </row>
    <row r="26" spans="1:5" ht="45" x14ac:dyDescent="0.25">
      <c r="A26" s="29" t="s">
        <v>857</v>
      </c>
      <c r="B26" t="s">
        <v>858</v>
      </c>
      <c r="C26" s="23" t="s">
        <v>1326</v>
      </c>
      <c r="D26" s="26" t="s">
        <v>1324</v>
      </c>
      <c r="E26" s="25" t="s">
        <v>1325</v>
      </c>
    </row>
    <row r="27" spans="1:5" ht="45" x14ac:dyDescent="0.25">
      <c r="A27" s="29" t="s">
        <v>894</v>
      </c>
      <c r="B27" t="s">
        <v>1329</v>
      </c>
      <c r="C27" s="23" t="s">
        <v>1330</v>
      </c>
      <c r="D27" t="s">
        <v>1327</v>
      </c>
      <c r="E27" s="23" t="s">
        <v>1328</v>
      </c>
    </row>
    <row r="28" spans="1:5" ht="75" x14ac:dyDescent="0.25">
      <c r="A28" s="28" t="s">
        <v>915</v>
      </c>
      <c r="B28" t="s">
        <v>916</v>
      </c>
      <c r="C28" s="23" t="s">
        <v>1135</v>
      </c>
      <c r="D28" t="s">
        <v>917</v>
      </c>
      <c r="E28" s="23" t="s">
        <v>1116</v>
      </c>
    </row>
    <row r="29" spans="1:5" ht="45" x14ac:dyDescent="0.25">
      <c r="A29" s="29" t="s">
        <v>927</v>
      </c>
      <c r="B29" t="s">
        <v>1067</v>
      </c>
      <c r="C29" s="23" t="s">
        <v>1373</v>
      </c>
      <c r="D29" t="s">
        <v>1333</v>
      </c>
      <c r="E29" s="23" t="s">
        <v>1334</v>
      </c>
    </row>
    <row r="30" spans="1:5" ht="30" x14ac:dyDescent="0.25">
      <c r="A30" s="29" t="s">
        <v>906</v>
      </c>
      <c r="B30" t="s">
        <v>1055</v>
      </c>
      <c r="C30" s="23" t="s">
        <v>1331</v>
      </c>
      <c r="D30" t="s">
        <v>907</v>
      </c>
      <c r="E30" s="23" t="s">
        <v>1332</v>
      </c>
    </row>
    <row r="31" spans="1:5" ht="30" x14ac:dyDescent="0.25">
      <c r="A31" s="28" t="s">
        <v>865</v>
      </c>
      <c r="D31" t="s">
        <v>1347</v>
      </c>
      <c r="E31" s="23" t="s">
        <v>1098</v>
      </c>
    </row>
    <row r="32" spans="1:5" ht="45" x14ac:dyDescent="0.25">
      <c r="A32" s="29" t="s">
        <v>846</v>
      </c>
      <c r="B32" t="s">
        <v>1335</v>
      </c>
      <c r="C32" s="23" t="s">
        <v>1338</v>
      </c>
      <c r="D32" t="s">
        <v>1336</v>
      </c>
      <c r="E32" s="23" t="s">
        <v>1337</v>
      </c>
    </row>
    <row r="33" spans="1:5" ht="45" x14ac:dyDescent="0.25">
      <c r="A33" s="29" t="s">
        <v>866</v>
      </c>
      <c r="B33" t="s">
        <v>1344</v>
      </c>
      <c r="C33" s="23" t="s">
        <v>1343</v>
      </c>
      <c r="D33" s="26" t="s">
        <v>1345</v>
      </c>
      <c r="E33" s="23" t="s">
        <v>1346</v>
      </c>
    </row>
    <row r="34" spans="1:5" ht="30" x14ac:dyDescent="0.25">
      <c r="A34" s="29" t="s">
        <v>495</v>
      </c>
      <c r="B34" t="s">
        <v>885</v>
      </c>
      <c r="C34" s="23" t="s">
        <v>1339</v>
      </c>
      <c r="D34" t="s">
        <v>1340</v>
      </c>
      <c r="E34" s="23" t="s">
        <v>1341</v>
      </c>
    </row>
    <row r="35" spans="1:5" ht="30" x14ac:dyDescent="0.25">
      <c r="A35" s="28" t="s">
        <v>930</v>
      </c>
      <c r="B35" t="s">
        <v>937</v>
      </c>
      <c r="C35" s="23" t="s">
        <v>1357</v>
      </c>
      <c r="D35" t="s">
        <v>936</v>
      </c>
      <c r="E35" s="23" t="s">
        <v>1353</v>
      </c>
    </row>
    <row r="36" spans="1:5" ht="45" x14ac:dyDescent="0.25">
      <c r="A36" s="29" t="s">
        <v>871</v>
      </c>
      <c r="B36" t="s">
        <v>1120</v>
      </c>
      <c r="C36" s="23" t="s">
        <v>1349</v>
      </c>
      <c r="D36" t="s">
        <v>872</v>
      </c>
      <c r="E36" s="23" t="s">
        <v>1348</v>
      </c>
    </row>
    <row r="37" spans="1:5" ht="45" x14ac:dyDescent="0.25">
      <c r="A37" s="29" t="s">
        <v>855</v>
      </c>
      <c r="B37" t="s">
        <v>1351</v>
      </c>
      <c r="C37" s="23" t="s">
        <v>1352</v>
      </c>
      <c r="D37" t="s">
        <v>856</v>
      </c>
      <c r="E37" s="23" t="s">
        <v>1350</v>
      </c>
    </row>
    <row r="38" spans="1:5" ht="60" x14ac:dyDescent="0.25">
      <c r="A38" s="28" t="s">
        <v>921</v>
      </c>
      <c r="B38" t="s">
        <v>922</v>
      </c>
      <c r="C38" s="23" t="s">
        <v>1044</v>
      </c>
      <c r="D38" t="s">
        <v>926</v>
      </c>
      <c r="E38" s="23" t="s">
        <v>1117</v>
      </c>
    </row>
    <row r="39" spans="1:5" ht="45" x14ac:dyDescent="0.25">
      <c r="A39" s="29" t="s">
        <v>928</v>
      </c>
      <c r="B39" t="s">
        <v>934</v>
      </c>
      <c r="C39" s="23" t="s">
        <v>1356</v>
      </c>
      <c r="D39" t="s">
        <v>1095</v>
      </c>
      <c r="E39" s="23" t="s">
        <v>1354</v>
      </c>
    </row>
    <row r="40" spans="1:5" ht="30" x14ac:dyDescent="0.25">
      <c r="A40" s="29" t="s">
        <v>853</v>
      </c>
      <c r="B40" t="s">
        <v>1360</v>
      </c>
      <c r="C40" s="23" t="s">
        <v>1358</v>
      </c>
      <c r="D40" t="s">
        <v>1047</v>
      </c>
      <c r="E40" s="23" t="s">
        <v>1359</v>
      </c>
    </row>
    <row r="41" spans="1:5" ht="30" x14ac:dyDescent="0.25">
      <c r="A41" s="29" t="s">
        <v>873</v>
      </c>
      <c r="B41" t="s">
        <v>883</v>
      </c>
      <c r="C41" s="23" t="s">
        <v>1114</v>
      </c>
      <c r="D41" t="s">
        <v>875</v>
      </c>
      <c r="E41" s="23" t="s">
        <v>1361</v>
      </c>
    </row>
    <row r="42" spans="1:5" ht="30" x14ac:dyDescent="0.25">
      <c r="A42" s="29" t="s">
        <v>874</v>
      </c>
      <c r="B42" t="s">
        <v>884</v>
      </c>
      <c r="C42" s="23" t="s">
        <v>1115</v>
      </c>
      <c r="D42" t="s">
        <v>876</v>
      </c>
      <c r="E42" s="23" t="s">
        <v>1362</v>
      </c>
    </row>
    <row r="43" spans="1:5" ht="60" x14ac:dyDescent="0.25">
      <c r="A43" s="29" t="s">
        <v>867</v>
      </c>
      <c r="B43" t="s">
        <v>868</v>
      </c>
      <c r="C43" s="23" t="s">
        <v>1363</v>
      </c>
      <c r="D43" t="s">
        <v>869</v>
      </c>
      <c r="E43" s="23" t="s">
        <v>870</v>
      </c>
    </row>
    <row r="44" spans="1:5" ht="60" x14ac:dyDescent="0.25">
      <c r="A44" s="28" t="s">
        <v>932</v>
      </c>
      <c r="B44" t="s">
        <v>1073</v>
      </c>
      <c r="C44" s="23" t="s">
        <v>1370</v>
      </c>
      <c r="D44" s="26" t="s">
        <v>1371</v>
      </c>
    </row>
    <row r="45" spans="1:5" ht="45" x14ac:dyDescent="0.25">
      <c r="A45" s="29" t="s">
        <v>889</v>
      </c>
      <c r="B45" t="s">
        <v>1053</v>
      </c>
      <c r="C45" s="23" t="s">
        <v>1365</v>
      </c>
      <c r="D45" t="s">
        <v>890</v>
      </c>
      <c r="E45" s="23" t="s">
        <v>1367</v>
      </c>
    </row>
    <row r="46" spans="1:5" ht="30" x14ac:dyDescent="0.25">
      <c r="A46" s="29" t="s">
        <v>911</v>
      </c>
      <c r="B46" t="s">
        <v>1372</v>
      </c>
      <c r="C46" s="23" t="s">
        <v>1375</v>
      </c>
      <c r="D46" t="s">
        <v>920</v>
      </c>
      <c r="E46" s="23" t="s">
        <v>1366</v>
      </c>
    </row>
    <row r="47" spans="1:5" ht="30" x14ac:dyDescent="0.25">
      <c r="A47" s="30" t="s">
        <v>910</v>
      </c>
      <c r="B47" t="s">
        <v>1376</v>
      </c>
      <c r="C47" s="23" t="s">
        <v>1374</v>
      </c>
      <c r="D47" t="s">
        <v>923</v>
      </c>
      <c r="E47" s="23" t="s">
        <v>1368</v>
      </c>
    </row>
    <row r="48" spans="1:5" ht="45" x14ac:dyDescent="0.25">
      <c r="A48" s="28" t="s">
        <v>887</v>
      </c>
      <c r="B48" t="s">
        <v>1091</v>
      </c>
      <c r="C48" s="23" t="s">
        <v>1092</v>
      </c>
      <c r="D48" t="s">
        <v>1121</v>
      </c>
      <c r="E48" s="23" t="s">
        <v>1093</v>
      </c>
    </row>
    <row r="49" spans="1:5" ht="45" x14ac:dyDescent="0.25">
      <c r="A49" s="28" t="s">
        <v>1122</v>
      </c>
      <c r="B49" t="s">
        <v>1123</v>
      </c>
      <c r="C49" s="23" t="s">
        <v>1124</v>
      </c>
      <c r="D49" t="s">
        <v>1125</v>
      </c>
      <c r="E49" s="23" t="s">
        <v>1369</v>
      </c>
    </row>
  </sheetData>
  <sortState xmlns:xlrd2="http://schemas.microsoft.com/office/spreadsheetml/2017/richdata2" ref="A2:E48">
    <sortCondition ref="A2:A48"/>
  </sortState>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pokemon</vt:lpstr>
      <vt:lpstr>moves</vt:lpstr>
      <vt:lpstr>analysis</vt:lpstr>
      <vt:lpstr>trainer_cards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Lloyd Clarke</dc:creator>
  <cp:lastModifiedBy>Lloyd Clarke</cp:lastModifiedBy>
  <dcterms:created xsi:type="dcterms:W3CDTF">2021-03-17T17:30:22Z</dcterms:created>
  <dcterms:modified xsi:type="dcterms:W3CDTF">2025-07-27T23:33:37Z</dcterms:modified>
</cp:coreProperties>
</file>