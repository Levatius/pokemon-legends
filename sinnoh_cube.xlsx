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Lev\PycharmProjects\pokemon-legends\"/>
    </mc:Choice>
  </mc:AlternateContent>
  <xr:revisionPtr revIDLastSave="0" documentId="13_ncr:1_{691C03AC-4640-4FEE-85BC-11E83593BF21}" xr6:coauthVersionLast="47" xr6:coauthVersionMax="47" xr10:uidLastSave="{00000000-0000-0000-0000-000000000000}"/>
  <bookViews>
    <workbookView xWindow="0" yWindow="0" windowWidth="25800" windowHeight="21150" xr2:uid="{00000000-000D-0000-FFFF-FFFF00000000}"/>
  </bookViews>
  <sheets>
    <sheet name="pokemon" sheetId="1" r:id="rId1"/>
    <sheet name="moves" sheetId="6" r:id="rId2"/>
    <sheet name="analysis" sheetId="7" r:id="rId3"/>
    <sheet name="trainer_cards"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368" i="1" l="1" a="1"/>
  <c r="AI368" i="1" s="1"/>
  <c r="D204" i="6"/>
  <c r="D215" i="6"/>
  <c r="D97" i="6"/>
  <c r="AF2" i="1"/>
  <c r="D203" i="6"/>
  <c r="AD363" i="1"/>
  <c r="AF363" i="1"/>
  <c r="AD364" i="1"/>
  <c r="AF364" i="1"/>
  <c r="S364" i="1"/>
  <c r="R363" i="1"/>
  <c r="AA364" i="1"/>
  <c r="V364" i="1"/>
  <c r="U364" i="1"/>
  <c r="O364" i="1"/>
  <c r="N364" i="1"/>
  <c r="R364" i="1" s="1"/>
  <c r="N363" i="1"/>
  <c r="O363" i="1"/>
  <c r="S363" i="1" s="1"/>
  <c r="T363" i="1" s="1"/>
  <c r="AI363" i="1" s="1" a="1"/>
  <c r="AI363" i="1" s="1"/>
  <c r="V363" i="1"/>
  <c r="U363" i="1"/>
  <c r="AA363" i="1"/>
  <c r="AD66" i="1"/>
  <c r="D175" i="6"/>
  <c r="AE361" i="1" s="1"/>
  <c r="AD362" i="1"/>
  <c r="AA362" i="1"/>
  <c r="V362" i="1"/>
  <c r="U362" i="1"/>
  <c r="O362" i="1"/>
  <c r="S362" i="1" s="1"/>
  <c r="N362" i="1"/>
  <c r="R362" i="1" s="1"/>
  <c r="AF361" i="1"/>
  <c r="AD361" i="1"/>
  <c r="AA361" i="1"/>
  <c r="U361" i="1"/>
  <c r="O361" i="1"/>
  <c r="S361" i="1" s="1"/>
  <c r="N361" i="1"/>
  <c r="R361" i="1" s="1"/>
  <c r="D216" i="6"/>
  <c r="AF359" i="1" s="1"/>
  <c r="D217" i="6"/>
  <c r="AE360" i="1" s="1"/>
  <c r="AF360" i="1"/>
  <c r="AD360" i="1"/>
  <c r="Z360" i="1"/>
  <c r="V360" i="1"/>
  <c r="U360" i="1"/>
  <c r="O360" i="1"/>
  <c r="S360" i="1" s="1"/>
  <c r="N360" i="1"/>
  <c r="R360" i="1" s="1"/>
  <c r="AD359" i="1"/>
  <c r="AA359" i="1"/>
  <c r="Z359" i="1"/>
  <c r="V359" i="1"/>
  <c r="U359" i="1"/>
  <c r="O359" i="1"/>
  <c r="S359" i="1" s="1"/>
  <c r="N359" i="1"/>
  <c r="R359" i="1" s="1"/>
  <c r="Z355" i="1"/>
  <c r="Z358" i="1"/>
  <c r="D233" i="6"/>
  <c r="AE358" i="1" s="1"/>
  <c r="AF358" i="1"/>
  <c r="AD358" i="1"/>
  <c r="AA358" i="1"/>
  <c r="V358" i="1"/>
  <c r="U358" i="1"/>
  <c r="O358" i="1"/>
  <c r="S358" i="1" s="1"/>
  <c r="N358" i="1"/>
  <c r="R358" i="1" s="1"/>
  <c r="AD357" i="1"/>
  <c r="AA357" i="1"/>
  <c r="V357" i="1"/>
  <c r="U357" i="1"/>
  <c r="O357" i="1"/>
  <c r="S357" i="1" s="1"/>
  <c r="N357" i="1"/>
  <c r="R357" i="1" s="1"/>
  <c r="V356" i="1"/>
  <c r="U356" i="1"/>
  <c r="AA356" i="1"/>
  <c r="AD356" i="1"/>
  <c r="N356" i="1"/>
  <c r="R356" i="1" s="1"/>
  <c r="O356" i="1"/>
  <c r="S356" i="1" s="1"/>
  <c r="D11" i="6"/>
  <c r="AF297" i="1" s="1"/>
  <c r="N297" i="1"/>
  <c r="R297" i="1" s="1"/>
  <c r="O297" i="1"/>
  <c r="S297" i="1" s="1"/>
  <c r="Z297" i="1"/>
  <c r="AA297" i="1"/>
  <c r="AD297" i="1"/>
  <c r="AD187" i="1"/>
  <c r="AD188" i="1"/>
  <c r="AF188" i="1"/>
  <c r="D34" i="6"/>
  <c r="AE188" i="1" s="1"/>
  <c r="D49" i="6"/>
  <c r="AE187" i="1" s="1"/>
  <c r="N188" i="1"/>
  <c r="R188" i="1" s="1"/>
  <c r="O188" i="1"/>
  <c r="S188" i="1" s="1"/>
  <c r="U188" i="1"/>
  <c r="AA188" i="1"/>
  <c r="N187" i="1"/>
  <c r="R187" i="1" s="1"/>
  <c r="O187" i="1"/>
  <c r="S187" i="1" s="1"/>
  <c r="U187" i="1"/>
  <c r="AA187" i="1"/>
  <c r="D202" i="6"/>
  <c r="D33" i="6"/>
  <c r="AF132" i="1" s="1"/>
  <c r="D214" i="6"/>
  <c r="D128" i="6"/>
  <c r="AF121" i="1" s="1"/>
  <c r="D100" i="6"/>
  <c r="AF105" i="1" s="1"/>
  <c r="D232" i="6"/>
  <c r="D22" i="6"/>
  <c r="AF88" i="1" s="1"/>
  <c r="D58" i="6"/>
  <c r="AE85" i="1" s="1"/>
  <c r="D256" i="6"/>
  <c r="AE82" i="1" s="1"/>
  <c r="AA58" i="1"/>
  <c r="V125" i="1"/>
  <c r="V121" i="1"/>
  <c r="V85" i="1"/>
  <c r="V59" i="1"/>
  <c r="AF59" i="1"/>
  <c r="AD59" i="1"/>
  <c r="Z59" i="1"/>
  <c r="U59" i="1"/>
  <c r="O59" i="1"/>
  <c r="S59" i="1" s="1"/>
  <c r="N59" i="1"/>
  <c r="R59" i="1" s="1"/>
  <c r="AA81" i="1"/>
  <c r="AF93" i="1"/>
  <c r="AD93" i="1"/>
  <c r="Z93" i="1"/>
  <c r="V93" i="1"/>
  <c r="U93" i="1"/>
  <c r="O93" i="1"/>
  <c r="S93" i="1" s="1"/>
  <c r="N93" i="1"/>
  <c r="R93" i="1" s="1"/>
  <c r="AD132" i="1"/>
  <c r="Z132" i="1"/>
  <c r="V132" i="1"/>
  <c r="U132" i="1"/>
  <c r="O132" i="1"/>
  <c r="S132" i="1" s="1"/>
  <c r="N132" i="1"/>
  <c r="R132" i="1" s="1"/>
  <c r="AA119" i="1"/>
  <c r="AF125" i="1"/>
  <c r="AD125" i="1"/>
  <c r="Z125" i="1"/>
  <c r="U125" i="1"/>
  <c r="O125" i="1"/>
  <c r="S125" i="1" s="1"/>
  <c r="N125" i="1"/>
  <c r="R125" i="1" s="1"/>
  <c r="AD121" i="1"/>
  <c r="Z121" i="1"/>
  <c r="U121" i="1"/>
  <c r="O121" i="1"/>
  <c r="S121" i="1" s="1"/>
  <c r="N121" i="1"/>
  <c r="R121" i="1" s="1"/>
  <c r="AD105" i="1"/>
  <c r="Z105" i="1"/>
  <c r="V105" i="1"/>
  <c r="U105" i="1"/>
  <c r="O105" i="1"/>
  <c r="S105" i="1" s="1"/>
  <c r="N105" i="1"/>
  <c r="R105" i="1" s="1"/>
  <c r="AF82" i="1"/>
  <c r="AD82" i="1"/>
  <c r="Z82" i="1"/>
  <c r="V82" i="1"/>
  <c r="U82" i="1"/>
  <c r="O82" i="1"/>
  <c r="S82" i="1" s="1"/>
  <c r="N82" i="1"/>
  <c r="R82" i="1" s="1"/>
  <c r="AD85" i="1"/>
  <c r="Z85" i="1"/>
  <c r="U85" i="1"/>
  <c r="O85" i="1"/>
  <c r="S85" i="1" s="1"/>
  <c r="N85" i="1"/>
  <c r="R85" i="1" s="1"/>
  <c r="AD88" i="1"/>
  <c r="Z88" i="1"/>
  <c r="V88" i="1"/>
  <c r="U88" i="1"/>
  <c r="O88" i="1"/>
  <c r="S88" i="1" s="1"/>
  <c r="N88" i="1"/>
  <c r="R88" i="1" s="1"/>
  <c r="D24" i="6"/>
  <c r="AD354" i="1"/>
  <c r="AD355" i="1"/>
  <c r="D136" i="6"/>
  <c r="D162" i="6"/>
  <c r="D130" i="6"/>
  <c r="AE355" i="1" s="1"/>
  <c r="D135" i="6"/>
  <c r="AE354" i="1" s="1"/>
  <c r="Z351" i="1"/>
  <c r="Z352" i="1"/>
  <c r="Z353" i="1"/>
  <c r="Y354" i="1"/>
  <c r="AA355" i="1"/>
  <c r="U355" i="1"/>
  <c r="O355" i="1"/>
  <c r="S355" i="1" s="1"/>
  <c r="N355" i="1"/>
  <c r="R355" i="1" s="1"/>
  <c r="N354" i="1"/>
  <c r="R354" i="1" s="1"/>
  <c r="O354" i="1"/>
  <c r="S354" i="1" s="1"/>
  <c r="U354" i="1"/>
  <c r="AA354" i="1"/>
  <c r="AD353" i="1"/>
  <c r="AF353" i="1"/>
  <c r="D209" i="6"/>
  <c r="AE353" i="1" s="1"/>
  <c r="N353" i="1"/>
  <c r="R353" i="1" s="1"/>
  <c r="O353" i="1"/>
  <c r="S353" i="1" s="1"/>
  <c r="V353" i="1"/>
  <c r="U353" i="1"/>
  <c r="AA353" i="1"/>
  <c r="D45" i="6"/>
  <c r="D146" i="6"/>
  <c r="D84" i="6"/>
  <c r="D54" i="6"/>
  <c r="AE352" i="1" s="1"/>
  <c r="AD352" i="1"/>
  <c r="AF352" i="1"/>
  <c r="N352" i="1"/>
  <c r="R352" i="1" s="1"/>
  <c r="O352" i="1"/>
  <c r="S352" i="1" s="1"/>
  <c r="V352" i="1"/>
  <c r="U352" i="1"/>
  <c r="AA352" i="1"/>
  <c r="D94" i="6"/>
  <c r="T364" i="1" l="1"/>
  <c r="AI364" i="1" s="1" a="1"/>
  <c r="AI364" i="1" s="1"/>
  <c r="AE359" i="1"/>
  <c r="AF85" i="1"/>
  <c r="AF354" i="1"/>
  <c r="AF187" i="1"/>
  <c r="AF355" i="1"/>
  <c r="T362" i="1"/>
  <c r="AI362" i="1" s="1" a="1"/>
  <c r="AI362" i="1" s="1"/>
  <c r="T361" i="1"/>
  <c r="AI361" i="1" s="1" a="1"/>
  <c r="AI361" i="1" s="1"/>
  <c r="T360" i="1"/>
  <c r="AI360" i="1" s="1" a="1"/>
  <c r="AI360" i="1" s="1"/>
  <c r="T359" i="1"/>
  <c r="AI359" i="1" s="1" a="1"/>
  <c r="AI359" i="1" s="1"/>
  <c r="T358" i="1"/>
  <c r="T357" i="1"/>
  <c r="T356" i="1"/>
  <c r="AI356" i="1" s="1" a="1"/>
  <c r="AI356" i="1" s="1"/>
  <c r="T297" i="1"/>
  <c r="AI297" i="1" s="1" a="1"/>
  <c r="AI297" i="1" s="1"/>
  <c r="T188" i="1"/>
  <c r="AI188" i="1" s="1" a="1"/>
  <c r="AI188" i="1" s="1"/>
  <c r="T187" i="1"/>
  <c r="AI187" i="1" s="1" a="1"/>
  <c r="AI187" i="1" s="1"/>
  <c r="T59" i="1"/>
  <c r="AI59" i="1" s="1" a="1"/>
  <c r="AI59" i="1" s="1"/>
  <c r="T93" i="1"/>
  <c r="AI93" i="1" s="1" a="1"/>
  <c r="AI93" i="1" s="1"/>
  <c r="T121" i="1"/>
  <c r="AI121" i="1" s="1" a="1"/>
  <c r="AI121" i="1" s="1"/>
  <c r="T132" i="1"/>
  <c r="AI132" i="1" s="1" a="1"/>
  <c r="AI132" i="1" s="1"/>
  <c r="T125" i="1"/>
  <c r="AI125" i="1" s="1" a="1"/>
  <c r="AI125" i="1" s="1"/>
  <c r="T105" i="1"/>
  <c r="AI105" i="1" s="1" a="1"/>
  <c r="AI105" i="1" s="1"/>
  <c r="T82" i="1"/>
  <c r="T85" i="1"/>
  <c r="AI85" i="1" s="1" a="1"/>
  <c r="AI85" i="1" s="1"/>
  <c r="T88" i="1"/>
  <c r="AI88" i="1" s="1" a="1"/>
  <c r="AI88" i="1" s="1"/>
  <c r="T354" i="1"/>
  <c r="AI354" i="1" s="1" a="1"/>
  <c r="AI354" i="1" s="1"/>
  <c r="T355" i="1"/>
  <c r="T353" i="1"/>
  <c r="AI353" i="1" s="1" a="1"/>
  <c r="AI353" i="1" s="1"/>
  <c r="T352" i="1"/>
  <c r="AI352" i="1" s="1" a="1"/>
  <c r="AI352" i="1" s="1"/>
  <c r="D126" i="6"/>
  <c r="D125" i="6"/>
  <c r="D6" i="6"/>
  <c r="D145" i="6"/>
  <c r="D81" i="6"/>
  <c r="AE351" i="1" s="1"/>
  <c r="AD350" i="1"/>
  <c r="AD351" i="1"/>
  <c r="Z349" i="1"/>
  <c r="Y350" i="1"/>
  <c r="V351" i="1"/>
  <c r="U351" i="1"/>
  <c r="N351" i="1"/>
  <c r="R351" i="1" s="1"/>
  <c r="O351" i="1"/>
  <c r="S351" i="1" s="1"/>
  <c r="AA351" i="1"/>
  <c r="N350" i="1"/>
  <c r="R350" i="1" s="1"/>
  <c r="O350" i="1"/>
  <c r="S350" i="1" s="1"/>
  <c r="V350" i="1"/>
  <c r="U350" i="1"/>
  <c r="AA350" i="1"/>
  <c r="D228" i="6"/>
  <c r="D255" i="6"/>
  <c r="D30" i="6"/>
  <c r="D18" i="7"/>
  <c r="D19" i="7"/>
  <c r="D20" i="7"/>
  <c r="D21" i="7"/>
  <c r="D22" i="7"/>
  <c r="D23" i="7"/>
  <c r="D24" i="7"/>
  <c r="D25" i="7"/>
  <c r="D26" i="7"/>
  <c r="D27" i="7"/>
  <c r="D28" i="7"/>
  <c r="D29" i="7"/>
  <c r="D30" i="7"/>
  <c r="D31" i="7"/>
  <c r="D32" i="7"/>
  <c r="D33" i="7"/>
  <c r="D34" i="7"/>
  <c r="D35" i="7"/>
  <c r="B20" i="7"/>
  <c r="B21" i="7"/>
  <c r="B22" i="7"/>
  <c r="B23" i="7"/>
  <c r="B24" i="7"/>
  <c r="B25" i="7"/>
  <c r="B26" i="7"/>
  <c r="B27" i="7"/>
  <c r="B28" i="7"/>
  <c r="B29" i="7"/>
  <c r="B30" i="7"/>
  <c r="B31" i="7"/>
  <c r="B32" i="7"/>
  <c r="B33" i="7"/>
  <c r="B34" i="7"/>
  <c r="B35" i="7"/>
  <c r="B19" i="7"/>
  <c r="B18" i="7"/>
  <c r="Z346" i="1"/>
  <c r="Y347" i="1"/>
  <c r="Y348" i="1"/>
  <c r="AA347" i="1"/>
  <c r="AA348" i="1"/>
  <c r="AA349" i="1"/>
  <c r="D25" i="6"/>
  <c r="AF347" i="1" s="1"/>
  <c r="D28" i="6"/>
  <c r="AE349" i="1" s="1"/>
  <c r="AD347" i="1"/>
  <c r="AD348" i="1"/>
  <c r="AD349" i="1"/>
  <c r="N348" i="1"/>
  <c r="R348" i="1" s="1"/>
  <c r="O348" i="1"/>
  <c r="S348" i="1" s="1"/>
  <c r="U348" i="1"/>
  <c r="V348" i="1"/>
  <c r="N349" i="1"/>
  <c r="R349" i="1" s="1"/>
  <c r="O349" i="1"/>
  <c r="S349" i="1" s="1"/>
  <c r="U349" i="1"/>
  <c r="V349" i="1"/>
  <c r="N347" i="1"/>
  <c r="R347" i="1" s="1"/>
  <c r="O347" i="1"/>
  <c r="S347" i="1" s="1"/>
  <c r="V347" i="1"/>
  <c r="U347" i="1"/>
  <c r="F172" i="1"/>
  <c r="J172" i="1"/>
  <c r="AD345" i="1"/>
  <c r="AD346" i="1"/>
  <c r="AA346" i="1"/>
  <c r="Z341" i="1"/>
  <c r="Z342" i="1"/>
  <c r="Z343" i="1"/>
  <c r="Z344" i="1"/>
  <c r="Y345" i="1"/>
  <c r="U346" i="1"/>
  <c r="V346" i="1"/>
  <c r="N346" i="1"/>
  <c r="R346" i="1" s="1"/>
  <c r="O346" i="1"/>
  <c r="S346" i="1" s="1"/>
  <c r="AA345" i="1"/>
  <c r="V345" i="1"/>
  <c r="N345" i="1"/>
  <c r="R345" i="1" s="1"/>
  <c r="O345" i="1"/>
  <c r="S345" i="1" s="1"/>
  <c r="U345" i="1"/>
  <c r="D71" i="6"/>
  <c r="AE346" i="1" s="1"/>
  <c r="D18" i="6"/>
  <c r="AE344" i="1" s="1"/>
  <c r="D39" i="6"/>
  <c r="AE343" i="1" s="1"/>
  <c r="AF343" i="1"/>
  <c r="AF344" i="1"/>
  <c r="AD343" i="1"/>
  <c r="AD344" i="1"/>
  <c r="AA343" i="1"/>
  <c r="V344" i="1"/>
  <c r="U344" i="1"/>
  <c r="O344" i="1"/>
  <c r="S344" i="1" s="1"/>
  <c r="N344" i="1"/>
  <c r="R344" i="1" s="1"/>
  <c r="V343" i="1"/>
  <c r="N343" i="1"/>
  <c r="R343" i="1" s="1"/>
  <c r="O343" i="1"/>
  <c r="S343" i="1" s="1"/>
  <c r="U343" i="1"/>
  <c r="AF330" i="1"/>
  <c r="AD330" i="1"/>
  <c r="AD331" i="1"/>
  <c r="D180" i="6"/>
  <c r="AE330" i="1" s="1"/>
  <c r="Z329" i="1"/>
  <c r="Z331" i="1"/>
  <c r="Y330" i="1"/>
  <c r="N331" i="1"/>
  <c r="R331" i="1" s="1"/>
  <c r="O331" i="1"/>
  <c r="S331" i="1" s="1"/>
  <c r="N330" i="1"/>
  <c r="R330" i="1" s="1"/>
  <c r="O330" i="1"/>
  <c r="S330" i="1" s="1"/>
  <c r="U331" i="1"/>
  <c r="AA331" i="1"/>
  <c r="U330" i="1"/>
  <c r="AA330" i="1"/>
  <c r="D163" i="6"/>
  <c r="AE340" i="1" s="1"/>
  <c r="D188" i="6"/>
  <c r="AE342" i="1" s="1"/>
  <c r="D89" i="6"/>
  <c r="AE341" i="1" s="1"/>
  <c r="AF340" i="1"/>
  <c r="AF341" i="1"/>
  <c r="AF342" i="1"/>
  <c r="AD340" i="1"/>
  <c r="AD341" i="1"/>
  <c r="AD342" i="1"/>
  <c r="AA341" i="1"/>
  <c r="Z338" i="1"/>
  <c r="Z339" i="1"/>
  <c r="Y340" i="1"/>
  <c r="U342" i="1"/>
  <c r="N342" i="1"/>
  <c r="R342" i="1" s="1"/>
  <c r="O342" i="1"/>
  <c r="S342" i="1" s="1"/>
  <c r="N341" i="1"/>
  <c r="R341" i="1" s="1"/>
  <c r="O341" i="1"/>
  <c r="S341" i="1" s="1"/>
  <c r="U341" i="1"/>
  <c r="AA340" i="1"/>
  <c r="N340" i="1"/>
  <c r="R340" i="1" s="1"/>
  <c r="O340" i="1"/>
  <c r="S340" i="1" s="1"/>
  <c r="U340" i="1"/>
  <c r="D174" i="6"/>
  <c r="AE297" i="1" s="1"/>
  <c r="D61" i="6"/>
  <c r="AF346" i="1" l="1"/>
  <c r="AF349" i="1"/>
  <c r="AF351" i="1"/>
  <c r="Z361" i="1"/>
  <c r="AI357" i="1" a="1"/>
  <c r="AI357" i="1" s="1"/>
  <c r="Z356" i="1"/>
  <c r="AI358" i="1" a="1"/>
  <c r="AI358" i="1" s="1"/>
  <c r="Z357" i="1"/>
  <c r="AI82" i="1" a="1"/>
  <c r="AI82" i="1" s="1"/>
  <c r="AI355" i="1" a="1"/>
  <c r="AI355" i="1" s="1"/>
  <c r="Z354" i="1"/>
  <c r="T350" i="1"/>
  <c r="AI350" i="1" s="1" a="1"/>
  <c r="AI350" i="1" s="1"/>
  <c r="T351" i="1"/>
  <c r="AI351" i="1" s="1" a="1"/>
  <c r="AI351" i="1" s="1"/>
  <c r="T347" i="1"/>
  <c r="AI347" i="1" s="1" a="1"/>
  <c r="AI347" i="1" s="1"/>
  <c r="T349" i="1"/>
  <c r="AI349" i="1" s="1" a="1"/>
  <c r="AI349" i="1" s="1"/>
  <c r="T348" i="1"/>
  <c r="T346" i="1"/>
  <c r="AI346" i="1" s="1" a="1"/>
  <c r="AI346" i="1" s="1"/>
  <c r="T345" i="1"/>
  <c r="AI345" i="1" s="1" a="1"/>
  <c r="AI345" i="1" s="1"/>
  <c r="T343" i="1"/>
  <c r="AI343" i="1" s="1" a="1"/>
  <c r="AI343" i="1" s="1"/>
  <c r="T344" i="1"/>
  <c r="AI344" i="1" s="1" a="1"/>
  <c r="AI344" i="1" s="1"/>
  <c r="T330" i="1"/>
  <c r="AI330" i="1" s="1" a="1"/>
  <c r="AI330" i="1" s="1"/>
  <c r="T331" i="1"/>
  <c r="AI331" i="1" s="1" a="1"/>
  <c r="AI331" i="1" s="1"/>
  <c r="T341" i="1"/>
  <c r="AI341" i="1" s="1" a="1"/>
  <c r="AI341" i="1" s="1"/>
  <c r="T342" i="1"/>
  <c r="AI342" i="1" s="1" a="1"/>
  <c r="AI342" i="1" s="1"/>
  <c r="T340" i="1"/>
  <c r="AI340" i="1" s="1" a="1"/>
  <c r="AI340" i="1" s="1"/>
  <c r="AE202" i="1"/>
  <c r="AD324" i="1"/>
  <c r="AA324" i="1"/>
  <c r="Z324" i="1"/>
  <c r="V324" i="1"/>
  <c r="U324" i="1"/>
  <c r="O324" i="1"/>
  <c r="S324" i="1" s="1"/>
  <c r="N324" i="1"/>
  <c r="R324" i="1" s="1"/>
  <c r="AD321" i="1"/>
  <c r="AA321" i="1"/>
  <c r="Z321" i="1"/>
  <c r="U321" i="1"/>
  <c r="O321" i="1"/>
  <c r="S321" i="1" s="1"/>
  <c r="N321" i="1"/>
  <c r="R321" i="1" s="1"/>
  <c r="AD317" i="1"/>
  <c r="AA317" i="1"/>
  <c r="Z317" i="1"/>
  <c r="U317" i="1"/>
  <c r="O317" i="1"/>
  <c r="S317" i="1" s="1"/>
  <c r="N317" i="1"/>
  <c r="R317" i="1" s="1"/>
  <c r="AD313" i="1"/>
  <c r="AA313" i="1"/>
  <c r="Z313" i="1"/>
  <c r="V313" i="1"/>
  <c r="U313" i="1"/>
  <c r="O313" i="1"/>
  <c r="S313" i="1" s="1"/>
  <c r="N313" i="1"/>
  <c r="R313" i="1" s="1"/>
  <c r="AD309" i="1"/>
  <c r="AA309" i="1"/>
  <c r="Z309" i="1"/>
  <c r="V309" i="1"/>
  <c r="U309" i="1"/>
  <c r="O309" i="1"/>
  <c r="S309" i="1" s="1"/>
  <c r="N309" i="1"/>
  <c r="R309" i="1" s="1"/>
  <c r="AF296" i="1"/>
  <c r="AD296" i="1"/>
  <c r="AA296" i="1"/>
  <c r="Z296" i="1"/>
  <c r="U296" i="1"/>
  <c r="O296" i="1"/>
  <c r="S296" i="1" s="1"/>
  <c r="N296" i="1"/>
  <c r="R296" i="1" s="1"/>
  <c r="AD292" i="1"/>
  <c r="AA292" i="1"/>
  <c r="Z292" i="1"/>
  <c r="V292" i="1"/>
  <c r="U292" i="1"/>
  <c r="O292" i="1"/>
  <c r="S292" i="1" s="1"/>
  <c r="N292" i="1"/>
  <c r="R292" i="1" s="1"/>
  <c r="AD204" i="1"/>
  <c r="AA204" i="1"/>
  <c r="Z204" i="1"/>
  <c r="U204" i="1"/>
  <c r="O204" i="1"/>
  <c r="S204" i="1" s="1"/>
  <c r="N204" i="1"/>
  <c r="R204" i="1" s="1"/>
  <c r="AD194" i="1"/>
  <c r="AA194" i="1"/>
  <c r="Z194" i="1"/>
  <c r="U194" i="1"/>
  <c r="O194" i="1"/>
  <c r="S194" i="1" s="1"/>
  <c r="N194" i="1"/>
  <c r="R194" i="1" s="1"/>
  <c r="AD157" i="1"/>
  <c r="AA157" i="1"/>
  <c r="Z157" i="1"/>
  <c r="U157" i="1"/>
  <c r="O157" i="1"/>
  <c r="S157" i="1" s="1"/>
  <c r="N157" i="1"/>
  <c r="R157" i="1" s="1"/>
  <c r="AD147" i="1"/>
  <c r="AA147" i="1"/>
  <c r="Z147" i="1"/>
  <c r="V147" i="1"/>
  <c r="U147" i="1"/>
  <c r="O147" i="1"/>
  <c r="S147" i="1" s="1"/>
  <c r="N147" i="1"/>
  <c r="R147" i="1" s="1"/>
  <c r="AF129" i="1"/>
  <c r="AD129" i="1"/>
  <c r="AA129" i="1"/>
  <c r="Z129" i="1"/>
  <c r="V129" i="1"/>
  <c r="U129" i="1"/>
  <c r="O129" i="1"/>
  <c r="S129" i="1" s="1"/>
  <c r="N129" i="1"/>
  <c r="R129" i="1" s="1"/>
  <c r="AF29" i="1"/>
  <c r="AD29" i="1"/>
  <c r="AA29" i="1"/>
  <c r="Z29" i="1"/>
  <c r="V29" i="1"/>
  <c r="U29" i="1"/>
  <c r="O29" i="1"/>
  <c r="S29" i="1" s="1"/>
  <c r="N29" i="1"/>
  <c r="R29" i="1" s="1"/>
  <c r="AF25" i="1"/>
  <c r="AD25" i="1"/>
  <c r="AA25" i="1"/>
  <c r="Z25" i="1"/>
  <c r="U25" i="1"/>
  <c r="O25" i="1"/>
  <c r="S25" i="1" s="1"/>
  <c r="N25" i="1"/>
  <c r="R25" i="1" s="1"/>
  <c r="AD17" i="1"/>
  <c r="AA17" i="1"/>
  <c r="Z17" i="1"/>
  <c r="V17" i="1"/>
  <c r="U17" i="1"/>
  <c r="O17" i="1"/>
  <c r="S17" i="1" s="1"/>
  <c r="N17" i="1"/>
  <c r="R17" i="1" s="1"/>
  <c r="AF13" i="1"/>
  <c r="AD13" i="1"/>
  <c r="AA13" i="1"/>
  <c r="Z13" i="1"/>
  <c r="U13" i="1"/>
  <c r="O13" i="1"/>
  <c r="S13" i="1" s="1"/>
  <c r="N13" i="1"/>
  <c r="R13" i="1" s="1"/>
  <c r="AD9" i="1"/>
  <c r="AA9" i="1"/>
  <c r="Z9" i="1"/>
  <c r="V9" i="1"/>
  <c r="U9" i="1"/>
  <c r="O9" i="1"/>
  <c r="S9" i="1" s="1"/>
  <c r="N9" i="1"/>
  <c r="R9" i="1" s="1"/>
  <c r="Z43" i="1"/>
  <c r="Z45" i="1"/>
  <c r="Z46" i="1"/>
  <c r="Z48" i="1"/>
  <c r="D114" i="6"/>
  <c r="AE45" i="1" s="1"/>
  <c r="U45" i="1"/>
  <c r="AD45" i="1"/>
  <c r="AA45" i="1"/>
  <c r="O45" i="1"/>
  <c r="S45" i="1" s="1"/>
  <c r="N45" i="1"/>
  <c r="R45" i="1" s="1"/>
  <c r="D237" i="6"/>
  <c r="AE36" i="1" s="1"/>
  <c r="AD37" i="1"/>
  <c r="Z37" i="1"/>
  <c r="U37" i="1"/>
  <c r="O37" i="1"/>
  <c r="S37" i="1" s="1"/>
  <c r="N37" i="1"/>
  <c r="R37" i="1" s="1"/>
  <c r="AF36" i="1"/>
  <c r="AD36" i="1"/>
  <c r="Z36" i="1"/>
  <c r="U36" i="1"/>
  <c r="O36" i="1"/>
  <c r="S36" i="1" s="1"/>
  <c r="N36" i="1"/>
  <c r="R36" i="1" s="1"/>
  <c r="D223" i="6"/>
  <c r="D140" i="6"/>
  <c r="D208" i="6"/>
  <c r="Y336" i="1"/>
  <c r="Y337" i="1"/>
  <c r="D66" i="6"/>
  <c r="AE337" i="1" s="1"/>
  <c r="D219" i="6"/>
  <c r="AF338" i="1" s="1"/>
  <c r="D26" i="6"/>
  <c r="AE169" i="1" s="1"/>
  <c r="D229" i="6"/>
  <c r="AF339" i="1"/>
  <c r="AD339" i="1"/>
  <c r="V339" i="1"/>
  <c r="U339" i="1"/>
  <c r="O339" i="1"/>
  <c r="S339" i="1" s="1"/>
  <c r="N339" i="1"/>
  <c r="R339" i="1" s="1"/>
  <c r="AD338" i="1"/>
  <c r="V338" i="1"/>
  <c r="U338" i="1"/>
  <c r="O338" i="1"/>
  <c r="S338" i="1" s="1"/>
  <c r="N338" i="1"/>
  <c r="R338" i="1" s="1"/>
  <c r="AF337" i="1"/>
  <c r="AD337" i="1"/>
  <c r="AA337" i="1"/>
  <c r="V337" i="1"/>
  <c r="U337" i="1"/>
  <c r="O337" i="1"/>
  <c r="S337" i="1" s="1"/>
  <c r="N337" i="1"/>
  <c r="R337" i="1" s="1"/>
  <c r="AD336" i="1"/>
  <c r="V336" i="1"/>
  <c r="N336" i="1"/>
  <c r="R336" i="1" s="1"/>
  <c r="O336" i="1"/>
  <c r="S336" i="1" s="1"/>
  <c r="U336" i="1"/>
  <c r="AA336" i="1"/>
  <c r="V180" i="1"/>
  <c r="AD180" i="1"/>
  <c r="Z180" i="1"/>
  <c r="U180" i="1"/>
  <c r="O180" i="1"/>
  <c r="S180" i="1" s="1"/>
  <c r="N180" i="1"/>
  <c r="R180" i="1" s="1"/>
  <c r="D83" i="6"/>
  <c r="AE164" i="1" s="1"/>
  <c r="AD166" i="1"/>
  <c r="Z166" i="1"/>
  <c r="V166" i="1"/>
  <c r="U166" i="1"/>
  <c r="O166" i="1"/>
  <c r="S166" i="1" s="1"/>
  <c r="N166" i="1"/>
  <c r="R166" i="1" s="1"/>
  <c r="AD165" i="1"/>
  <c r="Z165" i="1"/>
  <c r="V165" i="1"/>
  <c r="U165" i="1"/>
  <c r="O165" i="1"/>
  <c r="S165" i="1" s="1"/>
  <c r="N165" i="1"/>
  <c r="R165" i="1" s="1"/>
  <c r="AD164" i="1"/>
  <c r="Z164" i="1"/>
  <c r="V164" i="1"/>
  <c r="U164" i="1"/>
  <c r="O164" i="1"/>
  <c r="S164" i="1" s="1"/>
  <c r="N164" i="1"/>
  <c r="R164" i="1" s="1"/>
  <c r="AD163" i="1"/>
  <c r="Z163" i="1"/>
  <c r="V163" i="1"/>
  <c r="U163" i="1"/>
  <c r="O163" i="1"/>
  <c r="S163" i="1" s="1"/>
  <c r="N163" i="1"/>
  <c r="R163" i="1" s="1"/>
  <c r="AD162" i="1"/>
  <c r="Z162" i="1"/>
  <c r="V162" i="1"/>
  <c r="U162" i="1"/>
  <c r="O162" i="1"/>
  <c r="S162" i="1" s="1"/>
  <c r="N162" i="1"/>
  <c r="R162" i="1" s="1"/>
  <c r="AF28" i="1"/>
  <c r="AF35" i="1"/>
  <c r="AF38" i="1"/>
  <c r="AF39" i="1"/>
  <c r="AF41" i="1"/>
  <c r="AF56" i="1"/>
  <c r="AF74" i="1"/>
  <c r="AF90" i="1"/>
  <c r="AF92" i="1"/>
  <c r="AF96" i="1"/>
  <c r="AF110" i="1"/>
  <c r="AF111" i="1"/>
  <c r="AF113" i="1"/>
  <c r="AF117" i="1"/>
  <c r="AF128" i="1"/>
  <c r="AF130" i="1"/>
  <c r="AF133" i="1"/>
  <c r="AF146" i="1"/>
  <c r="AF148" i="1"/>
  <c r="AF168" i="1"/>
  <c r="AF169" i="1"/>
  <c r="AF170" i="1"/>
  <c r="AF174" i="1"/>
  <c r="AF184" i="1"/>
  <c r="AF185" i="1"/>
  <c r="AF186" i="1"/>
  <c r="AF191" i="1"/>
  <c r="AF199" i="1"/>
  <c r="AF201" i="1"/>
  <c r="AF202" i="1"/>
  <c r="AF206" i="1"/>
  <c r="AF207" i="1"/>
  <c r="AF208" i="1"/>
  <c r="AF209" i="1"/>
  <c r="AF210" i="1"/>
  <c r="AF223" i="1"/>
  <c r="AF225" i="1"/>
  <c r="AF239" i="1"/>
  <c r="AF241" i="1"/>
  <c r="AF255" i="1"/>
  <c r="AF257" i="1"/>
  <c r="AF270" i="1"/>
  <c r="AF271" i="1"/>
  <c r="AF273" i="1"/>
  <c r="AF286" i="1"/>
  <c r="AF287" i="1"/>
  <c r="AF289" i="1"/>
  <c r="AF295" i="1"/>
  <c r="AF305" i="1"/>
  <c r="AF306" i="1"/>
  <c r="AF308" i="1"/>
  <c r="AF315" i="1"/>
  <c r="AF326" i="1"/>
  <c r="AF327" i="1"/>
  <c r="AF329" i="1"/>
  <c r="AF374" i="1"/>
  <c r="AF377" i="1"/>
  <c r="AE74" i="1"/>
  <c r="AD3" i="1"/>
  <c r="AD4" i="1"/>
  <c r="AD6" i="1"/>
  <c r="AD7" i="1"/>
  <c r="AD8" i="1"/>
  <c r="AD10" i="1"/>
  <c r="AD11" i="1"/>
  <c r="AD12" i="1"/>
  <c r="AD14" i="1"/>
  <c r="AD15" i="1"/>
  <c r="AD16" i="1"/>
  <c r="AD18" i="1"/>
  <c r="AD19" i="1"/>
  <c r="AD20" i="1"/>
  <c r="AD21" i="1"/>
  <c r="AD22" i="1"/>
  <c r="AD23" i="1"/>
  <c r="AD24" i="1"/>
  <c r="AD26" i="1"/>
  <c r="AD27" i="1"/>
  <c r="AD28" i="1"/>
  <c r="AD30" i="1"/>
  <c r="AD31" i="1"/>
  <c r="AD32" i="1"/>
  <c r="AD33" i="1"/>
  <c r="AD34" i="1"/>
  <c r="AD35" i="1"/>
  <c r="AD38" i="1"/>
  <c r="AD39" i="1"/>
  <c r="AD40" i="1"/>
  <c r="AD41" i="1"/>
  <c r="AD42" i="1"/>
  <c r="AD43" i="1"/>
  <c r="AD44" i="1"/>
  <c r="AD46" i="1"/>
  <c r="AD47" i="1"/>
  <c r="AD48" i="1"/>
  <c r="AD49" i="1"/>
  <c r="AD50" i="1"/>
  <c r="AD51" i="1"/>
  <c r="AD52" i="1"/>
  <c r="AD53" i="1"/>
  <c r="AD54" i="1"/>
  <c r="AD55" i="1"/>
  <c r="AD56" i="1"/>
  <c r="AD57" i="1"/>
  <c r="AD58" i="1"/>
  <c r="AD60" i="1"/>
  <c r="AD61" i="1"/>
  <c r="AD62" i="1"/>
  <c r="AD63" i="1"/>
  <c r="AD64" i="1"/>
  <c r="AD65" i="1"/>
  <c r="AD67" i="1"/>
  <c r="AD68" i="1"/>
  <c r="AD69" i="1"/>
  <c r="AD70" i="1"/>
  <c r="AD71" i="1"/>
  <c r="AD72" i="1"/>
  <c r="AD73" i="1"/>
  <c r="AD74" i="1"/>
  <c r="AD75" i="1"/>
  <c r="AD76" i="1"/>
  <c r="AD77" i="1"/>
  <c r="AD78" i="1"/>
  <c r="AD79" i="1"/>
  <c r="AD80" i="1"/>
  <c r="AD81" i="1"/>
  <c r="AD83" i="1"/>
  <c r="AD84" i="1"/>
  <c r="AD86" i="1"/>
  <c r="AD87" i="1"/>
  <c r="AD89" i="1"/>
  <c r="AD90" i="1"/>
  <c r="AD91" i="1"/>
  <c r="AD92" i="1"/>
  <c r="AD94" i="1"/>
  <c r="AD95" i="1"/>
  <c r="AD96" i="1"/>
  <c r="AD97" i="1"/>
  <c r="AD98" i="1"/>
  <c r="AD99" i="1"/>
  <c r="AD100" i="1"/>
  <c r="AD101" i="1"/>
  <c r="AD102" i="1"/>
  <c r="AD103" i="1"/>
  <c r="AD104" i="1"/>
  <c r="AD106" i="1"/>
  <c r="AD107" i="1"/>
  <c r="AD108" i="1"/>
  <c r="AD109" i="1"/>
  <c r="AD110" i="1"/>
  <c r="AD111" i="1"/>
  <c r="AD112" i="1"/>
  <c r="AD113" i="1"/>
  <c r="AD114" i="1"/>
  <c r="AD115" i="1"/>
  <c r="AD116" i="1"/>
  <c r="AD117" i="1"/>
  <c r="AD118" i="1"/>
  <c r="AD119" i="1"/>
  <c r="AD120" i="1"/>
  <c r="AD122" i="1"/>
  <c r="AD123" i="1"/>
  <c r="AD124" i="1"/>
  <c r="AD126" i="1"/>
  <c r="AD127" i="1"/>
  <c r="AD128" i="1"/>
  <c r="AD130" i="1"/>
  <c r="AD131" i="1"/>
  <c r="AD133" i="1"/>
  <c r="AD134" i="1"/>
  <c r="AD135" i="1"/>
  <c r="AD136" i="1"/>
  <c r="AD137" i="1"/>
  <c r="AD138" i="1"/>
  <c r="AD139" i="1"/>
  <c r="AD140" i="1"/>
  <c r="AD141" i="1"/>
  <c r="AD142" i="1"/>
  <c r="AD143" i="1"/>
  <c r="AD144" i="1"/>
  <c r="AD145" i="1"/>
  <c r="AD146" i="1"/>
  <c r="AD148" i="1"/>
  <c r="AD149" i="1"/>
  <c r="AD150" i="1"/>
  <c r="AD151" i="1"/>
  <c r="AD152" i="1"/>
  <c r="AD153" i="1"/>
  <c r="AD154" i="1"/>
  <c r="AD155" i="1"/>
  <c r="AD156" i="1"/>
  <c r="AD158" i="1"/>
  <c r="AD159" i="1"/>
  <c r="AD160" i="1"/>
  <c r="AD161" i="1"/>
  <c r="AD167" i="1"/>
  <c r="AD168" i="1"/>
  <c r="AD169" i="1"/>
  <c r="AD170" i="1"/>
  <c r="AD171" i="1"/>
  <c r="AD172" i="1"/>
  <c r="AD173" i="1"/>
  <c r="AD174" i="1"/>
  <c r="AD175" i="1"/>
  <c r="AD176" i="1"/>
  <c r="AD177" i="1"/>
  <c r="AD178" i="1"/>
  <c r="AD179" i="1"/>
  <c r="AD181" i="1"/>
  <c r="AD182" i="1"/>
  <c r="AD183" i="1"/>
  <c r="AD184" i="1"/>
  <c r="AD185" i="1"/>
  <c r="AD186" i="1"/>
  <c r="AD189" i="1"/>
  <c r="AD190" i="1"/>
  <c r="AD191" i="1"/>
  <c r="AD192" i="1"/>
  <c r="AD193" i="1"/>
  <c r="AD195" i="1"/>
  <c r="AD196" i="1"/>
  <c r="AD197" i="1"/>
  <c r="AD198" i="1"/>
  <c r="AD199" i="1"/>
  <c r="AD200" i="1"/>
  <c r="AD201" i="1"/>
  <c r="AD202" i="1"/>
  <c r="AD203"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3" i="1"/>
  <c r="AD294" i="1"/>
  <c r="AD295" i="1"/>
  <c r="AD298" i="1"/>
  <c r="AD299" i="1"/>
  <c r="AD300" i="1"/>
  <c r="AD301" i="1"/>
  <c r="AD302" i="1"/>
  <c r="AD303" i="1"/>
  <c r="AD304" i="1"/>
  <c r="AD305" i="1"/>
  <c r="AD306" i="1"/>
  <c r="AD307" i="1"/>
  <c r="AD308" i="1"/>
  <c r="AD310" i="1"/>
  <c r="AD311" i="1"/>
  <c r="AD312" i="1"/>
  <c r="AD314" i="1"/>
  <c r="AD315" i="1"/>
  <c r="AD316" i="1"/>
  <c r="AD318" i="1"/>
  <c r="AD319" i="1"/>
  <c r="AD320" i="1"/>
  <c r="AD322" i="1"/>
  <c r="AD323" i="1"/>
  <c r="AD325" i="1"/>
  <c r="AD326" i="1"/>
  <c r="AD327" i="1"/>
  <c r="AD328" i="1"/>
  <c r="AD329" i="1"/>
  <c r="AD332" i="1"/>
  <c r="AD333" i="1"/>
  <c r="AD334" i="1"/>
  <c r="AD335" i="1"/>
  <c r="AD365" i="1"/>
  <c r="AD366" i="1"/>
  <c r="AD367" i="1"/>
  <c r="AD369" i="1"/>
  <c r="AD370" i="1"/>
  <c r="AD371" i="1"/>
  <c r="AD372" i="1"/>
  <c r="AD373" i="1"/>
  <c r="AD374" i="1"/>
  <c r="AD375" i="1"/>
  <c r="AD376" i="1"/>
  <c r="AD377" i="1"/>
  <c r="AD378" i="1"/>
  <c r="AD379" i="1"/>
  <c r="AD380" i="1"/>
  <c r="AD381" i="1"/>
  <c r="AD382" i="1"/>
  <c r="AD5" i="1"/>
  <c r="AD2" i="1"/>
  <c r="Z174" i="1"/>
  <c r="V174" i="1"/>
  <c r="U174" i="1"/>
  <c r="O174" i="1"/>
  <c r="S174" i="1" s="1"/>
  <c r="N174" i="1"/>
  <c r="R174" i="1" s="1"/>
  <c r="Z170" i="1"/>
  <c r="V170" i="1"/>
  <c r="U170" i="1"/>
  <c r="O170" i="1"/>
  <c r="S170" i="1" s="1"/>
  <c r="N170" i="1"/>
  <c r="R170" i="1" s="1"/>
  <c r="Z168" i="1"/>
  <c r="V168" i="1"/>
  <c r="U168" i="1"/>
  <c r="O168" i="1"/>
  <c r="S168" i="1" s="1"/>
  <c r="N168" i="1"/>
  <c r="R168" i="1" s="1"/>
  <c r="N370" i="1"/>
  <c r="O370" i="1"/>
  <c r="P370" i="1"/>
  <c r="Q370" i="1"/>
  <c r="U370" i="1"/>
  <c r="V370" i="1"/>
  <c r="Z370" i="1"/>
  <c r="AA370" i="1"/>
  <c r="N371" i="1"/>
  <c r="O371" i="1"/>
  <c r="P371" i="1"/>
  <c r="Q371" i="1"/>
  <c r="U371" i="1"/>
  <c r="V371" i="1"/>
  <c r="Z371" i="1"/>
  <c r="AA371" i="1"/>
  <c r="N372" i="1"/>
  <c r="O372" i="1"/>
  <c r="P372" i="1"/>
  <c r="Q372" i="1"/>
  <c r="U372" i="1"/>
  <c r="V372" i="1"/>
  <c r="Z372" i="1"/>
  <c r="AA372" i="1"/>
  <c r="D51" i="6"/>
  <c r="AE126" i="1" s="1"/>
  <c r="D120" i="6"/>
  <c r="AE256" i="1" s="1"/>
  <c r="D104" i="6"/>
  <c r="AE215" i="1" s="1"/>
  <c r="AA404" i="1"/>
  <c r="O404" i="1"/>
  <c r="S404" i="1" s="1"/>
  <c r="N404" i="1"/>
  <c r="R404" i="1" s="1"/>
  <c r="O394" i="1"/>
  <c r="S394" i="1" s="1"/>
  <c r="N394" i="1"/>
  <c r="R394" i="1" s="1"/>
  <c r="AA399" i="1"/>
  <c r="O399" i="1"/>
  <c r="S399" i="1" s="1"/>
  <c r="N399" i="1"/>
  <c r="R399" i="1" s="1"/>
  <c r="D159" i="6"/>
  <c r="D251" i="6"/>
  <c r="AF98" i="1" s="1"/>
  <c r="D190" i="6"/>
  <c r="AF245" i="1" s="1"/>
  <c r="D177" i="6"/>
  <c r="AF234" i="1" s="1"/>
  <c r="D47" i="6"/>
  <c r="AF153" i="1" s="1"/>
  <c r="D118" i="6"/>
  <c r="D149" i="6"/>
  <c r="AF83" i="1" s="1"/>
  <c r="D186" i="6"/>
  <c r="AF66" i="1" s="1"/>
  <c r="D53" i="6"/>
  <c r="AF44" i="1" s="1"/>
  <c r="D127" i="6"/>
  <c r="AF46" i="1" s="1"/>
  <c r="D155" i="6"/>
  <c r="D2" i="6"/>
  <c r="AF20" i="1" s="1"/>
  <c r="D195" i="6"/>
  <c r="AF73" i="1" s="1"/>
  <c r="D52" i="6"/>
  <c r="AF335" i="1" s="1"/>
  <c r="AA334" i="1"/>
  <c r="AA335" i="1"/>
  <c r="Y334" i="1"/>
  <c r="Z326" i="1"/>
  <c r="Z333" i="1"/>
  <c r="V334" i="1"/>
  <c r="V335" i="1"/>
  <c r="U334" i="1"/>
  <c r="U335" i="1"/>
  <c r="N335" i="1"/>
  <c r="R335" i="1" s="1"/>
  <c r="O335" i="1"/>
  <c r="S335" i="1" s="1"/>
  <c r="N334" i="1"/>
  <c r="R334" i="1" s="1"/>
  <c r="O334" i="1"/>
  <c r="S334" i="1" s="1"/>
  <c r="D201" i="6"/>
  <c r="AF333" i="1" s="1"/>
  <c r="D192" i="6"/>
  <c r="AF332" i="1" s="1"/>
  <c r="Y332" i="1"/>
  <c r="AA332" i="1"/>
  <c r="AA333" i="1"/>
  <c r="U333" i="1"/>
  <c r="N333" i="1"/>
  <c r="R333" i="1" s="1"/>
  <c r="O333" i="1"/>
  <c r="S333" i="1" s="1"/>
  <c r="N332" i="1"/>
  <c r="R332" i="1" s="1"/>
  <c r="O332" i="1"/>
  <c r="S332" i="1" s="1"/>
  <c r="U332" i="1"/>
  <c r="AA327" i="1"/>
  <c r="AA328" i="1"/>
  <c r="AA329" i="1"/>
  <c r="D36" i="6"/>
  <c r="D178" i="6"/>
  <c r="AF328" i="1" s="1"/>
  <c r="D38" i="6"/>
  <c r="Y327" i="1"/>
  <c r="Y328" i="1"/>
  <c r="U328" i="1"/>
  <c r="U329" i="1"/>
  <c r="N329" i="1"/>
  <c r="R329" i="1" s="1"/>
  <c r="O329" i="1"/>
  <c r="S329" i="1" s="1"/>
  <c r="N328" i="1"/>
  <c r="R328" i="1" s="1"/>
  <c r="O328" i="1"/>
  <c r="S328" i="1" s="1"/>
  <c r="N327" i="1"/>
  <c r="R327" i="1" s="1"/>
  <c r="O327" i="1"/>
  <c r="S327" i="1" s="1"/>
  <c r="U327" i="1"/>
  <c r="D196" i="6"/>
  <c r="D12" i="6"/>
  <c r="AF325" i="1" s="1"/>
  <c r="Z323" i="1"/>
  <c r="Y325" i="1"/>
  <c r="U326" i="1"/>
  <c r="V326" i="1"/>
  <c r="N326" i="1"/>
  <c r="R326" i="1" s="1"/>
  <c r="O326" i="1"/>
  <c r="S326" i="1" s="1"/>
  <c r="AA326" i="1"/>
  <c r="V325" i="1"/>
  <c r="N325" i="1"/>
  <c r="R325" i="1" s="1"/>
  <c r="O325" i="1"/>
  <c r="S325" i="1" s="1"/>
  <c r="U325" i="1"/>
  <c r="AA325" i="1"/>
  <c r="D103" i="6"/>
  <c r="AF57" i="1" s="1"/>
  <c r="D197" i="6"/>
  <c r="AF244" i="1" s="1"/>
  <c r="D224" i="6"/>
  <c r="AF15" i="1" s="1"/>
  <c r="D252" i="6"/>
  <c r="AF224" i="1" s="1"/>
  <c r="D247" i="6"/>
  <c r="AE10" i="1" s="1"/>
  <c r="D79" i="6"/>
  <c r="AE125" i="1" s="1"/>
  <c r="D72" i="6"/>
  <c r="AF228" i="1" s="1"/>
  <c r="D111" i="6"/>
  <c r="AF381" i="1" s="1"/>
  <c r="D230" i="6"/>
  <c r="AF380" i="1" s="1"/>
  <c r="D200" i="6"/>
  <c r="AF379" i="1" s="1"/>
  <c r="V380" i="1"/>
  <c r="V381" i="1"/>
  <c r="U379" i="1"/>
  <c r="U380" i="1"/>
  <c r="U381" i="1"/>
  <c r="N381" i="1"/>
  <c r="R381" i="1" s="1"/>
  <c r="O381" i="1"/>
  <c r="S381" i="1" s="1"/>
  <c r="N380" i="1"/>
  <c r="R380" i="1" s="1"/>
  <c r="O380" i="1"/>
  <c r="S380" i="1" s="1"/>
  <c r="N379" i="1"/>
  <c r="R379" i="1" s="1"/>
  <c r="O379" i="1"/>
  <c r="S379" i="1" s="1"/>
  <c r="AA379" i="1"/>
  <c r="Y310" i="1"/>
  <c r="Y311" i="1"/>
  <c r="P373" i="1"/>
  <c r="P378" i="1"/>
  <c r="P377" i="1"/>
  <c r="P376" i="1"/>
  <c r="P375" i="1"/>
  <c r="P374" i="1"/>
  <c r="Q378" i="1"/>
  <c r="Q377" i="1"/>
  <c r="Q376" i="1"/>
  <c r="Q375" i="1"/>
  <c r="Q374" i="1"/>
  <c r="Q373" i="1"/>
  <c r="Z320" i="1"/>
  <c r="Y322" i="1"/>
  <c r="V323" i="1"/>
  <c r="N323" i="1"/>
  <c r="R323" i="1" s="1"/>
  <c r="O323" i="1"/>
  <c r="S323" i="1" s="1"/>
  <c r="U323" i="1"/>
  <c r="AA323" i="1"/>
  <c r="N322" i="1"/>
  <c r="R322" i="1" s="1"/>
  <c r="O322" i="1"/>
  <c r="S322" i="1" s="1"/>
  <c r="U322" i="1"/>
  <c r="AA322" i="1"/>
  <c r="V5" i="1"/>
  <c r="U5" i="1"/>
  <c r="O5" i="1"/>
  <c r="S5" i="1" s="1"/>
  <c r="N5" i="1"/>
  <c r="R5" i="1" s="1"/>
  <c r="AA5" i="1"/>
  <c r="V366" i="1"/>
  <c r="V367" i="1"/>
  <c r="V365" i="1"/>
  <c r="U365" i="1"/>
  <c r="U366" i="1"/>
  <c r="U367" i="1"/>
  <c r="AA367" i="1"/>
  <c r="Z367" i="1"/>
  <c r="O367" i="1"/>
  <c r="S367" i="1" s="1"/>
  <c r="N367" i="1"/>
  <c r="R367" i="1" s="1"/>
  <c r="AA366" i="1"/>
  <c r="Z366" i="1"/>
  <c r="O366" i="1"/>
  <c r="S366" i="1" s="1"/>
  <c r="N366" i="1"/>
  <c r="R366" i="1" s="1"/>
  <c r="N365" i="1"/>
  <c r="R365" i="1" s="1"/>
  <c r="O365" i="1"/>
  <c r="S365" i="1" s="1"/>
  <c r="Z365" i="1"/>
  <c r="AA365" i="1"/>
  <c r="D236" i="6"/>
  <c r="AF369" i="1" s="1"/>
  <c r="Z369" i="1"/>
  <c r="N369" i="1"/>
  <c r="R369" i="1" s="1"/>
  <c r="O369" i="1"/>
  <c r="S369" i="1" s="1"/>
  <c r="AA369" i="1"/>
  <c r="D254" i="6"/>
  <c r="D35" i="6"/>
  <c r="D37" i="6"/>
  <c r="AF118" i="1" s="1"/>
  <c r="D48" i="6"/>
  <c r="AF277" i="1" s="1"/>
  <c r="D40" i="6"/>
  <c r="AF22" i="1" s="1"/>
  <c r="D41" i="6"/>
  <c r="AF373" i="1" s="1"/>
  <c r="D43" i="6"/>
  <c r="AF119" i="1" s="1"/>
  <c r="D44" i="6"/>
  <c r="AE121" i="1" s="1"/>
  <c r="D42" i="6"/>
  <c r="AF366" i="1" s="1"/>
  <c r="D46" i="6"/>
  <c r="AF135" i="1" s="1"/>
  <c r="D112" i="6"/>
  <c r="AF26" i="1" s="1"/>
  <c r="D113" i="6"/>
  <c r="AF303" i="1" s="1"/>
  <c r="D115" i="6"/>
  <c r="AF334" i="1" s="1"/>
  <c r="D116" i="6"/>
  <c r="D119" i="6"/>
  <c r="AF235" i="1" s="1"/>
  <c r="D124" i="6"/>
  <c r="AF375" i="1" s="1"/>
  <c r="D117" i="6"/>
  <c r="AF311" i="1" s="1"/>
  <c r="D123" i="6"/>
  <c r="AF179" i="1" s="1"/>
  <c r="D121" i="6"/>
  <c r="AE105" i="1" s="1"/>
  <c r="D122" i="6"/>
  <c r="AF165" i="1" s="1"/>
  <c r="D138" i="6"/>
  <c r="AF103" i="1" s="1"/>
  <c r="D137" i="6"/>
  <c r="AF285" i="1" s="1"/>
  <c r="D141" i="6"/>
  <c r="AF101" i="1" s="1"/>
  <c r="D139" i="6"/>
  <c r="AF145" i="1" s="1"/>
  <c r="D144" i="6"/>
  <c r="AF156" i="1" s="1"/>
  <c r="D143" i="6"/>
  <c r="AF48" i="1" s="1"/>
  <c r="D142" i="6"/>
  <c r="AF365" i="1" s="1"/>
  <c r="D147" i="6"/>
  <c r="AF163" i="1" s="1"/>
  <c r="D148" i="6"/>
  <c r="AF291" i="1" s="1"/>
  <c r="D63" i="6"/>
  <c r="AF253" i="1" s="1"/>
  <c r="D59" i="6"/>
  <c r="AF7" i="1" s="1"/>
  <c r="D60" i="6"/>
  <c r="AF94" i="1" s="1"/>
  <c r="D62" i="6"/>
  <c r="AF246" i="1" s="1"/>
  <c r="D64" i="6"/>
  <c r="AF371" i="1" s="1"/>
  <c r="D65" i="6"/>
  <c r="AE88" i="1" s="1"/>
  <c r="D68" i="6"/>
  <c r="AF17" i="1" s="1"/>
  <c r="D67" i="6"/>
  <c r="AF251" i="1" s="1"/>
  <c r="D69" i="6"/>
  <c r="AF203" i="1" s="1"/>
  <c r="D176" i="6"/>
  <c r="AF322" i="1" s="1"/>
  <c r="D179" i="6"/>
  <c r="AF198" i="1" s="1"/>
  <c r="D183" i="6"/>
  <c r="D182" i="6"/>
  <c r="AF370" i="1" s="1"/>
  <c r="D181" i="6"/>
  <c r="D184" i="6"/>
  <c r="AE93" i="1" s="1"/>
  <c r="D185" i="6"/>
  <c r="AF95" i="1" s="1"/>
  <c r="D187" i="6"/>
  <c r="AF217" i="1" s="1"/>
  <c r="D129" i="6"/>
  <c r="AF211" i="1" s="1"/>
  <c r="D131" i="6"/>
  <c r="AF80" i="1" s="1"/>
  <c r="D132" i="6"/>
  <c r="AF49" i="1" s="1"/>
  <c r="D134" i="6"/>
  <c r="AF147" i="1" s="1"/>
  <c r="D133" i="6"/>
  <c r="AF4" i="1" s="1"/>
  <c r="D91" i="6"/>
  <c r="AF310" i="1" s="1"/>
  <c r="D93" i="6"/>
  <c r="AF142" i="1" s="1"/>
  <c r="D95" i="6"/>
  <c r="AF99" i="1" s="1"/>
  <c r="D92" i="6"/>
  <c r="AF77" i="1" s="1"/>
  <c r="D96" i="6"/>
  <c r="AF262" i="1" s="1"/>
  <c r="D98" i="6"/>
  <c r="AF282" i="1" s="1"/>
  <c r="D99" i="6"/>
  <c r="D189" i="6"/>
  <c r="D191" i="6"/>
  <c r="AF149" i="1" s="1"/>
  <c r="D193" i="6"/>
  <c r="AF226" i="1" s="1"/>
  <c r="D194" i="6"/>
  <c r="AE175" i="1" s="1"/>
  <c r="D199" i="6"/>
  <c r="AF227" i="1" s="1"/>
  <c r="D198" i="6"/>
  <c r="AE177" i="1" s="1"/>
  <c r="D239" i="6"/>
  <c r="AF382" i="1" s="1"/>
  <c r="D3" i="6"/>
  <c r="AF233" i="1" s="1"/>
  <c r="D4" i="6"/>
  <c r="AF372" i="1" s="1"/>
  <c r="D5" i="6"/>
  <c r="AF97" i="1" s="1"/>
  <c r="D7" i="6"/>
  <c r="AF275" i="1" s="1"/>
  <c r="D9" i="6"/>
  <c r="AF40" i="1" s="1"/>
  <c r="D8" i="6"/>
  <c r="AE132" i="1" s="1"/>
  <c r="D10" i="6"/>
  <c r="AF321" i="1" s="1"/>
  <c r="D207" i="6"/>
  <c r="D211" i="6"/>
  <c r="AF152" i="1" s="1"/>
  <c r="D205" i="6"/>
  <c r="AF230" i="1" s="1"/>
  <c r="D206" i="6"/>
  <c r="AF116" i="1" s="1"/>
  <c r="D210" i="6"/>
  <c r="AF213" i="1" s="1"/>
  <c r="D213" i="6"/>
  <c r="AF115" i="1" s="1"/>
  <c r="D212" i="6"/>
  <c r="AF31" i="1" s="1"/>
  <c r="D102" i="6"/>
  <c r="AF154" i="1" s="1"/>
  <c r="D105" i="6"/>
  <c r="AF53" i="1" s="1"/>
  <c r="D106" i="6"/>
  <c r="AF155" i="1" s="1"/>
  <c r="D101" i="6"/>
  <c r="AF160" i="1" s="1"/>
  <c r="D109" i="6"/>
  <c r="AF313" i="1" s="1"/>
  <c r="D108" i="6"/>
  <c r="AF161" i="1" s="1"/>
  <c r="D110" i="6"/>
  <c r="AF173" i="1" s="1"/>
  <c r="D23" i="6"/>
  <c r="AF258" i="1" s="1"/>
  <c r="D27" i="6"/>
  <c r="AF302" i="1" s="1"/>
  <c r="D29" i="6"/>
  <c r="AF260" i="1" s="1"/>
  <c r="D31" i="6"/>
  <c r="AF249" i="1" s="1"/>
  <c r="D32" i="6"/>
  <c r="AF167" i="1" s="1"/>
  <c r="D21" i="6"/>
  <c r="AF279" i="1" s="1"/>
  <c r="D15" i="6"/>
  <c r="AE347" i="1" s="1"/>
  <c r="D14" i="6"/>
  <c r="AF178" i="1" s="1"/>
  <c r="D16" i="6"/>
  <c r="AF61" i="1" s="1"/>
  <c r="D17" i="6"/>
  <c r="D19" i="6"/>
  <c r="AF280" i="1" s="1"/>
  <c r="D13" i="6"/>
  <c r="AF78" i="1" s="1"/>
  <c r="D20" i="6"/>
  <c r="AF376" i="1" s="1"/>
  <c r="D218" i="6"/>
  <c r="AF300" i="1" s="1"/>
  <c r="D220" i="6"/>
  <c r="AF276" i="1" s="1"/>
  <c r="D221" i="6"/>
  <c r="D222" i="6"/>
  <c r="AF11" i="1" s="1"/>
  <c r="D227" i="6"/>
  <c r="D225" i="6"/>
  <c r="D226" i="6"/>
  <c r="AF219" i="1" s="1"/>
  <c r="D231" i="6"/>
  <c r="AF33" i="1" s="1"/>
  <c r="D107" i="6"/>
  <c r="AF283" i="1" s="1"/>
  <c r="D55" i="6"/>
  <c r="AF62" i="1" s="1"/>
  <c r="D56" i="6"/>
  <c r="AF127" i="1" s="1"/>
  <c r="D57" i="6"/>
  <c r="AF141" i="1" s="1"/>
  <c r="D87" i="6"/>
  <c r="AF9" i="1" s="1"/>
  <c r="D253" i="6"/>
  <c r="AF12" i="1" s="1"/>
  <c r="Z302" i="1"/>
  <c r="Z304" i="1"/>
  <c r="Y303" i="1"/>
  <c r="U304" i="1"/>
  <c r="N304" i="1"/>
  <c r="R304" i="1" s="1"/>
  <c r="O304" i="1"/>
  <c r="S304" i="1" s="1"/>
  <c r="AA304" i="1"/>
  <c r="N303" i="1"/>
  <c r="R303" i="1" s="1"/>
  <c r="O303" i="1"/>
  <c r="S303" i="1" s="1"/>
  <c r="U303" i="1"/>
  <c r="AA303" i="1"/>
  <c r="Z299" i="1"/>
  <c r="Z305" i="1"/>
  <c r="Y300" i="1"/>
  <c r="Y301" i="1"/>
  <c r="U301" i="1"/>
  <c r="U302" i="1"/>
  <c r="N302" i="1"/>
  <c r="R302" i="1" s="1"/>
  <c r="O302" i="1"/>
  <c r="S302" i="1" s="1"/>
  <c r="N301" i="1"/>
  <c r="R301" i="1" s="1"/>
  <c r="O301" i="1"/>
  <c r="S301" i="1" s="1"/>
  <c r="AA302" i="1"/>
  <c r="AA301" i="1"/>
  <c r="N300" i="1"/>
  <c r="R300" i="1" s="1"/>
  <c r="O300" i="1"/>
  <c r="S300" i="1" s="1"/>
  <c r="U300" i="1"/>
  <c r="AA300" i="1"/>
  <c r="V305" i="1"/>
  <c r="N305" i="1"/>
  <c r="R305" i="1" s="1"/>
  <c r="O305" i="1"/>
  <c r="S305" i="1" s="1"/>
  <c r="U305" i="1"/>
  <c r="AA305" i="1"/>
  <c r="Z295" i="1"/>
  <c r="Y298" i="1"/>
  <c r="U299" i="1"/>
  <c r="V299" i="1"/>
  <c r="N299" i="1"/>
  <c r="R299" i="1" s="1"/>
  <c r="O299" i="1"/>
  <c r="S299" i="1" s="1"/>
  <c r="AA299" i="1"/>
  <c r="V298" i="1"/>
  <c r="N298" i="1"/>
  <c r="R298" i="1" s="1"/>
  <c r="O298" i="1"/>
  <c r="S298" i="1" s="1"/>
  <c r="U298" i="1"/>
  <c r="AA298" i="1"/>
  <c r="Z291" i="1"/>
  <c r="Y293" i="1"/>
  <c r="Y294" i="1"/>
  <c r="U295" i="1"/>
  <c r="U294" i="1"/>
  <c r="N294" i="1"/>
  <c r="R294" i="1" s="1"/>
  <c r="O294" i="1"/>
  <c r="S294" i="1" s="1"/>
  <c r="N295" i="1"/>
  <c r="R295" i="1" s="1"/>
  <c r="O295" i="1"/>
  <c r="S295" i="1" s="1"/>
  <c r="AA294" i="1"/>
  <c r="AA295" i="1"/>
  <c r="D164" i="6"/>
  <c r="AF294" i="1" s="1"/>
  <c r="D157" i="6"/>
  <c r="AF293" i="1" s="1"/>
  <c r="N293" i="1"/>
  <c r="R293" i="1" s="1"/>
  <c r="O293" i="1"/>
  <c r="S293" i="1" s="1"/>
  <c r="U293" i="1"/>
  <c r="AA293" i="1"/>
  <c r="N382" i="1"/>
  <c r="R382" i="1" s="1"/>
  <c r="O382" i="1"/>
  <c r="S382" i="1" s="1"/>
  <c r="U382" i="1"/>
  <c r="Y51" i="1"/>
  <c r="Y53" i="1"/>
  <c r="Z383" i="1"/>
  <c r="Z384" i="1"/>
  <c r="Z385" i="1"/>
  <c r="Z386" i="1"/>
  <c r="Z387" i="1"/>
  <c r="Z388" i="1"/>
  <c r="Z389" i="1"/>
  <c r="Z390" i="1"/>
  <c r="Z391" i="1"/>
  <c r="Z392" i="1"/>
  <c r="Z393" i="1"/>
  <c r="Z395" i="1"/>
  <c r="Z396" i="1"/>
  <c r="Z397" i="1"/>
  <c r="Z398" i="1"/>
  <c r="Z400" i="1"/>
  <c r="Z401" i="1"/>
  <c r="Z402" i="1"/>
  <c r="Z403" i="1"/>
  <c r="Z405" i="1"/>
  <c r="Z406" i="1"/>
  <c r="Z407" i="1"/>
  <c r="Z408" i="1"/>
  <c r="Z409" i="1"/>
  <c r="Z410" i="1"/>
  <c r="Z411" i="1"/>
  <c r="Z412" i="1"/>
  <c r="Z368" i="1"/>
  <c r="Z4" i="1"/>
  <c r="Z8" i="1"/>
  <c r="Z12" i="1"/>
  <c r="Z16" i="1"/>
  <c r="Z19" i="1"/>
  <c r="Z21" i="1"/>
  <c r="Z24" i="1"/>
  <c r="Z28" i="1"/>
  <c r="Z31" i="1"/>
  <c r="Z33" i="1"/>
  <c r="Z35" i="1"/>
  <c r="Z38" i="1"/>
  <c r="Z40" i="1"/>
  <c r="Z41" i="1"/>
  <c r="Z50" i="1"/>
  <c r="Z52" i="1"/>
  <c r="Z54" i="1"/>
  <c r="Z56" i="1"/>
  <c r="Z58" i="1"/>
  <c r="Z61" i="1"/>
  <c r="Z63" i="1"/>
  <c r="Z65" i="1"/>
  <c r="Z67" i="1"/>
  <c r="Z69" i="1"/>
  <c r="Z71" i="1"/>
  <c r="Z73" i="1"/>
  <c r="Z76" i="1"/>
  <c r="Z77" i="1"/>
  <c r="Z78" i="1"/>
  <c r="Z81" i="1"/>
  <c r="Z84" i="1"/>
  <c r="Z87" i="1"/>
  <c r="Z90" i="1"/>
  <c r="Z92" i="1"/>
  <c r="Z95" i="1"/>
  <c r="Z96" i="1"/>
  <c r="Z98" i="1"/>
  <c r="Z100" i="1"/>
  <c r="Z102" i="1"/>
  <c r="Z104" i="1"/>
  <c r="Z107" i="1"/>
  <c r="Z110" i="1"/>
  <c r="Z112" i="1"/>
  <c r="Z115" i="1"/>
  <c r="Z117" i="1"/>
  <c r="Z120" i="1"/>
  <c r="Z124" i="1"/>
  <c r="Z128" i="1"/>
  <c r="Z131" i="1"/>
  <c r="Z134" i="1"/>
  <c r="Z135" i="1"/>
  <c r="Z136" i="1"/>
  <c r="Z137" i="1"/>
  <c r="Z138" i="1"/>
  <c r="Z139" i="1"/>
  <c r="Z140" i="1"/>
  <c r="Z141" i="1"/>
  <c r="Z143" i="1"/>
  <c r="Z146" i="1"/>
  <c r="Z150" i="1"/>
  <c r="Z151" i="1"/>
  <c r="Z153" i="1"/>
  <c r="Z156" i="1"/>
  <c r="Z159" i="1"/>
  <c r="Z160" i="1"/>
  <c r="Z161" i="1"/>
  <c r="Z167" i="1"/>
  <c r="Z169" i="1"/>
  <c r="Z171" i="1"/>
  <c r="Z172" i="1"/>
  <c r="Z173" i="1"/>
  <c r="Z175" i="1"/>
  <c r="Z176" i="1"/>
  <c r="Z177" i="1"/>
  <c r="Z178" i="1"/>
  <c r="Z179" i="1"/>
  <c r="Z182" i="1"/>
  <c r="Z183" i="1"/>
  <c r="Z184" i="1"/>
  <c r="Z185" i="1"/>
  <c r="Z186" i="1"/>
  <c r="Z190" i="1"/>
  <c r="Z193" i="1"/>
  <c r="Z197" i="1"/>
  <c r="Z200" i="1"/>
  <c r="Z203" i="1"/>
  <c r="Z206" i="1"/>
  <c r="Z207" i="1"/>
  <c r="Z208" i="1"/>
  <c r="Z209" i="1"/>
  <c r="Z210" i="1"/>
  <c r="Z213" i="1"/>
  <c r="Z214" i="1"/>
  <c r="Z217" i="1"/>
  <c r="Z219" i="1"/>
  <c r="Z222" i="1"/>
  <c r="Z224" i="1"/>
  <c r="Z227" i="1"/>
  <c r="Z229" i="1"/>
  <c r="Z232" i="1"/>
  <c r="Z235" i="1"/>
  <c r="Z237" i="1"/>
  <c r="Z239" i="1"/>
  <c r="Z241" i="1"/>
  <c r="Z243" i="1"/>
  <c r="Z244" i="1"/>
  <c r="Z246" i="1"/>
  <c r="Z249" i="1"/>
  <c r="Z251" i="1"/>
  <c r="Z252" i="1"/>
  <c r="Z253" i="1"/>
  <c r="Z255" i="1"/>
  <c r="Z256" i="1"/>
  <c r="Z257" i="1"/>
  <c r="Z260" i="1"/>
  <c r="Z262" i="1"/>
  <c r="Z264" i="1"/>
  <c r="Z265" i="1"/>
  <c r="Z267" i="1"/>
  <c r="Z269" i="1"/>
  <c r="Z271" i="1"/>
  <c r="Z273" i="1"/>
  <c r="Z274" i="1"/>
  <c r="Z276" i="1"/>
  <c r="Z278" i="1"/>
  <c r="Z280" i="1"/>
  <c r="Z282" i="1"/>
  <c r="Z283" i="1"/>
  <c r="Z284" i="1"/>
  <c r="Z286" i="1"/>
  <c r="Z287" i="1"/>
  <c r="Z288" i="1"/>
  <c r="Z308" i="1"/>
  <c r="Z312" i="1"/>
  <c r="Z316" i="1"/>
  <c r="Z373" i="1"/>
  <c r="Z374" i="1"/>
  <c r="Z375" i="1"/>
  <c r="Z376" i="1"/>
  <c r="Z377" i="1"/>
  <c r="Z378" i="1"/>
  <c r="D244" i="6"/>
  <c r="AF318" i="1" s="1"/>
  <c r="Y318" i="1"/>
  <c r="Y319" i="1"/>
  <c r="U320" i="1"/>
  <c r="N320" i="1"/>
  <c r="R320" i="1" s="1"/>
  <c r="O320" i="1"/>
  <c r="S320" i="1" s="1"/>
  <c r="AA320" i="1"/>
  <c r="N319" i="1"/>
  <c r="R319" i="1" s="1"/>
  <c r="O319" i="1"/>
  <c r="S319" i="1" s="1"/>
  <c r="U319" i="1"/>
  <c r="AA319" i="1"/>
  <c r="N318" i="1"/>
  <c r="R318" i="1" s="1"/>
  <c r="O318" i="1"/>
  <c r="S318" i="1" s="1"/>
  <c r="U318" i="1"/>
  <c r="AA318" i="1"/>
  <c r="N311" i="1"/>
  <c r="R311" i="1" s="1"/>
  <c r="O311" i="1"/>
  <c r="S311" i="1" s="1"/>
  <c r="N312" i="1"/>
  <c r="R312" i="1" s="1"/>
  <c r="O312" i="1"/>
  <c r="S312" i="1" s="1"/>
  <c r="AA312" i="1"/>
  <c r="V312" i="1"/>
  <c r="U312" i="1"/>
  <c r="V311" i="1"/>
  <c r="U311" i="1"/>
  <c r="AA311" i="1"/>
  <c r="N310" i="1"/>
  <c r="R310" i="1" s="1"/>
  <c r="O310" i="1"/>
  <c r="S310" i="1" s="1"/>
  <c r="V310" i="1"/>
  <c r="U310" i="1"/>
  <c r="AA310" i="1"/>
  <c r="Y314" i="1"/>
  <c r="Y315" i="1"/>
  <c r="D90" i="6"/>
  <c r="AF316" i="1" s="1"/>
  <c r="U316" i="1"/>
  <c r="AA316" i="1"/>
  <c r="N316" i="1"/>
  <c r="R316" i="1" s="1"/>
  <c r="O316" i="1"/>
  <c r="S316" i="1" s="1"/>
  <c r="D86" i="6"/>
  <c r="AF309" i="1" s="1"/>
  <c r="D153" i="6"/>
  <c r="D75" i="6"/>
  <c r="AF314" i="1" s="1"/>
  <c r="U315" i="1"/>
  <c r="N315" i="1"/>
  <c r="R315" i="1" s="1"/>
  <c r="O315" i="1"/>
  <c r="S315" i="1" s="1"/>
  <c r="AA315" i="1"/>
  <c r="N314" i="1"/>
  <c r="R314" i="1" s="1"/>
  <c r="O314" i="1"/>
  <c r="S314" i="1" s="1"/>
  <c r="U314" i="1"/>
  <c r="AA314" i="1"/>
  <c r="D235" i="6"/>
  <c r="AF252" i="1" s="1"/>
  <c r="D70" i="6"/>
  <c r="O3" i="1"/>
  <c r="S3" i="1" s="1"/>
  <c r="O4" i="1"/>
  <c r="S4" i="1" s="1"/>
  <c r="O6" i="1"/>
  <c r="S6" i="1" s="1"/>
  <c r="O7" i="1"/>
  <c r="S7" i="1" s="1"/>
  <c r="O8" i="1"/>
  <c r="S8" i="1" s="1"/>
  <c r="O10" i="1"/>
  <c r="S10" i="1" s="1"/>
  <c r="O11" i="1"/>
  <c r="S11" i="1" s="1"/>
  <c r="O12" i="1"/>
  <c r="S12" i="1" s="1"/>
  <c r="O14" i="1"/>
  <c r="S14" i="1" s="1"/>
  <c r="O15" i="1"/>
  <c r="S15" i="1" s="1"/>
  <c r="O16" i="1"/>
  <c r="S16" i="1" s="1"/>
  <c r="O18" i="1"/>
  <c r="S18" i="1" s="1"/>
  <c r="O19" i="1"/>
  <c r="S19" i="1" s="1"/>
  <c r="O20" i="1"/>
  <c r="S20" i="1" s="1"/>
  <c r="O21" i="1"/>
  <c r="S21" i="1" s="1"/>
  <c r="O22" i="1"/>
  <c r="S22" i="1" s="1"/>
  <c r="O23" i="1"/>
  <c r="S23" i="1" s="1"/>
  <c r="O24" i="1"/>
  <c r="S24" i="1" s="1"/>
  <c r="O26" i="1"/>
  <c r="S26" i="1" s="1"/>
  <c r="O27" i="1"/>
  <c r="S27" i="1" s="1"/>
  <c r="O28" i="1"/>
  <c r="S28" i="1" s="1"/>
  <c r="O30" i="1"/>
  <c r="S30" i="1" s="1"/>
  <c r="O31" i="1"/>
  <c r="S31" i="1" s="1"/>
  <c r="O32" i="1"/>
  <c r="S32" i="1" s="1"/>
  <c r="O33" i="1"/>
  <c r="S33" i="1" s="1"/>
  <c r="O34" i="1"/>
  <c r="S34" i="1" s="1"/>
  <c r="O35" i="1"/>
  <c r="S35" i="1" s="1"/>
  <c r="O38" i="1"/>
  <c r="S38" i="1" s="1"/>
  <c r="O39" i="1"/>
  <c r="S39" i="1" s="1"/>
  <c r="O40" i="1"/>
  <c r="S40" i="1" s="1"/>
  <c r="O41" i="1"/>
  <c r="S41" i="1" s="1"/>
  <c r="O42" i="1"/>
  <c r="S42" i="1" s="1"/>
  <c r="O43" i="1"/>
  <c r="S43" i="1" s="1"/>
  <c r="O44" i="1"/>
  <c r="S44" i="1" s="1"/>
  <c r="O46" i="1"/>
  <c r="S46" i="1" s="1"/>
  <c r="O47" i="1"/>
  <c r="S47" i="1" s="1"/>
  <c r="O48" i="1"/>
  <c r="S48" i="1" s="1"/>
  <c r="O49" i="1"/>
  <c r="S49" i="1" s="1"/>
  <c r="O50" i="1"/>
  <c r="S50" i="1" s="1"/>
  <c r="O51" i="1"/>
  <c r="S51" i="1" s="1"/>
  <c r="O52" i="1"/>
  <c r="S52" i="1" s="1"/>
  <c r="O53" i="1"/>
  <c r="S53" i="1" s="1"/>
  <c r="O54" i="1"/>
  <c r="S54" i="1" s="1"/>
  <c r="O55" i="1"/>
  <c r="S55" i="1" s="1"/>
  <c r="O56" i="1"/>
  <c r="S56" i="1" s="1"/>
  <c r="O57" i="1"/>
  <c r="S57" i="1" s="1"/>
  <c r="O58" i="1"/>
  <c r="S58" i="1" s="1"/>
  <c r="O60" i="1"/>
  <c r="S60" i="1" s="1"/>
  <c r="O61" i="1"/>
  <c r="S61" i="1" s="1"/>
  <c r="O62" i="1"/>
  <c r="S62" i="1" s="1"/>
  <c r="O63" i="1"/>
  <c r="S63" i="1" s="1"/>
  <c r="O64" i="1"/>
  <c r="S64" i="1" s="1"/>
  <c r="O65" i="1"/>
  <c r="S65" i="1" s="1"/>
  <c r="O66" i="1"/>
  <c r="S66" i="1" s="1"/>
  <c r="O67" i="1"/>
  <c r="S67" i="1" s="1"/>
  <c r="O68" i="1"/>
  <c r="S68" i="1" s="1"/>
  <c r="O69" i="1"/>
  <c r="S69" i="1" s="1"/>
  <c r="O70" i="1"/>
  <c r="S70" i="1" s="1"/>
  <c r="O71" i="1"/>
  <c r="S71" i="1" s="1"/>
  <c r="O72" i="1"/>
  <c r="S72" i="1" s="1"/>
  <c r="O73" i="1"/>
  <c r="S73" i="1" s="1"/>
  <c r="O74" i="1"/>
  <c r="S74" i="1" s="1"/>
  <c r="O75" i="1"/>
  <c r="S75" i="1" s="1"/>
  <c r="O76" i="1"/>
  <c r="S76" i="1" s="1"/>
  <c r="O77" i="1"/>
  <c r="S77" i="1" s="1"/>
  <c r="O78" i="1"/>
  <c r="S78" i="1" s="1"/>
  <c r="O79" i="1"/>
  <c r="S79" i="1" s="1"/>
  <c r="O80" i="1"/>
  <c r="S80" i="1" s="1"/>
  <c r="O81" i="1"/>
  <c r="S81" i="1" s="1"/>
  <c r="O83" i="1"/>
  <c r="S83" i="1" s="1"/>
  <c r="O84" i="1"/>
  <c r="S84" i="1" s="1"/>
  <c r="O86" i="1"/>
  <c r="S86" i="1" s="1"/>
  <c r="O87" i="1"/>
  <c r="S87" i="1" s="1"/>
  <c r="O89" i="1"/>
  <c r="S89" i="1" s="1"/>
  <c r="O90" i="1"/>
  <c r="S90" i="1" s="1"/>
  <c r="O91" i="1"/>
  <c r="S91" i="1" s="1"/>
  <c r="O92" i="1"/>
  <c r="S92" i="1" s="1"/>
  <c r="O94" i="1"/>
  <c r="S94" i="1" s="1"/>
  <c r="O95" i="1"/>
  <c r="S95" i="1" s="1"/>
  <c r="O96" i="1"/>
  <c r="S96" i="1" s="1"/>
  <c r="O97" i="1"/>
  <c r="S97" i="1" s="1"/>
  <c r="O98" i="1"/>
  <c r="S98" i="1" s="1"/>
  <c r="O99" i="1"/>
  <c r="S99" i="1" s="1"/>
  <c r="O100" i="1"/>
  <c r="S100" i="1" s="1"/>
  <c r="O101" i="1"/>
  <c r="S101" i="1" s="1"/>
  <c r="O102" i="1"/>
  <c r="S102" i="1" s="1"/>
  <c r="O103" i="1"/>
  <c r="S103" i="1" s="1"/>
  <c r="O104" i="1"/>
  <c r="S104" i="1" s="1"/>
  <c r="O106" i="1"/>
  <c r="S106" i="1" s="1"/>
  <c r="O107" i="1"/>
  <c r="S107" i="1" s="1"/>
  <c r="O108" i="1"/>
  <c r="S108" i="1" s="1"/>
  <c r="O109" i="1"/>
  <c r="S109" i="1" s="1"/>
  <c r="O110" i="1"/>
  <c r="S110" i="1" s="1"/>
  <c r="O111" i="1"/>
  <c r="S111" i="1" s="1"/>
  <c r="O112" i="1"/>
  <c r="S112" i="1" s="1"/>
  <c r="O113" i="1"/>
  <c r="S113" i="1" s="1"/>
  <c r="O114" i="1"/>
  <c r="S114" i="1" s="1"/>
  <c r="O115" i="1"/>
  <c r="S115" i="1" s="1"/>
  <c r="O116" i="1"/>
  <c r="S116" i="1" s="1"/>
  <c r="O117" i="1"/>
  <c r="S117" i="1" s="1"/>
  <c r="O118" i="1"/>
  <c r="S118" i="1" s="1"/>
  <c r="O119" i="1"/>
  <c r="S119" i="1" s="1"/>
  <c r="O120" i="1"/>
  <c r="S120" i="1" s="1"/>
  <c r="O122" i="1"/>
  <c r="S122" i="1" s="1"/>
  <c r="O123" i="1"/>
  <c r="S123" i="1" s="1"/>
  <c r="O124" i="1"/>
  <c r="S124" i="1" s="1"/>
  <c r="O126" i="1"/>
  <c r="S126" i="1" s="1"/>
  <c r="O127" i="1"/>
  <c r="S127" i="1" s="1"/>
  <c r="O128" i="1"/>
  <c r="S128" i="1" s="1"/>
  <c r="O130" i="1"/>
  <c r="S130" i="1" s="1"/>
  <c r="O131" i="1"/>
  <c r="S131" i="1" s="1"/>
  <c r="O133" i="1"/>
  <c r="S133" i="1" s="1"/>
  <c r="O134" i="1"/>
  <c r="S134" i="1" s="1"/>
  <c r="O135" i="1"/>
  <c r="S135" i="1" s="1"/>
  <c r="O136" i="1"/>
  <c r="S136" i="1" s="1"/>
  <c r="O137" i="1"/>
  <c r="S137" i="1" s="1"/>
  <c r="O138" i="1"/>
  <c r="S138" i="1" s="1"/>
  <c r="O139" i="1"/>
  <c r="S139" i="1" s="1"/>
  <c r="O140" i="1"/>
  <c r="S140" i="1" s="1"/>
  <c r="O141" i="1"/>
  <c r="S141" i="1" s="1"/>
  <c r="O142" i="1"/>
  <c r="S142" i="1" s="1"/>
  <c r="O143" i="1"/>
  <c r="S143" i="1" s="1"/>
  <c r="O144" i="1"/>
  <c r="S144" i="1" s="1"/>
  <c r="O145" i="1"/>
  <c r="S145" i="1" s="1"/>
  <c r="O146" i="1"/>
  <c r="S146" i="1" s="1"/>
  <c r="O148" i="1"/>
  <c r="S148" i="1" s="1"/>
  <c r="O149" i="1"/>
  <c r="S149" i="1" s="1"/>
  <c r="O150" i="1"/>
  <c r="S150" i="1" s="1"/>
  <c r="O151" i="1"/>
  <c r="S151" i="1" s="1"/>
  <c r="O152" i="1"/>
  <c r="S152" i="1" s="1"/>
  <c r="O153" i="1"/>
  <c r="S153" i="1" s="1"/>
  <c r="O154" i="1"/>
  <c r="S154" i="1" s="1"/>
  <c r="O155" i="1"/>
  <c r="S155" i="1" s="1"/>
  <c r="O156" i="1"/>
  <c r="S156" i="1" s="1"/>
  <c r="O158" i="1"/>
  <c r="S158" i="1" s="1"/>
  <c r="O159" i="1"/>
  <c r="S159" i="1" s="1"/>
  <c r="O160" i="1"/>
  <c r="S160" i="1" s="1"/>
  <c r="O161" i="1"/>
  <c r="S161" i="1" s="1"/>
  <c r="O167" i="1"/>
  <c r="S167" i="1" s="1"/>
  <c r="O169" i="1"/>
  <c r="S169" i="1" s="1"/>
  <c r="O171" i="1"/>
  <c r="S171" i="1" s="1"/>
  <c r="O172" i="1"/>
  <c r="S172" i="1" s="1"/>
  <c r="O173" i="1"/>
  <c r="S173" i="1" s="1"/>
  <c r="O175" i="1"/>
  <c r="S175" i="1" s="1"/>
  <c r="O176" i="1"/>
  <c r="S176" i="1" s="1"/>
  <c r="O177" i="1"/>
  <c r="S177" i="1" s="1"/>
  <c r="O178" i="1"/>
  <c r="S178" i="1" s="1"/>
  <c r="O179" i="1"/>
  <c r="S179" i="1" s="1"/>
  <c r="O181" i="1"/>
  <c r="S181" i="1" s="1"/>
  <c r="O182" i="1"/>
  <c r="S182" i="1" s="1"/>
  <c r="O183" i="1"/>
  <c r="S183" i="1" s="1"/>
  <c r="O184" i="1"/>
  <c r="S184" i="1" s="1"/>
  <c r="O185" i="1"/>
  <c r="S185" i="1" s="1"/>
  <c r="O186" i="1"/>
  <c r="S186" i="1" s="1"/>
  <c r="O189" i="1"/>
  <c r="S189" i="1" s="1"/>
  <c r="O190" i="1"/>
  <c r="S190" i="1" s="1"/>
  <c r="O191" i="1"/>
  <c r="S191" i="1" s="1"/>
  <c r="O192" i="1"/>
  <c r="S192" i="1" s="1"/>
  <c r="O193" i="1"/>
  <c r="S193" i="1" s="1"/>
  <c r="O195" i="1"/>
  <c r="S195" i="1" s="1"/>
  <c r="O196" i="1"/>
  <c r="S196" i="1" s="1"/>
  <c r="O197" i="1"/>
  <c r="S197" i="1" s="1"/>
  <c r="O198" i="1"/>
  <c r="S198" i="1" s="1"/>
  <c r="O199" i="1"/>
  <c r="S199" i="1" s="1"/>
  <c r="O200" i="1"/>
  <c r="S200" i="1" s="1"/>
  <c r="O201" i="1"/>
  <c r="S201" i="1" s="1"/>
  <c r="O202" i="1"/>
  <c r="S202" i="1" s="1"/>
  <c r="O203" i="1"/>
  <c r="S203" i="1" s="1"/>
  <c r="O205" i="1"/>
  <c r="S205" i="1" s="1"/>
  <c r="O206" i="1"/>
  <c r="S206" i="1" s="1"/>
  <c r="O207" i="1"/>
  <c r="S207" i="1" s="1"/>
  <c r="O208" i="1"/>
  <c r="S208" i="1" s="1"/>
  <c r="O209" i="1"/>
  <c r="S209" i="1" s="1"/>
  <c r="O210" i="1"/>
  <c r="S210" i="1" s="1"/>
  <c r="O211" i="1"/>
  <c r="S211" i="1" s="1"/>
  <c r="O212" i="1"/>
  <c r="S212" i="1" s="1"/>
  <c r="O213" i="1"/>
  <c r="S213" i="1" s="1"/>
  <c r="O214" i="1"/>
  <c r="S214" i="1" s="1"/>
  <c r="O215" i="1"/>
  <c r="S215" i="1" s="1"/>
  <c r="O216" i="1"/>
  <c r="S216" i="1" s="1"/>
  <c r="O217" i="1"/>
  <c r="S217" i="1" s="1"/>
  <c r="O218" i="1"/>
  <c r="S218" i="1" s="1"/>
  <c r="O219" i="1"/>
  <c r="S219" i="1" s="1"/>
  <c r="O220" i="1"/>
  <c r="S220" i="1" s="1"/>
  <c r="O221" i="1"/>
  <c r="S221" i="1" s="1"/>
  <c r="O222" i="1"/>
  <c r="S222" i="1" s="1"/>
  <c r="O223" i="1"/>
  <c r="S223" i="1" s="1"/>
  <c r="O224" i="1"/>
  <c r="S224" i="1" s="1"/>
  <c r="O225" i="1"/>
  <c r="S225" i="1" s="1"/>
  <c r="O226" i="1"/>
  <c r="S226" i="1" s="1"/>
  <c r="O227" i="1"/>
  <c r="S227" i="1" s="1"/>
  <c r="O228" i="1"/>
  <c r="S228" i="1" s="1"/>
  <c r="O229" i="1"/>
  <c r="S229" i="1" s="1"/>
  <c r="O230" i="1"/>
  <c r="S230" i="1" s="1"/>
  <c r="O231" i="1"/>
  <c r="S231" i="1" s="1"/>
  <c r="O232" i="1"/>
  <c r="S232" i="1" s="1"/>
  <c r="O233" i="1"/>
  <c r="S233" i="1" s="1"/>
  <c r="O234" i="1"/>
  <c r="S234" i="1" s="1"/>
  <c r="O235" i="1"/>
  <c r="S235" i="1" s="1"/>
  <c r="O236" i="1"/>
  <c r="S236" i="1" s="1"/>
  <c r="O237" i="1"/>
  <c r="S237" i="1" s="1"/>
  <c r="O238" i="1"/>
  <c r="S238" i="1" s="1"/>
  <c r="O239" i="1"/>
  <c r="S239" i="1" s="1"/>
  <c r="O240" i="1"/>
  <c r="S240" i="1" s="1"/>
  <c r="O241" i="1"/>
  <c r="S241" i="1" s="1"/>
  <c r="O242" i="1"/>
  <c r="S242" i="1" s="1"/>
  <c r="O243" i="1"/>
  <c r="S243" i="1" s="1"/>
  <c r="O244" i="1"/>
  <c r="S244" i="1" s="1"/>
  <c r="O245" i="1"/>
  <c r="S245" i="1" s="1"/>
  <c r="O246" i="1"/>
  <c r="S246" i="1" s="1"/>
  <c r="O247" i="1"/>
  <c r="S247" i="1" s="1"/>
  <c r="O248" i="1"/>
  <c r="S248" i="1" s="1"/>
  <c r="O249" i="1"/>
  <c r="S249" i="1" s="1"/>
  <c r="O250" i="1"/>
  <c r="S250" i="1" s="1"/>
  <c r="O251" i="1"/>
  <c r="S251" i="1" s="1"/>
  <c r="O252" i="1"/>
  <c r="S252" i="1" s="1"/>
  <c r="O253" i="1"/>
  <c r="S253" i="1" s="1"/>
  <c r="O254" i="1"/>
  <c r="S254" i="1" s="1"/>
  <c r="O255" i="1"/>
  <c r="S255" i="1" s="1"/>
  <c r="O256" i="1"/>
  <c r="S256" i="1" s="1"/>
  <c r="O257" i="1"/>
  <c r="S257" i="1" s="1"/>
  <c r="O258" i="1"/>
  <c r="S258" i="1" s="1"/>
  <c r="O259" i="1"/>
  <c r="S259" i="1" s="1"/>
  <c r="O260" i="1"/>
  <c r="S260" i="1" s="1"/>
  <c r="O261" i="1"/>
  <c r="S261" i="1" s="1"/>
  <c r="O262" i="1"/>
  <c r="S262" i="1" s="1"/>
  <c r="O263" i="1"/>
  <c r="S263" i="1" s="1"/>
  <c r="O264" i="1"/>
  <c r="S264" i="1" s="1"/>
  <c r="O265" i="1"/>
  <c r="S265" i="1" s="1"/>
  <c r="O266" i="1"/>
  <c r="S266" i="1" s="1"/>
  <c r="O267" i="1"/>
  <c r="S267" i="1" s="1"/>
  <c r="O268" i="1"/>
  <c r="S268" i="1" s="1"/>
  <c r="O269" i="1"/>
  <c r="S269" i="1" s="1"/>
  <c r="O270" i="1"/>
  <c r="S270" i="1" s="1"/>
  <c r="O271" i="1"/>
  <c r="S271" i="1" s="1"/>
  <c r="O272" i="1"/>
  <c r="S272" i="1" s="1"/>
  <c r="O273" i="1"/>
  <c r="S273" i="1" s="1"/>
  <c r="O274" i="1"/>
  <c r="S274" i="1" s="1"/>
  <c r="O275" i="1"/>
  <c r="S275" i="1" s="1"/>
  <c r="O276" i="1"/>
  <c r="S276" i="1" s="1"/>
  <c r="O277" i="1"/>
  <c r="S277" i="1" s="1"/>
  <c r="O278" i="1"/>
  <c r="S278" i="1" s="1"/>
  <c r="O279" i="1"/>
  <c r="S279" i="1" s="1"/>
  <c r="O280" i="1"/>
  <c r="S280" i="1" s="1"/>
  <c r="O281" i="1"/>
  <c r="S281" i="1" s="1"/>
  <c r="O282" i="1"/>
  <c r="S282" i="1" s="1"/>
  <c r="O283" i="1"/>
  <c r="S283" i="1" s="1"/>
  <c r="O284" i="1"/>
  <c r="S284" i="1" s="1"/>
  <c r="O285" i="1"/>
  <c r="S285" i="1" s="1"/>
  <c r="O286" i="1"/>
  <c r="S286" i="1" s="1"/>
  <c r="O287" i="1"/>
  <c r="S287" i="1" s="1"/>
  <c r="O288" i="1"/>
  <c r="S288" i="1" s="1"/>
  <c r="O289" i="1"/>
  <c r="S289" i="1" s="1"/>
  <c r="O290" i="1"/>
  <c r="S290" i="1" s="1"/>
  <c r="O291" i="1"/>
  <c r="S291" i="1" s="1"/>
  <c r="O306" i="1"/>
  <c r="S306" i="1" s="1"/>
  <c r="O307" i="1"/>
  <c r="S307" i="1" s="1"/>
  <c r="O308" i="1"/>
  <c r="S308" i="1" s="1"/>
  <c r="O373" i="1"/>
  <c r="O374" i="1"/>
  <c r="O375" i="1"/>
  <c r="O376" i="1"/>
  <c r="O377" i="1"/>
  <c r="O378" i="1"/>
  <c r="O383" i="1"/>
  <c r="S383" i="1" s="1"/>
  <c r="O384" i="1"/>
  <c r="S384" i="1" s="1"/>
  <c r="O385" i="1"/>
  <c r="S385" i="1" s="1"/>
  <c r="O386" i="1"/>
  <c r="S386" i="1" s="1"/>
  <c r="O387" i="1"/>
  <c r="S387" i="1" s="1"/>
  <c r="O388" i="1"/>
  <c r="S388" i="1" s="1"/>
  <c r="O389" i="1"/>
  <c r="S389" i="1" s="1"/>
  <c r="O390" i="1"/>
  <c r="S390" i="1" s="1"/>
  <c r="O391" i="1"/>
  <c r="S391" i="1" s="1"/>
  <c r="O392" i="1"/>
  <c r="S392" i="1" s="1"/>
  <c r="O393" i="1"/>
  <c r="S393" i="1" s="1"/>
  <c r="O395" i="1"/>
  <c r="S395" i="1" s="1"/>
  <c r="O396" i="1"/>
  <c r="S396" i="1" s="1"/>
  <c r="O397" i="1"/>
  <c r="S397" i="1" s="1"/>
  <c r="O398" i="1"/>
  <c r="S398" i="1" s="1"/>
  <c r="O400" i="1"/>
  <c r="S400" i="1" s="1"/>
  <c r="O401" i="1"/>
  <c r="S401" i="1" s="1"/>
  <c r="O402" i="1"/>
  <c r="S402" i="1" s="1"/>
  <c r="O403" i="1"/>
  <c r="S403" i="1" s="1"/>
  <c r="O405" i="1"/>
  <c r="S405" i="1" s="1"/>
  <c r="O406" i="1"/>
  <c r="S406" i="1" s="1"/>
  <c r="O407" i="1"/>
  <c r="S407" i="1" s="1"/>
  <c r="O408" i="1"/>
  <c r="S408" i="1" s="1"/>
  <c r="O409" i="1"/>
  <c r="S409" i="1" s="1"/>
  <c r="O410" i="1"/>
  <c r="S410" i="1" s="1"/>
  <c r="O411" i="1"/>
  <c r="S411" i="1" s="1"/>
  <c r="O412" i="1"/>
  <c r="S412" i="1" s="1"/>
  <c r="O368" i="1"/>
  <c r="S368" i="1" s="1"/>
  <c r="N3" i="1"/>
  <c r="R3" i="1" s="1"/>
  <c r="N4" i="1"/>
  <c r="R4" i="1" s="1"/>
  <c r="N6" i="1"/>
  <c r="R6" i="1" s="1"/>
  <c r="N7" i="1"/>
  <c r="R7" i="1" s="1"/>
  <c r="N8" i="1"/>
  <c r="R8" i="1" s="1"/>
  <c r="N10" i="1"/>
  <c r="R10" i="1" s="1"/>
  <c r="N11" i="1"/>
  <c r="R11" i="1" s="1"/>
  <c r="N12" i="1"/>
  <c r="R12" i="1" s="1"/>
  <c r="N14" i="1"/>
  <c r="R14" i="1" s="1"/>
  <c r="N15" i="1"/>
  <c r="R15" i="1" s="1"/>
  <c r="N16" i="1"/>
  <c r="R16" i="1" s="1"/>
  <c r="N18" i="1"/>
  <c r="R18" i="1" s="1"/>
  <c r="N19" i="1"/>
  <c r="R19" i="1" s="1"/>
  <c r="N20" i="1"/>
  <c r="R20" i="1" s="1"/>
  <c r="N21" i="1"/>
  <c r="R21" i="1" s="1"/>
  <c r="N22" i="1"/>
  <c r="R22" i="1" s="1"/>
  <c r="N23" i="1"/>
  <c r="R23" i="1" s="1"/>
  <c r="N24" i="1"/>
  <c r="R24" i="1" s="1"/>
  <c r="N26" i="1"/>
  <c r="R26" i="1" s="1"/>
  <c r="N27" i="1"/>
  <c r="R27" i="1" s="1"/>
  <c r="N28" i="1"/>
  <c r="R28" i="1" s="1"/>
  <c r="N30" i="1"/>
  <c r="R30" i="1" s="1"/>
  <c r="N31" i="1"/>
  <c r="R31" i="1" s="1"/>
  <c r="N32" i="1"/>
  <c r="R32" i="1" s="1"/>
  <c r="N33" i="1"/>
  <c r="R33" i="1" s="1"/>
  <c r="N34" i="1"/>
  <c r="R34" i="1" s="1"/>
  <c r="N35" i="1"/>
  <c r="R35" i="1" s="1"/>
  <c r="N38" i="1"/>
  <c r="R38" i="1" s="1"/>
  <c r="N39" i="1"/>
  <c r="R39" i="1" s="1"/>
  <c r="N40" i="1"/>
  <c r="R40" i="1" s="1"/>
  <c r="N41" i="1"/>
  <c r="R41" i="1" s="1"/>
  <c r="N42" i="1"/>
  <c r="R42" i="1" s="1"/>
  <c r="N43" i="1"/>
  <c r="R43" i="1" s="1"/>
  <c r="N44" i="1"/>
  <c r="R44" i="1" s="1"/>
  <c r="N46" i="1"/>
  <c r="R46" i="1" s="1"/>
  <c r="N47" i="1"/>
  <c r="R47" i="1" s="1"/>
  <c r="N48" i="1"/>
  <c r="R48" i="1" s="1"/>
  <c r="N49" i="1"/>
  <c r="R49" i="1" s="1"/>
  <c r="N50" i="1"/>
  <c r="R50" i="1" s="1"/>
  <c r="N51" i="1"/>
  <c r="R51" i="1" s="1"/>
  <c r="N52" i="1"/>
  <c r="R52" i="1" s="1"/>
  <c r="N53" i="1"/>
  <c r="R53" i="1" s="1"/>
  <c r="N54" i="1"/>
  <c r="R54" i="1" s="1"/>
  <c r="N55" i="1"/>
  <c r="R55" i="1" s="1"/>
  <c r="N56" i="1"/>
  <c r="R56" i="1" s="1"/>
  <c r="N57" i="1"/>
  <c r="R57" i="1" s="1"/>
  <c r="N58" i="1"/>
  <c r="R58" i="1" s="1"/>
  <c r="N60" i="1"/>
  <c r="R60" i="1" s="1"/>
  <c r="N61" i="1"/>
  <c r="R61" i="1" s="1"/>
  <c r="N62" i="1"/>
  <c r="R62" i="1" s="1"/>
  <c r="N63" i="1"/>
  <c r="R63" i="1" s="1"/>
  <c r="N64" i="1"/>
  <c r="R64" i="1" s="1"/>
  <c r="N65" i="1"/>
  <c r="R65" i="1" s="1"/>
  <c r="N66" i="1"/>
  <c r="R66" i="1" s="1"/>
  <c r="N67" i="1"/>
  <c r="R67" i="1" s="1"/>
  <c r="N68" i="1"/>
  <c r="R68" i="1" s="1"/>
  <c r="N69" i="1"/>
  <c r="R69" i="1" s="1"/>
  <c r="N70" i="1"/>
  <c r="R70" i="1" s="1"/>
  <c r="N71" i="1"/>
  <c r="R71" i="1" s="1"/>
  <c r="N72" i="1"/>
  <c r="R72" i="1" s="1"/>
  <c r="N73" i="1"/>
  <c r="R73" i="1" s="1"/>
  <c r="N74" i="1"/>
  <c r="R74" i="1" s="1"/>
  <c r="N75" i="1"/>
  <c r="R75" i="1" s="1"/>
  <c r="N76" i="1"/>
  <c r="R76" i="1" s="1"/>
  <c r="N77" i="1"/>
  <c r="R77" i="1" s="1"/>
  <c r="N78" i="1"/>
  <c r="R78" i="1" s="1"/>
  <c r="N79" i="1"/>
  <c r="R79" i="1" s="1"/>
  <c r="N80" i="1"/>
  <c r="R80" i="1" s="1"/>
  <c r="N81" i="1"/>
  <c r="R81" i="1" s="1"/>
  <c r="N83" i="1"/>
  <c r="R83" i="1" s="1"/>
  <c r="N84" i="1"/>
  <c r="R84" i="1" s="1"/>
  <c r="N86" i="1"/>
  <c r="R86" i="1" s="1"/>
  <c r="N87" i="1"/>
  <c r="R87" i="1" s="1"/>
  <c r="N89" i="1"/>
  <c r="R89" i="1" s="1"/>
  <c r="N90" i="1"/>
  <c r="R90" i="1" s="1"/>
  <c r="N91" i="1"/>
  <c r="R91" i="1" s="1"/>
  <c r="N92" i="1"/>
  <c r="R92" i="1" s="1"/>
  <c r="N94" i="1"/>
  <c r="R94" i="1" s="1"/>
  <c r="N95" i="1"/>
  <c r="R95" i="1" s="1"/>
  <c r="N96" i="1"/>
  <c r="R96" i="1" s="1"/>
  <c r="N97" i="1"/>
  <c r="R97" i="1" s="1"/>
  <c r="N98" i="1"/>
  <c r="R98" i="1" s="1"/>
  <c r="N99" i="1"/>
  <c r="R99" i="1" s="1"/>
  <c r="N100" i="1"/>
  <c r="R100" i="1" s="1"/>
  <c r="N101" i="1"/>
  <c r="R101" i="1" s="1"/>
  <c r="N102" i="1"/>
  <c r="R102" i="1" s="1"/>
  <c r="N103" i="1"/>
  <c r="R103" i="1" s="1"/>
  <c r="N104" i="1"/>
  <c r="R104" i="1" s="1"/>
  <c r="N106" i="1"/>
  <c r="R106" i="1" s="1"/>
  <c r="N107" i="1"/>
  <c r="R107" i="1" s="1"/>
  <c r="N108" i="1"/>
  <c r="R108" i="1" s="1"/>
  <c r="N109" i="1"/>
  <c r="R109" i="1" s="1"/>
  <c r="N110" i="1"/>
  <c r="R110" i="1" s="1"/>
  <c r="N111" i="1"/>
  <c r="R111" i="1" s="1"/>
  <c r="N112" i="1"/>
  <c r="R112" i="1" s="1"/>
  <c r="N113" i="1"/>
  <c r="R113" i="1" s="1"/>
  <c r="N114" i="1"/>
  <c r="R114" i="1" s="1"/>
  <c r="N115" i="1"/>
  <c r="R115" i="1" s="1"/>
  <c r="N116" i="1"/>
  <c r="R116" i="1" s="1"/>
  <c r="N117" i="1"/>
  <c r="R117" i="1" s="1"/>
  <c r="N118" i="1"/>
  <c r="R118" i="1" s="1"/>
  <c r="N119" i="1"/>
  <c r="R119" i="1" s="1"/>
  <c r="N120" i="1"/>
  <c r="R120" i="1" s="1"/>
  <c r="N122" i="1"/>
  <c r="R122" i="1" s="1"/>
  <c r="N123" i="1"/>
  <c r="R123" i="1" s="1"/>
  <c r="N124" i="1"/>
  <c r="R124" i="1" s="1"/>
  <c r="N126" i="1"/>
  <c r="R126" i="1" s="1"/>
  <c r="N127" i="1"/>
  <c r="R127" i="1" s="1"/>
  <c r="N128" i="1"/>
  <c r="R128" i="1" s="1"/>
  <c r="N130" i="1"/>
  <c r="R130" i="1" s="1"/>
  <c r="N131" i="1"/>
  <c r="R131" i="1" s="1"/>
  <c r="N133" i="1"/>
  <c r="R133" i="1" s="1"/>
  <c r="N134" i="1"/>
  <c r="R134" i="1" s="1"/>
  <c r="N135" i="1"/>
  <c r="R135" i="1" s="1"/>
  <c r="N136" i="1"/>
  <c r="R136" i="1" s="1"/>
  <c r="N137" i="1"/>
  <c r="R137" i="1" s="1"/>
  <c r="N138" i="1"/>
  <c r="R138" i="1" s="1"/>
  <c r="N139" i="1"/>
  <c r="R139" i="1" s="1"/>
  <c r="N140" i="1"/>
  <c r="R140" i="1" s="1"/>
  <c r="N141" i="1"/>
  <c r="R141" i="1" s="1"/>
  <c r="N142" i="1"/>
  <c r="R142" i="1" s="1"/>
  <c r="N143" i="1"/>
  <c r="R143" i="1" s="1"/>
  <c r="N144" i="1"/>
  <c r="R144" i="1" s="1"/>
  <c r="N145" i="1"/>
  <c r="R145" i="1" s="1"/>
  <c r="N146" i="1"/>
  <c r="R146" i="1" s="1"/>
  <c r="N148" i="1"/>
  <c r="R148" i="1" s="1"/>
  <c r="N149" i="1"/>
  <c r="R149" i="1" s="1"/>
  <c r="N150" i="1"/>
  <c r="R150" i="1" s="1"/>
  <c r="N151" i="1"/>
  <c r="R151" i="1" s="1"/>
  <c r="N152" i="1"/>
  <c r="R152" i="1" s="1"/>
  <c r="N153" i="1"/>
  <c r="R153" i="1" s="1"/>
  <c r="N154" i="1"/>
  <c r="R154" i="1" s="1"/>
  <c r="N155" i="1"/>
  <c r="R155" i="1" s="1"/>
  <c r="N156" i="1"/>
  <c r="R156" i="1" s="1"/>
  <c r="N158" i="1"/>
  <c r="R158" i="1" s="1"/>
  <c r="N159" i="1"/>
  <c r="R159" i="1" s="1"/>
  <c r="N160" i="1"/>
  <c r="R160" i="1" s="1"/>
  <c r="N161" i="1"/>
  <c r="R161" i="1" s="1"/>
  <c r="N167" i="1"/>
  <c r="R167" i="1" s="1"/>
  <c r="N169" i="1"/>
  <c r="R169" i="1" s="1"/>
  <c r="N171" i="1"/>
  <c r="R171" i="1" s="1"/>
  <c r="N173" i="1"/>
  <c r="R173" i="1" s="1"/>
  <c r="N175" i="1"/>
  <c r="R175" i="1" s="1"/>
  <c r="N176" i="1"/>
  <c r="R176" i="1" s="1"/>
  <c r="N177" i="1"/>
  <c r="R177" i="1" s="1"/>
  <c r="N178" i="1"/>
  <c r="R178" i="1" s="1"/>
  <c r="N179" i="1"/>
  <c r="R179" i="1" s="1"/>
  <c r="N181" i="1"/>
  <c r="R181" i="1" s="1"/>
  <c r="N182" i="1"/>
  <c r="R182" i="1" s="1"/>
  <c r="N183" i="1"/>
  <c r="R183" i="1" s="1"/>
  <c r="N184" i="1"/>
  <c r="R184" i="1" s="1"/>
  <c r="N185" i="1"/>
  <c r="R185" i="1" s="1"/>
  <c r="N186" i="1"/>
  <c r="R186" i="1" s="1"/>
  <c r="N189" i="1"/>
  <c r="R189" i="1" s="1"/>
  <c r="N190" i="1"/>
  <c r="R190" i="1" s="1"/>
  <c r="N191" i="1"/>
  <c r="R191" i="1" s="1"/>
  <c r="N192" i="1"/>
  <c r="R192" i="1" s="1"/>
  <c r="N193" i="1"/>
  <c r="R193" i="1" s="1"/>
  <c r="N198" i="1"/>
  <c r="R198" i="1" s="1"/>
  <c r="N199" i="1"/>
  <c r="R199" i="1" s="1"/>
  <c r="N200" i="1"/>
  <c r="R200" i="1" s="1"/>
  <c r="N201" i="1"/>
  <c r="R201" i="1" s="1"/>
  <c r="N202" i="1"/>
  <c r="R202" i="1" s="1"/>
  <c r="N203" i="1"/>
  <c r="R203" i="1" s="1"/>
  <c r="N205" i="1"/>
  <c r="R205" i="1" s="1"/>
  <c r="N206" i="1"/>
  <c r="R206" i="1" s="1"/>
  <c r="N207" i="1"/>
  <c r="R207" i="1" s="1"/>
  <c r="N208" i="1"/>
  <c r="R208" i="1" s="1"/>
  <c r="N209" i="1"/>
  <c r="R209" i="1" s="1"/>
  <c r="N210" i="1"/>
  <c r="R210" i="1" s="1"/>
  <c r="N211" i="1"/>
  <c r="R211" i="1" s="1"/>
  <c r="N212" i="1"/>
  <c r="R212" i="1" s="1"/>
  <c r="N213" i="1"/>
  <c r="R213" i="1" s="1"/>
  <c r="N214" i="1"/>
  <c r="R214" i="1" s="1"/>
  <c r="N215" i="1"/>
  <c r="R215" i="1" s="1"/>
  <c r="N216" i="1"/>
  <c r="R216" i="1" s="1"/>
  <c r="N217" i="1"/>
  <c r="R217" i="1" s="1"/>
  <c r="N218" i="1"/>
  <c r="R218" i="1" s="1"/>
  <c r="N219" i="1"/>
  <c r="R219" i="1" s="1"/>
  <c r="N220" i="1"/>
  <c r="R220" i="1" s="1"/>
  <c r="N221" i="1"/>
  <c r="R221" i="1" s="1"/>
  <c r="N222" i="1"/>
  <c r="R222" i="1" s="1"/>
  <c r="N223" i="1"/>
  <c r="R223" i="1" s="1"/>
  <c r="N224" i="1"/>
  <c r="R224" i="1" s="1"/>
  <c r="N225" i="1"/>
  <c r="R225" i="1" s="1"/>
  <c r="N226" i="1"/>
  <c r="R226" i="1" s="1"/>
  <c r="N227" i="1"/>
  <c r="R227" i="1" s="1"/>
  <c r="N228" i="1"/>
  <c r="R228" i="1" s="1"/>
  <c r="N229" i="1"/>
  <c r="R229" i="1" s="1"/>
  <c r="N230" i="1"/>
  <c r="R230" i="1" s="1"/>
  <c r="N231" i="1"/>
  <c r="R231" i="1" s="1"/>
  <c r="N232" i="1"/>
  <c r="R232" i="1" s="1"/>
  <c r="N233" i="1"/>
  <c r="R233" i="1" s="1"/>
  <c r="N234" i="1"/>
  <c r="R234" i="1" s="1"/>
  <c r="N235" i="1"/>
  <c r="R235" i="1" s="1"/>
  <c r="N236" i="1"/>
  <c r="R236" i="1" s="1"/>
  <c r="N237" i="1"/>
  <c r="R237" i="1" s="1"/>
  <c r="N238" i="1"/>
  <c r="R238" i="1" s="1"/>
  <c r="N239" i="1"/>
  <c r="R239" i="1" s="1"/>
  <c r="N240" i="1"/>
  <c r="R240" i="1" s="1"/>
  <c r="N241" i="1"/>
  <c r="R241" i="1" s="1"/>
  <c r="N242" i="1"/>
  <c r="R242" i="1" s="1"/>
  <c r="N243" i="1"/>
  <c r="R243" i="1" s="1"/>
  <c r="N244" i="1"/>
  <c r="R244" i="1" s="1"/>
  <c r="N247" i="1"/>
  <c r="R247" i="1" s="1"/>
  <c r="N248" i="1"/>
  <c r="R248" i="1" s="1"/>
  <c r="N249" i="1"/>
  <c r="R249" i="1" s="1"/>
  <c r="N250" i="1"/>
  <c r="R250" i="1" s="1"/>
  <c r="N251" i="1"/>
  <c r="R251" i="1" s="1"/>
  <c r="N252" i="1"/>
  <c r="R252" i="1" s="1"/>
  <c r="N253" i="1"/>
  <c r="R253" i="1" s="1"/>
  <c r="N254" i="1"/>
  <c r="R254" i="1" s="1"/>
  <c r="N255" i="1"/>
  <c r="R255" i="1" s="1"/>
  <c r="N256" i="1"/>
  <c r="R256" i="1" s="1"/>
  <c r="N257" i="1"/>
  <c r="R257" i="1" s="1"/>
  <c r="N258" i="1"/>
  <c r="R258" i="1" s="1"/>
  <c r="N259" i="1"/>
  <c r="R259" i="1" s="1"/>
  <c r="N260" i="1"/>
  <c r="R260" i="1" s="1"/>
  <c r="N261" i="1"/>
  <c r="R261" i="1" s="1"/>
  <c r="N262" i="1"/>
  <c r="R262" i="1" s="1"/>
  <c r="N263" i="1"/>
  <c r="R263" i="1" s="1"/>
  <c r="N264" i="1"/>
  <c r="R264" i="1" s="1"/>
  <c r="N265" i="1"/>
  <c r="R265" i="1" s="1"/>
  <c r="N266" i="1"/>
  <c r="R266" i="1" s="1"/>
  <c r="N267" i="1"/>
  <c r="R267" i="1" s="1"/>
  <c r="N268" i="1"/>
  <c r="R268" i="1" s="1"/>
  <c r="N269" i="1"/>
  <c r="R269" i="1" s="1"/>
  <c r="N270" i="1"/>
  <c r="R270" i="1" s="1"/>
  <c r="N271" i="1"/>
  <c r="R271" i="1" s="1"/>
  <c r="N272" i="1"/>
  <c r="R272" i="1" s="1"/>
  <c r="N273" i="1"/>
  <c r="R273" i="1" s="1"/>
  <c r="N274" i="1"/>
  <c r="R274" i="1" s="1"/>
  <c r="N275" i="1"/>
  <c r="R275" i="1" s="1"/>
  <c r="N276" i="1"/>
  <c r="R276" i="1" s="1"/>
  <c r="N277" i="1"/>
  <c r="R277" i="1" s="1"/>
  <c r="N278" i="1"/>
  <c r="R278" i="1" s="1"/>
  <c r="N279" i="1"/>
  <c r="R279" i="1" s="1"/>
  <c r="N280" i="1"/>
  <c r="R280" i="1" s="1"/>
  <c r="N281" i="1"/>
  <c r="R281" i="1" s="1"/>
  <c r="N282" i="1"/>
  <c r="R282" i="1" s="1"/>
  <c r="N283" i="1"/>
  <c r="R283" i="1" s="1"/>
  <c r="N284" i="1"/>
  <c r="R284" i="1" s="1"/>
  <c r="N285" i="1"/>
  <c r="R285" i="1" s="1"/>
  <c r="N286" i="1"/>
  <c r="R286" i="1" s="1"/>
  <c r="N287" i="1"/>
  <c r="R287" i="1" s="1"/>
  <c r="N288" i="1"/>
  <c r="R288" i="1" s="1"/>
  <c r="N289" i="1"/>
  <c r="R289" i="1" s="1"/>
  <c r="N290" i="1"/>
  <c r="R290" i="1" s="1"/>
  <c r="N291" i="1"/>
  <c r="R291" i="1" s="1"/>
  <c r="N306" i="1"/>
  <c r="R306" i="1" s="1"/>
  <c r="N307" i="1"/>
  <c r="R307" i="1" s="1"/>
  <c r="N308" i="1"/>
  <c r="R308" i="1" s="1"/>
  <c r="N373" i="1"/>
  <c r="N374" i="1"/>
  <c r="N375" i="1"/>
  <c r="N376" i="1"/>
  <c r="N377" i="1"/>
  <c r="N378" i="1"/>
  <c r="N383" i="1"/>
  <c r="R383" i="1" s="1"/>
  <c r="N384" i="1"/>
  <c r="R384" i="1" s="1"/>
  <c r="N385" i="1"/>
  <c r="R385" i="1" s="1"/>
  <c r="N386" i="1"/>
  <c r="R386" i="1" s="1"/>
  <c r="N387" i="1"/>
  <c r="R387" i="1" s="1"/>
  <c r="N388" i="1"/>
  <c r="R388" i="1" s="1"/>
  <c r="N389" i="1"/>
  <c r="R389" i="1" s="1"/>
  <c r="N390" i="1"/>
  <c r="R390" i="1" s="1"/>
  <c r="N391" i="1"/>
  <c r="R391" i="1" s="1"/>
  <c r="N392" i="1"/>
  <c r="R392" i="1" s="1"/>
  <c r="N393" i="1"/>
  <c r="R393" i="1" s="1"/>
  <c r="N395" i="1"/>
  <c r="R395" i="1" s="1"/>
  <c r="N396" i="1"/>
  <c r="R396" i="1" s="1"/>
  <c r="N397" i="1"/>
  <c r="R397" i="1" s="1"/>
  <c r="N398" i="1"/>
  <c r="R398" i="1" s="1"/>
  <c r="N400" i="1"/>
  <c r="R400" i="1" s="1"/>
  <c r="N401" i="1"/>
  <c r="R401" i="1" s="1"/>
  <c r="N402" i="1"/>
  <c r="R402" i="1" s="1"/>
  <c r="N403" i="1"/>
  <c r="R403" i="1" s="1"/>
  <c r="N405" i="1"/>
  <c r="R405" i="1" s="1"/>
  <c r="N406" i="1"/>
  <c r="R406" i="1" s="1"/>
  <c r="N407" i="1"/>
  <c r="R407" i="1" s="1"/>
  <c r="N408" i="1"/>
  <c r="R408" i="1" s="1"/>
  <c r="N409" i="1"/>
  <c r="R409" i="1" s="1"/>
  <c r="N410" i="1"/>
  <c r="R410" i="1" s="1"/>
  <c r="N411" i="1"/>
  <c r="R411" i="1" s="1"/>
  <c r="N412" i="1"/>
  <c r="R412" i="1" s="1"/>
  <c r="N368" i="1"/>
  <c r="R368" i="1" s="1"/>
  <c r="O2" i="1"/>
  <c r="S2" i="1" s="1"/>
  <c r="N2" i="1"/>
  <c r="R2" i="1" s="1"/>
  <c r="Y306" i="1"/>
  <c r="Y307" i="1"/>
  <c r="V307" i="1"/>
  <c r="V308" i="1"/>
  <c r="U307" i="1"/>
  <c r="U308" i="1"/>
  <c r="AA308" i="1"/>
  <c r="AA307" i="1"/>
  <c r="V306" i="1"/>
  <c r="U306" i="1"/>
  <c r="AA306" i="1"/>
  <c r="D88" i="6"/>
  <c r="AF378" i="1" s="1"/>
  <c r="AA378" i="1"/>
  <c r="V378" i="1"/>
  <c r="U378" i="1"/>
  <c r="AA377" i="1"/>
  <c r="V377" i="1"/>
  <c r="U377" i="1"/>
  <c r="AA376" i="1"/>
  <c r="V376" i="1"/>
  <c r="U376" i="1"/>
  <c r="AA375" i="1"/>
  <c r="V375" i="1"/>
  <c r="U375" i="1"/>
  <c r="AA374" i="1"/>
  <c r="V374" i="1"/>
  <c r="U374" i="1"/>
  <c r="AA373" i="1"/>
  <c r="U373" i="1"/>
  <c r="AA383" i="1"/>
  <c r="V288" i="1"/>
  <c r="U288" i="1"/>
  <c r="AA288" i="1"/>
  <c r="D73" i="6"/>
  <c r="AF288" i="1" s="1"/>
  <c r="D154" i="6"/>
  <c r="AF220" i="1" s="1"/>
  <c r="V287" i="1"/>
  <c r="U287" i="1"/>
  <c r="AA287" i="1"/>
  <c r="D82" i="6"/>
  <c r="D74" i="6"/>
  <c r="AF240" i="1" s="1"/>
  <c r="AA286" i="1"/>
  <c r="U286" i="1"/>
  <c r="U285" i="1"/>
  <c r="AA285" i="1"/>
  <c r="AA284" i="1"/>
  <c r="U284" i="1"/>
  <c r="V283" i="1"/>
  <c r="U283" i="1"/>
  <c r="AA283" i="1"/>
  <c r="D242" i="6"/>
  <c r="AF43" i="1" s="1"/>
  <c r="AA281" i="1"/>
  <c r="AA282" i="1"/>
  <c r="V281" i="1"/>
  <c r="V282" i="1"/>
  <c r="U282" i="1"/>
  <c r="U281" i="1"/>
  <c r="AA280" i="1"/>
  <c r="U280" i="1"/>
  <c r="U279" i="1"/>
  <c r="AA279" i="1"/>
  <c r="U278" i="1"/>
  <c r="U277" i="1"/>
  <c r="AA278" i="1"/>
  <c r="AA277" i="1"/>
  <c r="AA141" i="1"/>
  <c r="U141" i="1"/>
  <c r="V276" i="1"/>
  <c r="U276" i="1"/>
  <c r="AA276" i="1"/>
  <c r="V275" i="1"/>
  <c r="U275" i="1"/>
  <c r="AA275" i="1"/>
  <c r="AA274" i="1"/>
  <c r="U274" i="1"/>
  <c r="AA411" i="1"/>
  <c r="AA410" i="1"/>
  <c r="D246" i="6"/>
  <c r="AF42" i="1" s="1"/>
  <c r="Y272" i="1"/>
  <c r="U272" i="1"/>
  <c r="U273" i="1"/>
  <c r="AA273" i="1"/>
  <c r="AA272" i="1"/>
  <c r="Y270" i="1"/>
  <c r="U271" i="1"/>
  <c r="U270" i="1"/>
  <c r="AA271" i="1"/>
  <c r="AA270" i="1"/>
  <c r="Y268" i="1"/>
  <c r="V269" i="1"/>
  <c r="U268" i="1"/>
  <c r="U269" i="1"/>
  <c r="AA269" i="1"/>
  <c r="V268" i="1"/>
  <c r="AA268" i="1"/>
  <c r="Y266" i="1"/>
  <c r="V267" i="1"/>
  <c r="U267" i="1"/>
  <c r="V266" i="1"/>
  <c r="U266" i="1"/>
  <c r="AA267" i="1"/>
  <c r="AA266" i="1"/>
  <c r="AA265" i="1"/>
  <c r="V265" i="1"/>
  <c r="U265" i="1"/>
  <c r="D167" i="6"/>
  <c r="AF264" i="1" s="1"/>
  <c r="Y263" i="1"/>
  <c r="V263" i="1"/>
  <c r="V264" i="1"/>
  <c r="U263" i="1"/>
  <c r="U264" i="1"/>
  <c r="AA264" i="1"/>
  <c r="AA263" i="1"/>
  <c r="Y261" i="1"/>
  <c r="V261" i="1"/>
  <c r="V262" i="1"/>
  <c r="U262" i="1"/>
  <c r="AA262" i="1"/>
  <c r="U261" i="1"/>
  <c r="AA261" i="1"/>
  <c r="AE363" i="1" l="1"/>
  <c r="AE364" i="1"/>
  <c r="AE348" i="1"/>
  <c r="AF348" i="1"/>
  <c r="AE362" i="1"/>
  <c r="AF362" i="1"/>
  <c r="AF274" i="1"/>
  <c r="AF242" i="1"/>
  <c r="AF192" i="1"/>
  <c r="AF151" i="1"/>
  <c r="AF134" i="1"/>
  <c r="AF114" i="1"/>
  <c r="AF60" i="1"/>
  <c r="AF336" i="1"/>
  <c r="AF204" i="1"/>
  <c r="AF150" i="1"/>
  <c r="AF307" i="1"/>
  <c r="AF256" i="1"/>
  <c r="AF190" i="1"/>
  <c r="AF131" i="1"/>
  <c r="AF166" i="1"/>
  <c r="AF157" i="1"/>
  <c r="AE357" i="1"/>
  <c r="AF357" i="1"/>
  <c r="AE350" i="1"/>
  <c r="AF350" i="1"/>
  <c r="AF304" i="1"/>
  <c r="AF269" i="1"/>
  <c r="AF237" i="1"/>
  <c r="AF91" i="1"/>
  <c r="AF16" i="1"/>
  <c r="AF324" i="1"/>
  <c r="AE345" i="1"/>
  <c r="AF345" i="1"/>
  <c r="AF323" i="1"/>
  <c r="AF284" i="1"/>
  <c r="AF236" i="1"/>
  <c r="AF144" i="1"/>
  <c r="AF126" i="1"/>
  <c r="AF108" i="1"/>
  <c r="AF71" i="1"/>
  <c r="AF34" i="1"/>
  <c r="AF162" i="1"/>
  <c r="AF317" i="1"/>
  <c r="AF267" i="1"/>
  <c r="AF183" i="1"/>
  <c r="AF143" i="1"/>
  <c r="AF124" i="1"/>
  <c r="AF107" i="1"/>
  <c r="AF89" i="1"/>
  <c r="AF69" i="1"/>
  <c r="AF14" i="1"/>
  <c r="AE331" i="1"/>
  <c r="AF331" i="1"/>
  <c r="AF320" i="1"/>
  <c r="AF218" i="1"/>
  <c r="AF87" i="1"/>
  <c r="AF68" i="1"/>
  <c r="AF32" i="1"/>
  <c r="AF292" i="1"/>
  <c r="AF222" i="1"/>
  <c r="AF164" i="1"/>
  <c r="AF319" i="1"/>
  <c r="AF281" i="1"/>
  <c r="AF265" i="1"/>
  <c r="AF200" i="1"/>
  <c r="AF181" i="1"/>
  <c r="AF159" i="1"/>
  <c r="AF122" i="1"/>
  <c r="AF104" i="1"/>
  <c r="AF86" i="1"/>
  <c r="AF67" i="1"/>
  <c r="AF180" i="1"/>
  <c r="AF37" i="1"/>
  <c r="AF194" i="1"/>
  <c r="AF299" i="1"/>
  <c r="AF216" i="1"/>
  <c r="AF158" i="1"/>
  <c r="AF140" i="1"/>
  <c r="AF120" i="1"/>
  <c r="AF10" i="1"/>
  <c r="AF5" i="1"/>
  <c r="AF298" i="1"/>
  <c r="AF247" i="1"/>
  <c r="AF231" i="1"/>
  <c r="AF215" i="1"/>
  <c r="AF139" i="1"/>
  <c r="AF8" i="1"/>
  <c r="AF177" i="1"/>
  <c r="AF138" i="1"/>
  <c r="AF81" i="1"/>
  <c r="AF64" i="1"/>
  <c r="AF27" i="1"/>
  <c r="AF261" i="1"/>
  <c r="AF196" i="1"/>
  <c r="AF137" i="1"/>
  <c r="AF6" i="1"/>
  <c r="AF312" i="1"/>
  <c r="AF212" i="1"/>
  <c r="AF175" i="1"/>
  <c r="AF79" i="1"/>
  <c r="AF24" i="1"/>
  <c r="AF193" i="1"/>
  <c r="AF23" i="1"/>
  <c r="AF3" i="1"/>
  <c r="AF45" i="1"/>
  <c r="Z350" i="1"/>
  <c r="Z347" i="1"/>
  <c r="AI348" i="1" a="1"/>
  <c r="AI348" i="1" s="1"/>
  <c r="Z348" i="1"/>
  <c r="Z345" i="1"/>
  <c r="Z330" i="1"/>
  <c r="Z340" i="1"/>
  <c r="AE35" i="1"/>
  <c r="AE11" i="1"/>
  <c r="AE302" i="1"/>
  <c r="AE111" i="1"/>
  <c r="AE282" i="1"/>
  <c r="AE305" i="1"/>
  <c r="AE48" i="1"/>
  <c r="AE26" i="1"/>
  <c r="AE320" i="1"/>
  <c r="AE316" i="1"/>
  <c r="AE374" i="1"/>
  <c r="AE258" i="1"/>
  <c r="AE262" i="1"/>
  <c r="AE198" i="1"/>
  <c r="AE107" i="1"/>
  <c r="AE209" i="1"/>
  <c r="AE39" i="1"/>
  <c r="AE276" i="1"/>
  <c r="AE173" i="1"/>
  <c r="AE237" i="1"/>
  <c r="AE77" i="1"/>
  <c r="AE322" i="1"/>
  <c r="AE145" i="1"/>
  <c r="AE366" i="1"/>
  <c r="AE6" i="1"/>
  <c r="AE46" i="1"/>
  <c r="AE327" i="1"/>
  <c r="AE96" i="1"/>
  <c r="AE220" i="1"/>
  <c r="AE43" i="1"/>
  <c r="AE288" i="1"/>
  <c r="AE315" i="1"/>
  <c r="AE300" i="1"/>
  <c r="AE40" i="1"/>
  <c r="AE99" i="1"/>
  <c r="AE203" i="1"/>
  <c r="AE101" i="1"/>
  <c r="AE24" i="1"/>
  <c r="AE44" i="1"/>
  <c r="AE153" i="1"/>
  <c r="AE252" i="1"/>
  <c r="AE79" i="1"/>
  <c r="AE133" i="1"/>
  <c r="AE376" i="1"/>
  <c r="AE312" i="1"/>
  <c r="AE275" i="1"/>
  <c r="AE142" i="1"/>
  <c r="AE251" i="1"/>
  <c r="AE286" i="1"/>
  <c r="AE119" i="1"/>
  <c r="AE314" i="1"/>
  <c r="AE234" i="1"/>
  <c r="AE319" i="1"/>
  <c r="AE160" i="1"/>
  <c r="AE16" i="1"/>
  <c r="AE124" i="1"/>
  <c r="AE12" i="1"/>
  <c r="AE280" i="1"/>
  <c r="AE155" i="1"/>
  <c r="AE372" i="1"/>
  <c r="AE4" i="1"/>
  <c r="AE87" i="1"/>
  <c r="AE304" i="1"/>
  <c r="AE22" i="1"/>
  <c r="AE285" i="1"/>
  <c r="AE196" i="1"/>
  <c r="AE78" i="1"/>
  <c r="AE310" i="1"/>
  <c r="AE373" i="1"/>
  <c r="AE8" i="1"/>
  <c r="AE138" i="1"/>
  <c r="AE53" i="1"/>
  <c r="AE34" i="1"/>
  <c r="AE143" i="1"/>
  <c r="AE371" i="1"/>
  <c r="AE104" i="1"/>
  <c r="AE277" i="1"/>
  <c r="AE224" i="1"/>
  <c r="AE308" i="1"/>
  <c r="AE97" i="1"/>
  <c r="AE103" i="1"/>
  <c r="AE42" i="1"/>
  <c r="AE222" i="1"/>
  <c r="AE183" i="1"/>
  <c r="AE154" i="1"/>
  <c r="AE382" i="1"/>
  <c r="AE223" i="1"/>
  <c r="AE179" i="1"/>
  <c r="AE118" i="1"/>
  <c r="AE245" i="1"/>
  <c r="AE306" i="1"/>
  <c r="AE127" i="1"/>
  <c r="AE178" i="1"/>
  <c r="AE31" i="1"/>
  <c r="AE80" i="1"/>
  <c r="AE246" i="1"/>
  <c r="AE311" i="1"/>
  <c r="AE41" i="1"/>
  <c r="AE15" i="1"/>
  <c r="AE378" i="1"/>
  <c r="AE201" i="1"/>
  <c r="AE332" i="1"/>
  <c r="AE89" i="1"/>
  <c r="AE283" i="1"/>
  <c r="AE213" i="1"/>
  <c r="AE7" i="1"/>
  <c r="AE98" i="1"/>
  <c r="AE264" i="1"/>
  <c r="AE33" i="1"/>
  <c r="AE167" i="1"/>
  <c r="AE377" i="1"/>
  <c r="AE226" i="1"/>
  <c r="AE95" i="1"/>
  <c r="AE253" i="1"/>
  <c r="AE117" i="1"/>
  <c r="AE379" i="1"/>
  <c r="AE329" i="1"/>
  <c r="AE333" i="1"/>
  <c r="AE335" i="1"/>
  <c r="AE67" i="1"/>
  <c r="AE255" i="1"/>
  <c r="AE375" i="1"/>
  <c r="AE325" i="1"/>
  <c r="AE328" i="1"/>
  <c r="AE249" i="1"/>
  <c r="AE68" i="1"/>
  <c r="AE284" i="1"/>
  <c r="AE2" i="1"/>
  <c r="AE380" i="1"/>
  <c r="AE326" i="1"/>
  <c r="AE73" i="1"/>
  <c r="AE241" i="1"/>
  <c r="AE115" i="1"/>
  <c r="AE279" i="1"/>
  <c r="AE267" i="1"/>
  <c r="AE244" i="1"/>
  <c r="AE240" i="1"/>
  <c r="AE293" i="1"/>
  <c r="AE219" i="1"/>
  <c r="AE116" i="1"/>
  <c r="AE200" i="1"/>
  <c r="AE206" i="1"/>
  <c r="AE294" i="1"/>
  <c r="AE287" i="1"/>
  <c r="AE230" i="1"/>
  <c r="AE148" i="1"/>
  <c r="AE27" i="1"/>
  <c r="AE185" i="1"/>
  <c r="AE334" i="1"/>
  <c r="AE381" i="1"/>
  <c r="AE57" i="1"/>
  <c r="AE137" i="1"/>
  <c r="AE110" i="1"/>
  <c r="AE260" i="1"/>
  <c r="AE218" i="1"/>
  <c r="AE239" i="1"/>
  <c r="AE370" i="1"/>
  <c r="AE365" i="1"/>
  <c r="AE303" i="1"/>
  <c r="AE369" i="1"/>
  <c r="AE20" i="1"/>
  <c r="AE83" i="1"/>
  <c r="AE339" i="1"/>
  <c r="AE204" i="1"/>
  <c r="AE129" i="1"/>
  <c r="AE157" i="1"/>
  <c r="AE5" i="1"/>
  <c r="AE313" i="1"/>
  <c r="AE9" i="1"/>
  <c r="AE321" i="1"/>
  <c r="AE17" i="1"/>
  <c r="AE29" i="1"/>
  <c r="AE147" i="1"/>
  <c r="AE194" i="1"/>
  <c r="AE292" i="1"/>
  <c r="AE309" i="1"/>
  <c r="AE317" i="1"/>
  <c r="AE13" i="1"/>
  <c r="AE25" i="1"/>
  <c r="AE324" i="1"/>
  <c r="T321" i="1"/>
  <c r="AI321" i="1" s="1" a="1"/>
  <c r="AI321" i="1" s="1"/>
  <c r="T324" i="1"/>
  <c r="AI324" i="1" s="1" a="1"/>
  <c r="AI324" i="1" s="1"/>
  <c r="T317" i="1"/>
  <c r="AI317" i="1" s="1" a="1"/>
  <c r="AI317" i="1" s="1"/>
  <c r="T313" i="1"/>
  <c r="AI313" i="1" s="1" a="1"/>
  <c r="AI313" i="1" s="1"/>
  <c r="T309" i="1"/>
  <c r="AI309" i="1" s="1" a="1"/>
  <c r="AI309" i="1" s="1"/>
  <c r="T296" i="1"/>
  <c r="AI296" i="1" s="1" a="1"/>
  <c r="AI296" i="1" s="1"/>
  <c r="T292" i="1"/>
  <c r="AI292" i="1" s="1" a="1"/>
  <c r="AI292" i="1" s="1"/>
  <c r="T204" i="1"/>
  <c r="T194" i="1"/>
  <c r="AI194" i="1" s="1" a="1"/>
  <c r="AI194" i="1" s="1"/>
  <c r="T157" i="1"/>
  <c r="AI157" i="1" s="1" a="1"/>
  <c r="AI157" i="1" s="1"/>
  <c r="T147" i="1"/>
  <c r="AI147" i="1" s="1" a="1"/>
  <c r="AI147" i="1" s="1"/>
  <c r="T129" i="1"/>
  <c r="AI129" i="1" s="1" a="1"/>
  <c r="AI129" i="1" s="1"/>
  <c r="T29" i="1"/>
  <c r="AI29" i="1" s="1" a="1"/>
  <c r="AI29" i="1" s="1"/>
  <c r="T25" i="1"/>
  <c r="AI25" i="1" s="1" a="1"/>
  <c r="AI25" i="1" s="1"/>
  <c r="T17" i="1"/>
  <c r="AI17" i="1" s="1" a="1"/>
  <c r="AI17" i="1" s="1"/>
  <c r="T13" i="1"/>
  <c r="AI13" i="1" s="1" a="1"/>
  <c r="AI13" i="1" s="1"/>
  <c r="T9" i="1"/>
  <c r="AI9" i="1" s="1" a="1"/>
  <c r="AI9" i="1" s="1"/>
  <c r="T45" i="1"/>
  <c r="AI45" i="1" s="1" a="1"/>
  <c r="AI45" i="1" s="1"/>
  <c r="AE338" i="1"/>
  <c r="T37" i="1"/>
  <c r="AI37" i="1" s="1" a="1"/>
  <c r="AI37" i="1" s="1"/>
  <c r="AE37" i="1"/>
  <c r="T36" i="1"/>
  <c r="AI36" i="1" s="1" a="1"/>
  <c r="AI36" i="1" s="1"/>
  <c r="T339" i="1"/>
  <c r="AE159" i="1"/>
  <c r="AE141" i="1"/>
  <c r="AE139" i="1"/>
  <c r="AE86" i="1"/>
  <c r="AE49" i="1"/>
  <c r="AE318" i="1"/>
  <c r="AE236" i="1"/>
  <c r="AE199" i="1"/>
  <c r="AE299" i="1"/>
  <c r="AE281" i="1"/>
  <c r="AE158" i="1"/>
  <c r="AE156" i="1"/>
  <c r="AE336" i="1"/>
  <c r="AE181" i="1"/>
  <c r="AE233" i="1"/>
  <c r="AE120" i="1"/>
  <c r="AE166" i="1"/>
  <c r="AE265" i="1"/>
  <c r="AE122" i="1"/>
  <c r="AE231" i="1"/>
  <c r="AE217" i="1"/>
  <c r="AE216" i="1"/>
  <c r="AE180" i="1"/>
  <c r="T163" i="1"/>
  <c r="AI163" i="1" s="1" a="1"/>
  <c r="AI163" i="1" s="1"/>
  <c r="T338" i="1"/>
  <c r="AI338" i="1" s="1" a="1"/>
  <c r="AI338" i="1" s="1"/>
  <c r="T337" i="1"/>
  <c r="AI337" i="1" s="1" a="1"/>
  <c r="AI337" i="1" s="1"/>
  <c r="T336" i="1"/>
  <c r="AI336" i="1" s="1" a="1"/>
  <c r="AI336" i="1" s="1"/>
  <c r="T164" i="1"/>
  <c r="AI164" i="1" s="1" a="1"/>
  <c r="AI164" i="1" s="1"/>
  <c r="T180" i="1"/>
  <c r="T165" i="1"/>
  <c r="AI165" i="1" s="1" a="1"/>
  <c r="AI165" i="1" s="1"/>
  <c r="T162" i="1"/>
  <c r="AI162" i="1" s="1" a="1"/>
  <c r="AI162" i="1" s="1"/>
  <c r="AE32" i="1"/>
  <c r="AE291" i="1"/>
  <c r="AE227" i="1"/>
  <c r="AE211" i="1"/>
  <c r="AE193" i="1"/>
  <c r="AE174" i="1"/>
  <c r="AE152" i="1"/>
  <c r="AE135" i="1"/>
  <c r="AE62" i="1"/>
  <c r="AE66" i="1"/>
  <c r="AE274" i="1"/>
  <c r="AE242" i="1"/>
  <c r="AE192" i="1"/>
  <c r="AE151" i="1"/>
  <c r="AE134" i="1"/>
  <c r="AE114" i="1"/>
  <c r="AE61" i="1"/>
  <c r="AE23" i="1"/>
  <c r="AE3" i="1"/>
  <c r="AE140" i="1"/>
  <c r="AE289" i="1"/>
  <c r="AE273" i="1"/>
  <c r="AE257" i="1"/>
  <c r="AE225" i="1"/>
  <c r="AE191" i="1"/>
  <c r="AE150" i="1"/>
  <c r="AE113" i="1"/>
  <c r="AE60" i="1"/>
  <c r="AE163" i="1"/>
  <c r="AE247" i="1"/>
  <c r="AE307" i="1"/>
  <c r="AE208" i="1"/>
  <c r="AE190" i="1"/>
  <c r="AE149" i="1"/>
  <c r="AE131" i="1"/>
  <c r="AE271" i="1"/>
  <c r="AE207" i="1"/>
  <c r="AE170" i="1"/>
  <c r="AE130" i="1"/>
  <c r="AE94" i="1"/>
  <c r="AE270" i="1"/>
  <c r="AE186" i="1"/>
  <c r="AE146" i="1"/>
  <c r="AE128" i="1"/>
  <c r="AE92" i="1"/>
  <c r="AE56" i="1"/>
  <c r="AE165" i="1"/>
  <c r="AE269" i="1"/>
  <c r="AE168" i="1"/>
  <c r="AE91" i="1"/>
  <c r="AE38" i="1"/>
  <c r="AE323" i="1"/>
  <c r="AE184" i="1"/>
  <c r="AE144" i="1"/>
  <c r="AE108" i="1"/>
  <c r="AE90" i="1"/>
  <c r="AE71" i="1"/>
  <c r="AE235" i="1"/>
  <c r="AE161" i="1"/>
  <c r="AE69" i="1"/>
  <c r="AE14" i="1"/>
  <c r="AE162" i="1"/>
  <c r="AE81" i="1"/>
  <c r="AE28" i="1"/>
  <c r="AE298" i="1"/>
  <c r="AE261" i="1"/>
  <c r="AE64" i="1"/>
  <c r="AE228" i="1"/>
  <c r="AE212" i="1"/>
  <c r="T166" i="1"/>
  <c r="AI166" i="1" s="1" a="1"/>
  <c r="AI166" i="1" s="1"/>
  <c r="S370" i="1"/>
  <c r="T174" i="1"/>
  <c r="AI174" i="1" s="1" a="1"/>
  <c r="AI174" i="1" s="1"/>
  <c r="R372" i="1"/>
  <c r="T170" i="1"/>
  <c r="R371" i="1"/>
  <c r="S372" i="1"/>
  <c r="T168" i="1"/>
  <c r="AI168" i="1" s="1" a="1"/>
  <c r="AI168" i="1" s="1"/>
  <c r="R370" i="1"/>
  <c r="S371" i="1"/>
  <c r="T404" i="1"/>
  <c r="T394" i="1"/>
  <c r="T334" i="1"/>
  <c r="AI334" i="1" s="1" a="1"/>
  <c r="AI334" i="1" s="1"/>
  <c r="T399" i="1"/>
  <c r="R374" i="1"/>
  <c r="S374" i="1"/>
  <c r="T333" i="1"/>
  <c r="AI333" i="1" s="1" a="1"/>
  <c r="AI333" i="1" s="1"/>
  <c r="T335" i="1"/>
  <c r="S373" i="1"/>
  <c r="T332" i="1"/>
  <c r="AI332" i="1" s="1" a="1"/>
  <c r="AI332" i="1" s="1"/>
  <c r="R375" i="1"/>
  <c r="R377" i="1"/>
  <c r="T328" i="1"/>
  <c r="AI328" i="1" s="1" a="1"/>
  <c r="AI328" i="1" s="1"/>
  <c r="T329" i="1"/>
  <c r="AI329" i="1" s="1" a="1"/>
  <c r="AI329" i="1" s="1"/>
  <c r="R376" i="1"/>
  <c r="T327" i="1"/>
  <c r="AI327" i="1" s="1" a="1"/>
  <c r="AI327" i="1" s="1"/>
  <c r="S378" i="1"/>
  <c r="T379" i="1"/>
  <c r="T325" i="1"/>
  <c r="AI325" i="1" s="1" a="1"/>
  <c r="AI325" i="1" s="1"/>
  <c r="S376" i="1"/>
  <c r="T326" i="1"/>
  <c r="AI326" i="1" s="1" a="1"/>
  <c r="AI326" i="1" s="1"/>
  <c r="R378" i="1"/>
  <c r="T381" i="1"/>
  <c r="S377" i="1"/>
  <c r="R373" i="1"/>
  <c r="T380" i="1"/>
  <c r="S375" i="1"/>
  <c r="T382" i="1"/>
  <c r="T323" i="1"/>
  <c r="AI323" i="1" s="1" a="1"/>
  <c r="AI323" i="1" s="1"/>
  <c r="T322" i="1"/>
  <c r="AI322" i="1" s="1" a="1"/>
  <c r="AI322" i="1" s="1"/>
  <c r="T5" i="1"/>
  <c r="AI5" i="1" s="1" a="1"/>
  <c r="AI5" i="1" s="1"/>
  <c r="T369" i="1"/>
  <c r="AI369" i="1" s="1" a="1"/>
  <c r="AI369" i="1" s="1"/>
  <c r="T365" i="1"/>
  <c r="T366" i="1"/>
  <c r="AI366" i="1" s="1" a="1"/>
  <c r="AI366" i="1" s="1"/>
  <c r="T367" i="1"/>
  <c r="AI367" i="1" s="1" a="1"/>
  <c r="AI367" i="1" s="1"/>
  <c r="T300" i="1"/>
  <c r="AI300" i="1" s="1" a="1"/>
  <c r="AI300" i="1" s="1"/>
  <c r="T303" i="1"/>
  <c r="AI303" i="1" s="1" a="1"/>
  <c r="AI303" i="1" s="1"/>
  <c r="T304" i="1"/>
  <c r="AI304" i="1" s="1" a="1"/>
  <c r="AI304" i="1" s="1"/>
  <c r="T301" i="1"/>
  <c r="AI301" i="1" s="1" a="1"/>
  <c r="AI301" i="1" s="1"/>
  <c r="T298" i="1"/>
  <c r="AI298" i="1" s="1" a="1"/>
  <c r="AI298" i="1" s="1"/>
  <c r="T302" i="1"/>
  <c r="T299" i="1"/>
  <c r="AI299" i="1" s="1" a="1"/>
  <c r="AI299" i="1" s="1"/>
  <c r="T305" i="1"/>
  <c r="AI305" i="1" s="1" a="1"/>
  <c r="AI305" i="1" s="1"/>
  <c r="T294" i="1"/>
  <c r="T295" i="1"/>
  <c r="AI295" i="1" s="1" a="1"/>
  <c r="AI295" i="1" s="1"/>
  <c r="T293" i="1"/>
  <c r="AI293" i="1" s="1" a="1"/>
  <c r="AI293" i="1" s="1"/>
  <c r="T320" i="1"/>
  <c r="T319" i="1"/>
  <c r="T311" i="1"/>
  <c r="T318" i="1"/>
  <c r="AI318" i="1" s="1" a="1"/>
  <c r="AI318" i="1" s="1"/>
  <c r="T312" i="1"/>
  <c r="T314" i="1"/>
  <c r="AI314" i="1" s="1" a="1"/>
  <c r="AI314" i="1" s="1"/>
  <c r="T310" i="1"/>
  <c r="AI310" i="1" s="1" a="1"/>
  <c r="AI310" i="1" s="1"/>
  <c r="T315" i="1"/>
  <c r="T316" i="1"/>
  <c r="T308" i="1"/>
  <c r="T307" i="1"/>
  <c r="T306" i="1"/>
  <c r="T383" i="1"/>
  <c r="T267" i="1"/>
  <c r="T288" i="1"/>
  <c r="AI288" i="1" s="1" a="1"/>
  <c r="AI288" i="1" s="1"/>
  <c r="T269" i="1"/>
  <c r="T284" i="1"/>
  <c r="AI284" i="1" s="1" a="1"/>
  <c r="AI284" i="1" s="1"/>
  <c r="T141" i="1"/>
  <c r="AI141" i="1" s="1" a="1"/>
  <c r="AI141" i="1" s="1"/>
  <c r="T283" i="1"/>
  <c r="AI283" i="1" s="1" a="1"/>
  <c r="AI283" i="1" s="1"/>
  <c r="T261" i="1"/>
  <c r="AI261" i="1" s="1" a="1"/>
  <c r="AI261" i="1" s="1"/>
  <c r="T282" i="1"/>
  <c r="T268" i="1"/>
  <c r="AI268" i="1" s="1" a="1"/>
  <c r="AI268" i="1" s="1"/>
  <c r="T263" i="1"/>
  <c r="AI263" i="1" s="1" a="1"/>
  <c r="AI263" i="1" s="1"/>
  <c r="T266" i="1"/>
  <c r="AI266" i="1" s="1" a="1"/>
  <c r="AI266" i="1" s="1"/>
  <c r="T272" i="1"/>
  <c r="AI272" i="1" s="1" a="1"/>
  <c r="AI272" i="1" s="1"/>
  <c r="T273" i="1"/>
  <c r="T411" i="1"/>
  <c r="T287" i="1"/>
  <c r="AI287" i="1" s="1" a="1"/>
  <c r="AI287" i="1" s="1"/>
  <c r="T286" i="1"/>
  <c r="T264" i="1"/>
  <c r="T276" i="1"/>
  <c r="T285" i="1"/>
  <c r="AI285" i="1" s="1" a="1"/>
  <c r="AI285" i="1" s="1"/>
  <c r="T271" i="1"/>
  <c r="T280" i="1"/>
  <c r="T410" i="1"/>
  <c r="T275" i="1"/>
  <c r="AI275" i="1" s="1" a="1"/>
  <c r="AI275" i="1" s="1"/>
  <c r="T278" i="1"/>
  <c r="T262" i="1"/>
  <c r="T281" i="1"/>
  <c r="AI281" i="1" s="1" a="1"/>
  <c r="AI281" i="1" s="1"/>
  <c r="T274" i="1"/>
  <c r="AI274" i="1" s="1" a="1"/>
  <c r="AI274" i="1" s="1"/>
  <c r="T265" i="1"/>
  <c r="AI265" i="1" s="1" a="1"/>
  <c r="AI265" i="1" s="1"/>
  <c r="T270" i="1"/>
  <c r="AI270" i="1" s="1" a="1"/>
  <c r="AI270" i="1" s="1"/>
  <c r="T279" i="1"/>
  <c r="AI279" i="1" s="1" a="1"/>
  <c r="AI279" i="1" s="1"/>
  <c r="E24" i="7"/>
  <c r="E23" i="7"/>
  <c r="E25" i="7"/>
  <c r="E22" i="7"/>
  <c r="E20" i="7"/>
  <c r="E28" i="7"/>
  <c r="E27" i="7"/>
  <c r="E29" i="7"/>
  <c r="E26" i="7"/>
  <c r="E19" i="7"/>
  <c r="E31" i="7"/>
  <c r="E30" i="7"/>
  <c r="E34" i="7"/>
  <c r="E18" i="7"/>
  <c r="E35" i="7"/>
  <c r="E32" i="7"/>
  <c r="E33" i="7"/>
  <c r="E21" i="7"/>
  <c r="AI180" i="1" l="1" a="1"/>
  <c r="AI180" i="1" s="1"/>
  <c r="AI365" i="1" a="1"/>
  <c r="AI365" i="1" s="1"/>
  <c r="Z362" i="1"/>
  <c r="AI294" i="1" a="1"/>
  <c r="AI294" i="1" s="1"/>
  <c r="T373" i="1"/>
  <c r="AI170" i="1" a="1"/>
  <c r="AI170" i="1" s="1"/>
  <c r="AI204" i="1" a="1"/>
  <c r="AI204" i="1" s="1"/>
  <c r="Z336" i="1"/>
  <c r="Z337" i="1"/>
  <c r="AI339" i="1" a="1"/>
  <c r="AI339" i="1" s="1"/>
  <c r="T374" i="1"/>
  <c r="T370" i="1"/>
  <c r="T371" i="1"/>
  <c r="T372" i="1"/>
  <c r="Z334" i="1"/>
  <c r="T376" i="1"/>
  <c r="AI335" i="1" a="1"/>
  <c r="AI335" i="1" s="1"/>
  <c r="Z332" i="1"/>
  <c r="Z327" i="1"/>
  <c r="Z328" i="1"/>
  <c r="T375" i="1"/>
  <c r="AI302" i="1" a="1"/>
  <c r="AI302" i="1" s="1"/>
  <c r="T377" i="1"/>
  <c r="T378" i="1"/>
  <c r="Z325" i="1"/>
  <c r="AI312" i="1" a="1"/>
  <c r="AI312" i="1" s="1"/>
  <c r="Z311" i="1"/>
  <c r="AI311" i="1" a="1"/>
  <c r="AI311" i="1" s="1"/>
  <c r="Z310" i="1"/>
  <c r="Z322" i="1"/>
  <c r="Z303" i="1"/>
  <c r="Z300" i="1"/>
  <c r="Z301" i="1"/>
  <c r="Z298" i="1"/>
  <c r="Z293" i="1"/>
  <c r="Z294" i="1"/>
  <c r="Z285" i="1"/>
  <c r="Z307" i="1"/>
  <c r="AI282" i="1" a="1"/>
  <c r="AI282" i="1" s="1"/>
  <c r="Z281" i="1"/>
  <c r="AI278" i="1" a="1"/>
  <c r="AI278" i="1" s="1"/>
  <c r="Z306" i="1"/>
  <c r="AI271" i="1" a="1"/>
  <c r="AI271" i="1" s="1"/>
  <c r="Z270" i="1"/>
  <c r="AI280" i="1" a="1"/>
  <c r="AI280" i="1" s="1"/>
  <c r="Z279" i="1"/>
  <c r="AI269" i="1" a="1"/>
  <c r="AI269" i="1" s="1"/>
  <c r="Z268" i="1"/>
  <c r="AI276" i="1" a="1"/>
  <c r="AI276" i="1" s="1"/>
  <c r="Z275" i="1"/>
  <c r="AI264" i="1" a="1"/>
  <c r="AI264" i="1" s="1"/>
  <c r="Z263" i="1"/>
  <c r="AI316" i="1" a="1"/>
  <c r="AI316" i="1" s="1"/>
  <c r="Z315" i="1"/>
  <c r="AI315" i="1" a="1"/>
  <c r="AI315" i="1" s="1"/>
  <c r="Z314" i="1"/>
  <c r="AI267" i="1" a="1"/>
  <c r="AI267" i="1" s="1"/>
  <c r="Z266" i="1"/>
  <c r="AI273" i="1" a="1"/>
  <c r="AI273" i="1" s="1"/>
  <c r="Z272" i="1"/>
  <c r="Z318" i="1"/>
  <c r="AI262" i="1" a="1"/>
  <c r="AI262" i="1" s="1"/>
  <c r="Z261" i="1"/>
  <c r="AI320" i="1" a="1"/>
  <c r="AI320" i="1" s="1"/>
  <c r="Z319" i="1"/>
  <c r="AI319" i="1" a="1"/>
  <c r="AI319" i="1" s="1"/>
  <c r="AI308" i="1" a="1"/>
  <c r="AI308" i="1" s="1"/>
  <c r="AI307" i="1" a="1"/>
  <c r="AI307" i="1" s="1"/>
  <c r="AI306" i="1" a="1"/>
  <c r="AI306" i="1" s="1"/>
  <c r="T277" i="1"/>
  <c r="AI277" i="1" s="1" a="1"/>
  <c r="AI277" i="1" s="1"/>
  <c r="AI286" i="1" a="1"/>
  <c r="AI286" i="1" s="1"/>
  <c r="D150" i="6"/>
  <c r="AF75" i="1" s="1"/>
  <c r="AA392" i="1"/>
  <c r="AA393" i="1"/>
  <c r="AA395" i="1"/>
  <c r="AA396" i="1"/>
  <c r="AA397" i="1"/>
  <c r="AA398" i="1"/>
  <c r="AA400" i="1"/>
  <c r="AA401" i="1"/>
  <c r="AA402" i="1"/>
  <c r="F246" i="1"/>
  <c r="N246" i="1" s="1"/>
  <c r="R246" i="1" s="1"/>
  <c r="T3" i="1"/>
  <c r="T15" i="1"/>
  <c r="T87" i="1"/>
  <c r="T200" i="1"/>
  <c r="T14" i="1"/>
  <c r="T22" i="1"/>
  <c r="T76" i="1"/>
  <c r="T126" i="1"/>
  <c r="T154" i="1"/>
  <c r="T213" i="1"/>
  <c r="T220" i="1"/>
  <c r="F245" i="1"/>
  <c r="N245" i="1" s="1"/>
  <c r="R245" i="1" s="1"/>
  <c r="F197" i="1"/>
  <c r="N197" i="1" s="1"/>
  <c r="R197" i="1" s="1"/>
  <c r="F196" i="1"/>
  <c r="N196" i="1" s="1"/>
  <c r="R196" i="1" s="1"/>
  <c r="F195" i="1"/>
  <c r="N195" i="1" s="1"/>
  <c r="R195" i="1" s="1"/>
  <c r="AA258" i="1"/>
  <c r="AA259" i="1"/>
  <c r="AA260" i="1"/>
  <c r="Y258" i="1"/>
  <c r="Y259" i="1"/>
  <c r="V260" i="1"/>
  <c r="U258" i="1"/>
  <c r="U259" i="1"/>
  <c r="U260" i="1"/>
  <c r="D161" i="6"/>
  <c r="D76" i="6"/>
  <c r="D171" i="6"/>
  <c r="D249" i="6"/>
  <c r="AA391" i="1"/>
  <c r="AA257" i="1"/>
  <c r="V257" i="1"/>
  <c r="U257" i="1"/>
  <c r="D160" i="6"/>
  <c r="AF65" i="1" s="1"/>
  <c r="D240" i="6"/>
  <c r="D234" i="6"/>
  <c r="AF214" i="1" s="1"/>
  <c r="D238" i="6"/>
  <c r="D152" i="6"/>
  <c r="D151" i="6"/>
  <c r="D158" i="6"/>
  <c r="D156" i="6"/>
  <c r="AF51" i="1" s="1"/>
  <c r="D165" i="6"/>
  <c r="D169" i="6"/>
  <c r="AF109" i="1" s="1"/>
  <c r="D168" i="6"/>
  <c r="AF84" i="1" s="1"/>
  <c r="D166" i="6"/>
  <c r="AF205" i="1" s="1"/>
  <c r="D173" i="6"/>
  <c r="D172" i="6"/>
  <c r="AF243" i="1" s="1"/>
  <c r="D170" i="6"/>
  <c r="AF172" i="1" s="1"/>
  <c r="D78" i="6"/>
  <c r="D85" i="6"/>
  <c r="D80" i="6"/>
  <c r="AF171" i="1" s="1"/>
  <c r="D77" i="6"/>
  <c r="AF367" i="1" s="1"/>
  <c r="D245" i="6"/>
  <c r="D243" i="6"/>
  <c r="D250" i="6"/>
  <c r="AF50" i="1" s="1"/>
  <c r="D248" i="6"/>
  <c r="AF102" i="1" s="1"/>
  <c r="D241" i="6"/>
  <c r="AF221" i="1" s="1"/>
  <c r="AA407" i="1"/>
  <c r="AA409" i="1"/>
  <c r="AA406" i="1"/>
  <c r="AA256" i="1"/>
  <c r="V256" i="1"/>
  <c r="U256" i="1"/>
  <c r="AA254" i="1"/>
  <c r="AA255" i="1"/>
  <c r="Y254" i="1"/>
  <c r="U254" i="1"/>
  <c r="U255" i="1"/>
  <c r="AA242" i="1"/>
  <c r="AA243" i="1"/>
  <c r="AA244" i="1"/>
  <c r="AA245" i="1"/>
  <c r="AA246" i="1"/>
  <c r="AA247" i="1"/>
  <c r="AA248" i="1"/>
  <c r="AA249" i="1"/>
  <c r="AA250" i="1"/>
  <c r="AA251" i="1"/>
  <c r="AA252" i="1"/>
  <c r="AA253" i="1"/>
  <c r="Y245" i="1"/>
  <c r="Y248" i="1"/>
  <c r="Y242" i="1"/>
  <c r="Y247" i="1"/>
  <c r="V245" i="1"/>
  <c r="V246" i="1"/>
  <c r="V249" i="1"/>
  <c r="U244" i="1"/>
  <c r="U245" i="1"/>
  <c r="U246" i="1"/>
  <c r="U247" i="1"/>
  <c r="U248" i="1"/>
  <c r="U249" i="1"/>
  <c r="U250" i="1"/>
  <c r="U251" i="1"/>
  <c r="U252" i="1"/>
  <c r="U253" i="1"/>
  <c r="U242" i="1"/>
  <c r="U243" i="1"/>
  <c r="AA240" i="1"/>
  <c r="AA241" i="1"/>
  <c r="Y240" i="1"/>
  <c r="U240" i="1"/>
  <c r="U241" i="1"/>
  <c r="AA408" i="1"/>
  <c r="AA238" i="1"/>
  <c r="AA239" i="1"/>
  <c r="Y238" i="1"/>
  <c r="V238" i="1"/>
  <c r="V239" i="1"/>
  <c r="AA233" i="1"/>
  <c r="AA234" i="1"/>
  <c r="AA235" i="1"/>
  <c r="AA236" i="1"/>
  <c r="AA237" i="1"/>
  <c r="Y234" i="1"/>
  <c r="Y236" i="1"/>
  <c r="V235" i="1"/>
  <c r="V237" i="1"/>
  <c r="U233" i="1"/>
  <c r="U234" i="1"/>
  <c r="U235" i="1"/>
  <c r="U236" i="1"/>
  <c r="U237" i="1"/>
  <c r="AA230" i="1"/>
  <c r="AA231" i="1"/>
  <c r="AA232" i="1"/>
  <c r="Y230" i="1"/>
  <c r="Y231" i="1"/>
  <c r="V230" i="1"/>
  <c r="V231" i="1"/>
  <c r="V232" i="1"/>
  <c r="U230" i="1"/>
  <c r="U231" i="1"/>
  <c r="U232" i="1"/>
  <c r="AA228" i="1"/>
  <c r="AA229" i="1"/>
  <c r="Y228" i="1"/>
  <c r="U228" i="1"/>
  <c r="U229" i="1"/>
  <c r="U14" i="1"/>
  <c r="V14" i="1"/>
  <c r="Y14" i="1"/>
  <c r="AA14" i="1"/>
  <c r="AA225" i="1"/>
  <c r="AA226" i="1"/>
  <c r="AA227" i="1"/>
  <c r="Y225" i="1"/>
  <c r="Y226" i="1"/>
  <c r="U225" i="1"/>
  <c r="U226" i="1"/>
  <c r="U227" i="1"/>
  <c r="U214" i="1"/>
  <c r="U195" i="1"/>
  <c r="U154" i="1"/>
  <c r="U155" i="1"/>
  <c r="U30" i="1"/>
  <c r="U31" i="1"/>
  <c r="AA368" i="1"/>
  <c r="AA412" i="1"/>
  <c r="AA405" i="1"/>
  <c r="AA403" i="1"/>
  <c r="AA389" i="1"/>
  <c r="AA390" i="1"/>
  <c r="AA388" i="1"/>
  <c r="AA386" i="1"/>
  <c r="AA385" i="1"/>
  <c r="AA384" i="1"/>
  <c r="AA101" i="1"/>
  <c r="AA102" i="1"/>
  <c r="Y101" i="1"/>
  <c r="U101" i="1"/>
  <c r="U102" i="1"/>
  <c r="AA223" i="1"/>
  <c r="AA224" i="1"/>
  <c r="Y223" i="1"/>
  <c r="U223" i="1"/>
  <c r="V223" i="1"/>
  <c r="U224" i="1"/>
  <c r="V224" i="1"/>
  <c r="AA220" i="1"/>
  <c r="AA221" i="1"/>
  <c r="AA222" i="1"/>
  <c r="Y220" i="1"/>
  <c r="Y221" i="1"/>
  <c r="U220" i="1"/>
  <c r="U221" i="1"/>
  <c r="U222" i="1"/>
  <c r="AA218" i="1"/>
  <c r="AA219" i="1"/>
  <c r="Y218" i="1"/>
  <c r="U218" i="1"/>
  <c r="V218" i="1"/>
  <c r="U219" i="1"/>
  <c r="V219" i="1"/>
  <c r="AA215" i="1"/>
  <c r="AA216" i="1"/>
  <c r="AA217" i="1"/>
  <c r="Y215" i="1"/>
  <c r="Y216" i="1"/>
  <c r="U215" i="1"/>
  <c r="V215" i="1"/>
  <c r="U216" i="1"/>
  <c r="V216" i="1"/>
  <c r="U217" i="1"/>
  <c r="V217" i="1"/>
  <c r="AA214" i="1"/>
  <c r="AA211" i="1"/>
  <c r="AA212" i="1"/>
  <c r="AA213" i="1"/>
  <c r="Y211" i="1"/>
  <c r="Y212" i="1"/>
  <c r="V211" i="1"/>
  <c r="V212" i="1"/>
  <c r="V213" i="1"/>
  <c r="U211" i="1"/>
  <c r="U212" i="1"/>
  <c r="U213" i="1"/>
  <c r="AA208" i="1"/>
  <c r="AA209" i="1"/>
  <c r="AA210" i="1"/>
  <c r="V208" i="1"/>
  <c r="V209" i="1"/>
  <c r="V210" i="1"/>
  <c r="U208" i="1"/>
  <c r="U209" i="1"/>
  <c r="U210" i="1"/>
  <c r="AA207" i="1"/>
  <c r="V207" i="1"/>
  <c r="U207" i="1"/>
  <c r="AA205" i="1"/>
  <c r="AA206" i="1"/>
  <c r="Y205" i="1"/>
  <c r="U205" i="1"/>
  <c r="U206" i="1"/>
  <c r="AA201" i="1"/>
  <c r="AA202" i="1"/>
  <c r="AA203" i="1"/>
  <c r="Y201" i="1"/>
  <c r="Y202" i="1"/>
  <c r="U201" i="1"/>
  <c r="U202" i="1"/>
  <c r="U203" i="1"/>
  <c r="AA200" i="1"/>
  <c r="AA198" i="1"/>
  <c r="AA199" i="1"/>
  <c r="Y198" i="1"/>
  <c r="Y199" i="1"/>
  <c r="U198" i="1"/>
  <c r="V198" i="1"/>
  <c r="U199" i="1"/>
  <c r="V199" i="1"/>
  <c r="U200" i="1"/>
  <c r="V200" i="1"/>
  <c r="AA195" i="1"/>
  <c r="AA196" i="1"/>
  <c r="AA197" i="1"/>
  <c r="Y195" i="1"/>
  <c r="Y196" i="1"/>
  <c r="V196" i="1"/>
  <c r="V197" i="1"/>
  <c r="V195" i="1"/>
  <c r="U196" i="1"/>
  <c r="U197" i="1"/>
  <c r="AA191" i="1"/>
  <c r="AA192" i="1"/>
  <c r="AA193" i="1"/>
  <c r="Y192" i="1"/>
  <c r="Y191" i="1"/>
  <c r="U191" i="1"/>
  <c r="U192" i="1"/>
  <c r="U193" i="1"/>
  <c r="U181" i="1"/>
  <c r="V181" i="1"/>
  <c r="Y181" i="1"/>
  <c r="AA181" i="1"/>
  <c r="U182" i="1"/>
  <c r="V182" i="1"/>
  <c r="AA182" i="1"/>
  <c r="U183" i="1"/>
  <c r="AA183" i="1"/>
  <c r="AA3" i="1"/>
  <c r="AA4" i="1"/>
  <c r="AA6" i="1"/>
  <c r="AA7" i="1"/>
  <c r="AA8" i="1"/>
  <c r="AA10" i="1"/>
  <c r="AA11" i="1"/>
  <c r="AA12" i="1"/>
  <c r="AA15" i="1"/>
  <c r="AA16" i="1"/>
  <c r="AA18" i="1"/>
  <c r="AA19" i="1"/>
  <c r="AA20" i="1"/>
  <c r="AA21" i="1"/>
  <c r="AA22" i="1"/>
  <c r="AA23" i="1"/>
  <c r="AA24" i="1"/>
  <c r="AA26" i="1"/>
  <c r="AA27" i="1"/>
  <c r="AA28" i="1"/>
  <c r="AA30" i="1"/>
  <c r="AA31" i="1"/>
  <c r="AA32" i="1"/>
  <c r="AA33" i="1"/>
  <c r="AA34" i="1"/>
  <c r="AA35" i="1"/>
  <c r="AA38" i="1"/>
  <c r="AA39" i="1"/>
  <c r="AA40" i="1"/>
  <c r="AA41" i="1"/>
  <c r="AA42" i="1"/>
  <c r="AA43" i="1"/>
  <c r="AA44" i="1"/>
  <c r="AA51" i="1"/>
  <c r="AA52" i="1"/>
  <c r="AA53" i="1"/>
  <c r="AA54" i="1"/>
  <c r="AA55" i="1"/>
  <c r="AA56" i="1"/>
  <c r="AA57" i="1"/>
  <c r="AA60" i="1"/>
  <c r="AA61" i="1"/>
  <c r="AA62" i="1"/>
  <c r="AA63" i="1"/>
  <c r="AA64" i="1"/>
  <c r="AA65" i="1"/>
  <c r="AA66" i="1"/>
  <c r="AA67" i="1"/>
  <c r="AA68" i="1"/>
  <c r="AA69" i="1"/>
  <c r="AA70" i="1"/>
  <c r="AA71" i="1"/>
  <c r="AA72" i="1"/>
  <c r="AA73" i="1"/>
  <c r="AA74" i="1"/>
  <c r="AA75" i="1"/>
  <c r="AA76" i="1"/>
  <c r="AA77" i="1"/>
  <c r="AA78" i="1"/>
  <c r="AA79" i="1"/>
  <c r="AA80" i="1"/>
  <c r="AA83" i="1"/>
  <c r="AA84" i="1"/>
  <c r="AA86" i="1"/>
  <c r="AA87" i="1"/>
  <c r="AA89" i="1"/>
  <c r="AA90" i="1"/>
  <c r="AA91" i="1"/>
  <c r="AA92" i="1"/>
  <c r="AA94" i="1"/>
  <c r="AA95" i="1"/>
  <c r="AA96" i="1"/>
  <c r="AA97" i="1"/>
  <c r="AA98" i="1"/>
  <c r="AA99" i="1"/>
  <c r="AA100" i="1"/>
  <c r="AA103" i="1"/>
  <c r="AA104" i="1"/>
  <c r="AA106" i="1"/>
  <c r="AA107" i="1"/>
  <c r="AA108" i="1"/>
  <c r="AA109" i="1"/>
  <c r="AA110" i="1"/>
  <c r="AA111" i="1"/>
  <c r="AA112" i="1"/>
  <c r="AA113" i="1"/>
  <c r="AA114" i="1"/>
  <c r="AA115" i="1"/>
  <c r="AA116" i="1"/>
  <c r="AA117" i="1"/>
  <c r="AA118" i="1"/>
  <c r="AA120" i="1"/>
  <c r="AA122" i="1"/>
  <c r="AA123" i="1"/>
  <c r="AA124" i="1"/>
  <c r="AA126" i="1"/>
  <c r="AA127" i="1"/>
  <c r="AA128" i="1"/>
  <c r="AA130" i="1"/>
  <c r="AA131" i="1"/>
  <c r="AA133" i="1"/>
  <c r="AA134" i="1"/>
  <c r="AA135" i="1"/>
  <c r="AA136" i="1"/>
  <c r="AA137" i="1"/>
  <c r="AA138" i="1"/>
  <c r="AA139" i="1"/>
  <c r="AA140" i="1"/>
  <c r="AA142" i="1"/>
  <c r="AA143" i="1"/>
  <c r="AA144" i="1"/>
  <c r="AA145" i="1"/>
  <c r="AA146" i="1"/>
  <c r="AA148" i="1"/>
  <c r="AA149" i="1"/>
  <c r="AA150" i="1"/>
  <c r="AA151" i="1"/>
  <c r="AA152" i="1"/>
  <c r="AA153" i="1"/>
  <c r="AA154" i="1"/>
  <c r="AA155" i="1"/>
  <c r="AA156" i="1"/>
  <c r="AA158" i="1"/>
  <c r="AA159" i="1"/>
  <c r="AA160" i="1"/>
  <c r="AA161" i="1"/>
  <c r="AA167" i="1"/>
  <c r="AA169" i="1"/>
  <c r="AA171" i="1"/>
  <c r="AA172" i="1"/>
  <c r="AA173" i="1"/>
  <c r="AA175" i="1"/>
  <c r="AA176" i="1"/>
  <c r="AA177" i="1"/>
  <c r="AA178" i="1"/>
  <c r="AA179" i="1"/>
  <c r="AA184" i="1"/>
  <c r="AA185" i="1"/>
  <c r="AA186" i="1"/>
  <c r="AA189" i="1"/>
  <c r="AA190" i="1"/>
  <c r="AA289" i="1"/>
  <c r="AA290" i="1"/>
  <c r="AA291" i="1"/>
  <c r="AA2" i="1"/>
  <c r="Y3" i="1"/>
  <c r="Y6" i="1"/>
  <c r="Y7" i="1"/>
  <c r="Y10" i="1"/>
  <c r="Y11" i="1"/>
  <c r="Y15" i="1"/>
  <c r="Y18" i="1"/>
  <c r="Y20" i="1"/>
  <c r="Y22" i="1"/>
  <c r="Y23" i="1"/>
  <c r="Y26" i="1"/>
  <c r="Y27" i="1"/>
  <c r="Y30" i="1"/>
  <c r="Y32" i="1"/>
  <c r="Y39" i="1"/>
  <c r="Y42" i="1"/>
  <c r="Y44" i="1"/>
  <c r="Y55" i="1"/>
  <c r="Y57" i="1"/>
  <c r="Y60" i="1"/>
  <c r="Y62" i="1"/>
  <c r="Y64" i="1"/>
  <c r="Y66" i="1"/>
  <c r="Y68" i="1"/>
  <c r="Y70" i="1"/>
  <c r="Y72" i="1"/>
  <c r="Y74" i="1"/>
  <c r="Y75" i="1"/>
  <c r="Y79" i="1"/>
  <c r="Y80" i="1"/>
  <c r="Y83" i="1"/>
  <c r="Y86" i="1"/>
  <c r="Y89" i="1"/>
  <c r="Y91" i="1"/>
  <c r="Y94" i="1"/>
  <c r="Y97" i="1"/>
  <c r="Y99" i="1"/>
  <c r="Y103" i="1"/>
  <c r="Y106" i="1"/>
  <c r="Y108" i="1"/>
  <c r="Y109" i="1"/>
  <c r="Y111" i="1"/>
  <c r="Y113" i="1"/>
  <c r="Y114" i="1"/>
  <c r="Y116" i="1"/>
  <c r="Y118" i="1"/>
  <c r="Y119" i="1"/>
  <c r="Y122" i="1"/>
  <c r="Y123" i="1"/>
  <c r="Y126" i="1"/>
  <c r="Y127" i="1"/>
  <c r="Y130" i="1"/>
  <c r="Y142" i="1"/>
  <c r="Y144" i="1"/>
  <c r="Y145" i="1"/>
  <c r="Y148" i="1"/>
  <c r="Y152" i="1"/>
  <c r="Y154" i="1"/>
  <c r="Y155" i="1"/>
  <c r="Y189" i="1"/>
  <c r="Y289" i="1"/>
  <c r="Y290" i="1"/>
  <c r="Y2" i="1"/>
  <c r="V190" i="1"/>
  <c r="U75" i="1"/>
  <c r="U76" i="1"/>
  <c r="U11" i="1"/>
  <c r="V15" i="1"/>
  <c r="V16" i="1"/>
  <c r="V19" i="1"/>
  <c r="V26" i="1"/>
  <c r="V27" i="1"/>
  <c r="V28" i="1"/>
  <c r="V38" i="1"/>
  <c r="V39" i="1"/>
  <c r="V40" i="1"/>
  <c r="V48" i="1"/>
  <c r="V50" i="1"/>
  <c r="V60" i="1"/>
  <c r="V61" i="1"/>
  <c r="V66" i="1"/>
  <c r="V67" i="1"/>
  <c r="V68" i="1"/>
  <c r="V69" i="1"/>
  <c r="V72" i="1"/>
  <c r="V73" i="1"/>
  <c r="V77" i="1"/>
  <c r="V78" i="1"/>
  <c r="V79" i="1"/>
  <c r="V80" i="1"/>
  <c r="V81" i="1"/>
  <c r="V87" i="1"/>
  <c r="V91" i="1"/>
  <c r="V92" i="1"/>
  <c r="V94" i="1"/>
  <c r="V95" i="1"/>
  <c r="V99" i="1"/>
  <c r="V100" i="1"/>
  <c r="V103" i="1"/>
  <c r="V104" i="1"/>
  <c r="V106" i="1"/>
  <c r="V107" i="1"/>
  <c r="V108" i="1"/>
  <c r="V109" i="1"/>
  <c r="V110" i="1"/>
  <c r="V113" i="1"/>
  <c r="V114" i="1"/>
  <c r="V115" i="1"/>
  <c r="V127" i="1"/>
  <c r="V128" i="1"/>
  <c r="V130" i="1"/>
  <c r="V131" i="1"/>
  <c r="V142" i="1"/>
  <c r="V143" i="1"/>
  <c r="V144" i="1"/>
  <c r="V145" i="1"/>
  <c r="V146" i="1"/>
  <c r="V148" i="1"/>
  <c r="V149" i="1"/>
  <c r="V150" i="1"/>
  <c r="V151" i="1"/>
  <c r="V153" i="1"/>
  <c r="V161" i="1"/>
  <c r="V167" i="1"/>
  <c r="V169" i="1"/>
  <c r="V171" i="1"/>
  <c r="V173" i="1"/>
  <c r="V289" i="1"/>
  <c r="V290" i="1"/>
  <c r="V291" i="1"/>
  <c r="V4" i="1"/>
  <c r="V7" i="1"/>
  <c r="V8" i="1"/>
  <c r="U63" i="1"/>
  <c r="U64" i="1"/>
  <c r="U65" i="1"/>
  <c r="U66" i="1"/>
  <c r="U67" i="1"/>
  <c r="U68" i="1"/>
  <c r="U69" i="1"/>
  <c r="U70" i="1"/>
  <c r="U71" i="1"/>
  <c r="U72" i="1"/>
  <c r="U73" i="1"/>
  <c r="U74" i="1"/>
  <c r="U77" i="1"/>
  <c r="U78" i="1"/>
  <c r="U79" i="1"/>
  <c r="U80" i="1"/>
  <c r="U81" i="1"/>
  <c r="U83" i="1"/>
  <c r="U84" i="1"/>
  <c r="U86" i="1"/>
  <c r="U87" i="1"/>
  <c r="U89" i="1"/>
  <c r="U90" i="1"/>
  <c r="U91" i="1"/>
  <c r="U92" i="1"/>
  <c r="U94" i="1"/>
  <c r="U95" i="1"/>
  <c r="U96" i="1"/>
  <c r="U97" i="1"/>
  <c r="U98" i="1"/>
  <c r="U99" i="1"/>
  <c r="U100" i="1"/>
  <c r="U103" i="1"/>
  <c r="U104" i="1"/>
  <c r="U106" i="1"/>
  <c r="U107" i="1"/>
  <c r="U108" i="1"/>
  <c r="U109" i="1"/>
  <c r="U110" i="1"/>
  <c r="U111" i="1"/>
  <c r="U112" i="1"/>
  <c r="U113" i="1"/>
  <c r="U114" i="1"/>
  <c r="U115" i="1"/>
  <c r="U116" i="1"/>
  <c r="U117" i="1"/>
  <c r="U118" i="1"/>
  <c r="U119" i="1"/>
  <c r="U120" i="1"/>
  <c r="U122" i="1"/>
  <c r="U123" i="1"/>
  <c r="U124" i="1"/>
  <c r="U126" i="1"/>
  <c r="U127" i="1"/>
  <c r="U128" i="1"/>
  <c r="U130" i="1"/>
  <c r="U131" i="1"/>
  <c r="U133" i="1"/>
  <c r="U134" i="1"/>
  <c r="U135" i="1"/>
  <c r="U136" i="1"/>
  <c r="U137" i="1"/>
  <c r="U138" i="1"/>
  <c r="U139" i="1"/>
  <c r="U140" i="1"/>
  <c r="U142" i="1"/>
  <c r="U143" i="1"/>
  <c r="U144" i="1"/>
  <c r="U145" i="1"/>
  <c r="U146" i="1"/>
  <c r="U148" i="1"/>
  <c r="U149" i="1"/>
  <c r="U150" i="1"/>
  <c r="U151" i="1"/>
  <c r="U152" i="1"/>
  <c r="U153" i="1"/>
  <c r="U156" i="1"/>
  <c r="U158" i="1"/>
  <c r="U159" i="1"/>
  <c r="U160" i="1"/>
  <c r="U161" i="1"/>
  <c r="U167" i="1"/>
  <c r="U169" i="1"/>
  <c r="U171" i="1"/>
  <c r="U172" i="1"/>
  <c r="U173" i="1"/>
  <c r="U175" i="1"/>
  <c r="U176" i="1"/>
  <c r="U177" i="1"/>
  <c r="U178" i="1"/>
  <c r="U179" i="1"/>
  <c r="U184" i="1"/>
  <c r="U185" i="1"/>
  <c r="U186" i="1"/>
  <c r="U189" i="1"/>
  <c r="U190" i="1"/>
  <c r="U289" i="1"/>
  <c r="U290" i="1"/>
  <c r="U291" i="1"/>
  <c r="U3" i="1"/>
  <c r="U4" i="1"/>
  <c r="U6" i="1"/>
  <c r="U7" i="1"/>
  <c r="U8" i="1"/>
  <c r="U10" i="1"/>
  <c r="U12" i="1"/>
  <c r="U15" i="1"/>
  <c r="U16" i="1"/>
  <c r="U18" i="1"/>
  <c r="U19" i="1"/>
  <c r="U20" i="1"/>
  <c r="U21" i="1"/>
  <c r="U22" i="1"/>
  <c r="U23" i="1"/>
  <c r="U24" i="1"/>
  <c r="U26" i="1"/>
  <c r="U27" i="1"/>
  <c r="U28" i="1"/>
  <c r="U32" i="1"/>
  <c r="U33" i="1"/>
  <c r="U34" i="1"/>
  <c r="U35" i="1"/>
  <c r="U38" i="1"/>
  <c r="U39" i="1"/>
  <c r="U40" i="1"/>
  <c r="U41" i="1"/>
  <c r="U42" i="1"/>
  <c r="U43" i="1"/>
  <c r="U44" i="1"/>
  <c r="U46" i="1"/>
  <c r="U47" i="1"/>
  <c r="U48" i="1"/>
  <c r="U49" i="1"/>
  <c r="U50" i="1"/>
  <c r="U51" i="1"/>
  <c r="U52" i="1"/>
  <c r="U53" i="1"/>
  <c r="U54" i="1"/>
  <c r="U55" i="1"/>
  <c r="U56" i="1"/>
  <c r="U57" i="1"/>
  <c r="U58" i="1"/>
  <c r="U60" i="1"/>
  <c r="U61" i="1"/>
  <c r="U62" i="1"/>
  <c r="U2" i="1"/>
  <c r="AF259" i="1" l="1"/>
  <c r="AF100" i="1"/>
  <c r="AF176" i="1"/>
  <c r="AF19" i="1"/>
  <c r="AF197" i="1"/>
  <c r="AF290" i="1"/>
  <c r="AF52" i="1"/>
  <c r="AF76" i="1"/>
  <c r="AE59" i="1"/>
  <c r="AF58" i="1"/>
  <c r="AF63" i="1"/>
  <c r="AF106" i="1"/>
  <c r="AF55" i="1"/>
  <c r="AF30" i="1"/>
  <c r="AF248" i="1"/>
  <c r="AE356" i="1"/>
  <c r="AF356" i="1"/>
  <c r="AF18" i="1"/>
  <c r="AF250" i="1"/>
  <c r="AF238" i="1"/>
  <c r="AF21" i="1"/>
  <c r="AF47" i="1"/>
  <c r="AF263" i="1"/>
  <c r="AF272" i="1"/>
  <c r="AF254" i="1"/>
  <c r="AF195" i="1"/>
  <c r="AF189" i="1"/>
  <c r="AF278" i="1"/>
  <c r="AF232" i="1"/>
  <c r="AF54" i="1"/>
  <c r="AF112" i="1"/>
  <c r="AF266" i="1"/>
  <c r="AF301" i="1"/>
  <c r="AF268" i="1"/>
  <c r="AF70" i="1"/>
  <c r="AF72" i="1"/>
  <c r="AF136" i="1"/>
  <c r="AF229" i="1"/>
  <c r="AF123" i="1"/>
  <c r="AF182" i="1"/>
  <c r="AE368" i="1"/>
  <c r="AE171" i="1"/>
  <c r="AE65" i="1"/>
  <c r="AE172" i="1"/>
  <c r="AE243" i="1"/>
  <c r="AE205" i="1"/>
  <c r="AE84" i="1"/>
  <c r="AE214" i="1"/>
  <c r="AE296" i="1"/>
  <c r="AE58" i="1"/>
  <c r="AE367" i="1"/>
  <c r="AE221" i="1"/>
  <c r="AE51" i="1"/>
  <c r="AE102" i="1"/>
  <c r="AE50" i="1"/>
  <c r="AE75" i="1"/>
  <c r="AE238" i="1"/>
  <c r="AE21" i="1"/>
  <c r="AE250" i="1"/>
  <c r="AE18" i="1"/>
  <c r="AE47" i="1"/>
  <c r="AE263" i="1"/>
  <c r="AE272" i="1"/>
  <c r="AE195" i="1"/>
  <c r="AE254" i="1"/>
  <c r="AE189" i="1"/>
  <c r="AE266" i="1"/>
  <c r="AE301" i="1"/>
  <c r="AE268" i="1"/>
  <c r="AE70" i="1"/>
  <c r="AE72" i="1"/>
  <c r="AE136" i="1"/>
  <c r="AE229" i="1"/>
  <c r="AE210" i="1"/>
  <c r="AE123" i="1"/>
  <c r="AE182" i="1"/>
  <c r="AE278" i="1"/>
  <c r="AE232" i="1"/>
  <c r="AE54" i="1"/>
  <c r="AE112" i="1"/>
  <c r="AE100" i="1"/>
  <c r="AE176" i="1"/>
  <c r="AE197" i="1"/>
  <c r="AE19" i="1"/>
  <c r="AE290" i="1"/>
  <c r="AE259" i="1"/>
  <c r="AE52" i="1"/>
  <c r="AE76" i="1"/>
  <c r="AE295" i="1"/>
  <c r="AE109" i="1"/>
  <c r="AE63" i="1"/>
  <c r="AE106" i="1"/>
  <c r="AE248" i="1"/>
  <c r="AE55" i="1"/>
  <c r="AE30" i="1"/>
  <c r="AC404" i="1"/>
  <c r="AC394" i="1"/>
  <c r="AC399" i="1"/>
  <c r="AC405" i="1"/>
  <c r="AC390" i="1"/>
  <c r="AC398" i="1"/>
  <c r="U398" i="1" s="1"/>
  <c r="AC389" i="1"/>
  <c r="U389" i="1" s="1"/>
  <c r="AC397" i="1"/>
  <c r="AC403" i="1"/>
  <c r="AC396" i="1"/>
  <c r="U396" i="1" s="1"/>
  <c r="AC412" i="1"/>
  <c r="AC393" i="1"/>
  <c r="AC392" i="1"/>
  <c r="AC387" i="1"/>
  <c r="AC410" i="1"/>
  <c r="AC411" i="1"/>
  <c r="AC383" i="1"/>
  <c r="AC406" i="1"/>
  <c r="AC409" i="1"/>
  <c r="AC408" i="1"/>
  <c r="AC407" i="1"/>
  <c r="AC391" i="1"/>
  <c r="AC402" i="1"/>
  <c r="U402" i="1" s="1"/>
  <c r="AC384" i="1"/>
  <c r="AC401" i="1"/>
  <c r="AC395" i="1"/>
  <c r="AC385" i="1"/>
  <c r="AC386" i="1"/>
  <c r="AC388" i="1"/>
  <c r="AC400" i="1"/>
  <c r="Z14" i="1"/>
  <c r="Z277" i="1"/>
  <c r="N172" i="1"/>
  <c r="R172" i="1" s="1"/>
  <c r="T397" i="1"/>
  <c r="T396" i="1"/>
  <c r="T290" i="1"/>
  <c r="AI290" i="1" s="1" a="1"/>
  <c r="AI290" i="1" s="1"/>
  <c r="T144" i="1"/>
  <c r="AI144" i="1" s="1" a="1"/>
  <c r="AI144" i="1" s="1"/>
  <c r="T242" i="1"/>
  <c r="AI242" i="1" s="1" a="1"/>
  <c r="AI242" i="1" s="1"/>
  <c r="T122" i="1"/>
  <c r="AI122" i="1" s="1" a="1"/>
  <c r="AI122" i="1" s="1"/>
  <c r="T243" i="1"/>
  <c r="T227" i="1"/>
  <c r="T405" i="1"/>
  <c r="T86" i="1"/>
  <c r="AI86" i="1" s="1" a="1"/>
  <c r="AI86" i="1" s="1"/>
  <c r="T68" i="1"/>
  <c r="AI68" i="1" s="1" a="1"/>
  <c r="AI68" i="1" s="1"/>
  <c r="T51" i="1"/>
  <c r="AI51" i="1" s="1" a="1"/>
  <c r="AI51" i="1" s="1"/>
  <c r="T32" i="1"/>
  <c r="AI32" i="1" s="1" a="1"/>
  <c r="AI32" i="1" s="1"/>
  <c r="T189" i="1"/>
  <c r="AI189" i="1" s="1" a="1"/>
  <c r="AI189" i="1" s="1"/>
  <c r="T143" i="1"/>
  <c r="T167" i="1"/>
  <c r="AI167" i="1" s="1" a="1"/>
  <c r="AI167" i="1" s="1"/>
  <c r="T70" i="1"/>
  <c r="AI70" i="1" s="1" a="1"/>
  <c r="AI70" i="1" s="1"/>
  <c r="T53" i="1"/>
  <c r="AI53" i="1" s="1" a="1"/>
  <c r="AI53" i="1" s="1"/>
  <c r="T34" i="1"/>
  <c r="AI34" i="1" s="1" a="1"/>
  <c r="AI34" i="1" s="1"/>
  <c r="T114" i="1"/>
  <c r="T97" i="1"/>
  <c r="AI97" i="1" s="1" a="1"/>
  <c r="AI97" i="1" s="1"/>
  <c r="T192" i="1"/>
  <c r="T146" i="1"/>
  <c r="T191" i="1"/>
  <c r="AI191" i="1" s="1" a="1"/>
  <c r="AI191" i="1" s="1"/>
  <c r="T226" i="1"/>
  <c r="T210" i="1"/>
  <c r="AI210" i="1" s="1" a="1"/>
  <c r="AI210" i="1" s="1"/>
  <c r="T104" i="1"/>
  <c r="T10" i="1"/>
  <c r="AI10" i="1" s="1" a="1"/>
  <c r="AI10" i="1" s="1"/>
  <c r="T406" i="1"/>
  <c r="T291" i="1"/>
  <c r="T402" i="1"/>
  <c r="T388" i="1"/>
  <c r="T408" i="1"/>
  <c r="T384" i="1"/>
  <c r="T215" i="1"/>
  <c r="AI215" i="1" s="1" a="1"/>
  <c r="AI215" i="1" s="1"/>
  <c r="T72" i="1"/>
  <c r="AI72" i="1" s="1" a="1"/>
  <c r="AI72" i="1" s="1"/>
  <c r="T55" i="1"/>
  <c r="AI55" i="1" s="1" a="1"/>
  <c r="AI55" i="1" s="1"/>
  <c r="T38" i="1"/>
  <c r="T248" i="1"/>
  <c r="T230" i="1"/>
  <c r="AI230" i="1" s="1" a="1"/>
  <c r="AI230" i="1" s="1"/>
  <c r="T109" i="1"/>
  <c r="T91" i="1"/>
  <c r="AI91" i="1" s="1" a="1"/>
  <c r="AI91" i="1" s="1"/>
  <c r="T395" i="1"/>
  <c r="T211" i="1"/>
  <c r="AI211" i="1" s="1" a="1"/>
  <c r="AI211" i="1" s="1"/>
  <c r="T136" i="1"/>
  <c r="AI136" i="1" s="1" a="1"/>
  <c r="AI136" i="1" s="1"/>
  <c r="T389" i="1"/>
  <c r="T179" i="1"/>
  <c r="T153" i="1"/>
  <c r="T135" i="1"/>
  <c r="AI135" i="1" s="1" a="1"/>
  <c r="AI135" i="1" s="1"/>
  <c r="T113" i="1"/>
  <c r="AI113" i="1" s="1" a="1"/>
  <c r="AI113" i="1" s="1"/>
  <c r="T96" i="1"/>
  <c r="AI96" i="1" s="1" a="1"/>
  <c r="AI96" i="1" s="1"/>
  <c r="T75" i="1"/>
  <c r="T58" i="1"/>
  <c r="T41" i="1"/>
  <c r="AI41" i="1" s="1" a="1"/>
  <c r="AI41" i="1" s="1"/>
  <c r="T231" i="1"/>
  <c r="T193" i="1"/>
  <c r="T173" i="1"/>
  <c r="AI173" i="1" s="1" a="1"/>
  <c r="AI173" i="1" s="1"/>
  <c r="T148" i="1"/>
  <c r="AI148" i="1" s="1" a="1"/>
  <c r="AI148" i="1" s="1"/>
  <c r="T128" i="1"/>
  <c r="T407" i="1"/>
  <c r="T214" i="1"/>
  <c r="AI214" i="1" s="1" a="1"/>
  <c r="AI214" i="1" s="1"/>
  <c r="T71" i="1"/>
  <c r="T54" i="1"/>
  <c r="T35" i="1"/>
  <c r="T247" i="1"/>
  <c r="AI247" i="1" s="1" a="1"/>
  <c r="AI247" i="1" s="1"/>
  <c r="T229" i="1"/>
  <c r="T108" i="1"/>
  <c r="AI108" i="1" s="1" a="1"/>
  <c r="AI108" i="1" s="1"/>
  <c r="T90" i="1"/>
  <c r="T259" i="1"/>
  <c r="T207" i="1"/>
  <c r="AI207" i="1" s="1" a="1"/>
  <c r="AI207" i="1" s="1"/>
  <c r="T236" i="1"/>
  <c r="AI236" i="1" s="1" a="1"/>
  <c r="AI236" i="1" s="1"/>
  <c r="T77" i="1"/>
  <c r="AI77" i="1" s="1" a="1"/>
  <c r="AI77" i="1" s="1"/>
  <c r="T253" i="1"/>
  <c r="AI253" i="1" s="1" a="1"/>
  <c r="AI253" i="1" s="1"/>
  <c r="T178" i="1"/>
  <c r="T152" i="1"/>
  <c r="AI152" i="1" s="1" a="1"/>
  <c r="AI152" i="1" s="1"/>
  <c r="T134" i="1"/>
  <c r="T60" i="1"/>
  <c r="AI60" i="1" s="1" a="1"/>
  <c r="AI60" i="1" s="1"/>
  <c r="T42" i="1"/>
  <c r="AI42" i="1" s="1" a="1"/>
  <c r="AI42" i="1" s="1"/>
  <c r="T177" i="1"/>
  <c r="AI177" i="1" s="1" a="1"/>
  <c r="AI177" i="1" s="1"/>
  <c r="T21" i="1"/>
  <c r="T112" i="1"/>
  <c r="AI112" i="1" s="1" a="1"/>
  <c r="AI112" i="1" s="1"/>
  <c r="T95" i="1"/>
  <c r="T198" i="1"/>
  <c r="AI198" i="1" s="1" a="1"/>
  <c r="AI198" i="1" s="1"/>
  <c r="T16" i="1"/>
  <c r="T161" i="1"/>
  <c r="AI161" i="1" s="1" a="1"/>
  <c r="AI161" i="1" s="1"/>
  <c r="T258" i="1"/>
  <c r="AI258" i="1" s="1" a="1"/>
  <c r="AI258" i="1" s="1"/>
  <c r="T119" i="1"/>
  <c r="T102" i="1"/>
  <c r="T256" i="1"/>
  <c r="AI256" i="1" s="1" a="1"/>
  <c r="AI256" i="1" s="1"/>
  <c r="T206" i="1"/>
  <c r="T61" i="1"/>
  <c r="T43" i="1"/>
  <c r="T23" i="1"/>
  <c r="Z22" i="1" s="1"/>
  <c r="T398" i="1"/>
  <c r="T171" i="1"/>
  <c r="AI171" i="1" s="1" a="1"/>
  <c r="AI171" i="1" s="1"/>
  <c r="T239" i="1"/>
  <c r="T223" i="1"/>
  <c r="AI223" i="1" s="1" a="1"/>
  <c r="AI223" i="1" s="1"/>
  <c r="T391" i="1"/>
  <c r="T238" i="1"/>
  <c r="AI238" i="1" s="1" a="1"/>
  <c r="AI238" i="1" s="1"/>
  <c r="T222" i="1"/>
  <c r="T255" i="1"/>
  <c r="AI255" i="1" s="1" a="1"/>
  <c r="AI255" i="1" s="1"/>
  <c r="T254" i="1"/>
  <c r="AI254" i="1" s="1" a="1"/>
  <c r="AI254" i="1" s="1"/>
  <c r="T203" i="1"/>
  <c r="T127" i="1"/>
  <c r="T257" i="1"/>
  <c r="AI257" i="1" s="1" a="1"/>
  <c r="AI257" i="1" s="1"/>
  <c r="T2" i="1"/>
  <c r="T115" i="1"/>
  <c r="T98" i="1"/>
  <c r="T235" i="1"/>
  <c r="T219" i="1"/>
  <c r="T202" i="1"/>
  <c r="T368" i="1"/>
  <c r="T387" i="1"/>
  <c r="T251" i="1"/>
  <c r="T199" i="1"/>
  <c r="T232" i="1"/>
  <c r="T216" i="1"/>
  <c r="AI216" i="1" s="1" a="1"/>
  <c r="AI216" i="1" s="1"/>
  <c r="T110" i="1"/>
  <c r="T92" i="1"/>
  <c r="T18" i="1"/>
  <c r="AI18" i="1" s="1" a="1"/>
  <c r="AI18" i="1" s="1"/>
  <c r="T169" i="1"/>
  <c r="AI169" i="1" s="1" a="1"/>
  <c r="AI169" i="1" s="1"/>
  <c r="T145" i="1"/>
  <c r="T190" i="1"/>
  <c r="T69" i="1"/>
  <c r="T52" i="1"/>
  <c r="T33" i="1"/>
  <c r="T403" i="1"/>
  <c r="T289" i="1"/>
  <c r="AI289" i="1" s="1" a="1"/>
  <c r="AI289" i="1" s="1"/>
  <c r="T123" i="1"/>
  <c r="T106" i="1"/>
  <c r="AI106" i="1" s="1" a="1"/>
  <c r="AI106" i="1" s="1"/>
  <c r="T11" i="1"/>
  <c r="T240" i="1"/>
  <c r="AI240" i="1" s="1" a="1"/>
  <c r="AI240" i="1" s="1"/>
  <c r="T224" i="1"/>
  <c r="T208" i="1"/>
  <c r="AI208" i="1" s="1" a="1"/>
  <c r="AI208" i="1" s="1"/>
  <c r="T184" i="1"/>
  <c r="AI184" i="1" s="1" a="1"/>
  <c r="AI184" i="1" s="1"/>
  <c r="T158" i="1"/>
  <c r="AI158" i="1" s="1" a="1"/>
  <c r="AI158" i="1" s="1"/>
  <c r="T139" i="1"/>
  <c r="AI139" i="1" s="1" a="1"/>
  <c r="AI139" i="1" s="1"/>
  <c r="T81" i="1"/>
  <c r="T65" i="1"/>
  <c r="T48" i="1"/>
  <c r="T28" i="1"/>
  <c r="T7" i="1"/>
  <c r="T393" i="1"/>
  <c r="T183" i="1"/>
  <c r="AI183" i="1" s="1" a="1"/>
  <c r="AI183" i="1" s="1"/>
  <c r="T118" i="1"/>
  <c r="AI118" i="1" s="1" a="1"/>
  <c r="AI118" i="1" s="1"/>
  <c r="T101" i="1"/>
  <c r="AI101" i="1" s="1" a="1"/>
  <c r="AI101" i="1" s="1"/>
  <c r="T80" i="1"/>
  <c r="T64" i="1"/>
  <c r="AI64" i="1" s="1" a="1"/>
  <c r="AI64" i="1" s="1"/>
  <c r="T47" i="1"/>
  <c r="AI47" i="1" s="1" a="1"/>
  <c r="AI47" i="1" s="1"/>
  <c r="T27" i="1"/>
  <c r="T117" i="1"/>
  <c r="T100" i="1"/>
  <c r="T4" i="1"/>
  <c r="T392" i="1"/>
  <c r="T252" i="1"/>
  <c r="AI252" i="1" s="1" a="1"/>
  <c r="AI252" i="1" s="1"/>
  <c r="T234" i="1"/>
  <c r="T218" i="1"/>
  <c r="AI218" i="1" s="1" a="1"/>
  <c r="AI218" i="1" s="1"/>
  <c r="T201" i="1"/>
  <c r="AI201" i="1" s="1" a="1"/>
  <c r="AI201" i="1" s="1"/>
  <c r="T151" i="1"/>
  <c r="AI151" i="1" s="1" a="1"/>
  <c r="AI151" i="1" s="1"/>
  <c r="T133" i="1"/>
  <c r="AI133" i="1" s="1" a="1"/>
  <c r="AI133" i="1" s="1"/>
  <c r="T412" i="1"/>
  <c r="T386" i="1"/>
  <c r="T233" i="1"/>
  <c r="AI233" i="1" s="1" a="1"/>
  <c r="AI233" i="1" s="1"/>
  <c r="T217" i="1"/>
  <c r="T176" i="1"/>
  <c r="AI176" i="1" s="1" a="1"/>
  <c r="AI176" i="1" s="1"/>
  <c r="T150" i="1"/>
  <c r="T131" i="1"/>
  <c r="T74" i="1"/>
  <c r="AI74" i="1" s="1" a="1"/>
  <c r="AI74" i="1" s="1"/>
  <c r="T57" i="1"/>
  <c r="AI57" i="1" s="1" a="1"/>
  <c r="AI57" i="1" s="1"/>
  <c r="T40" i="1"/>
  <c r="T20" i="1"/>
  <c r="AI20" i="1" s="1" a="1"/>
  <c r="AI20" i="1" s="1"/>
  <c r="T246" i="1"/>
  <c r="T409" i="1"/>
  <c r="T385" i="1"/>
  <c r="T250" i="1"/>
  <c r="AI250" i="1" s="1" a="1"/>
  <c r="AI250" i="1" s="1"/>
  <c r="T175" i="1"/>
  <c r="AI175" i="1" s="1" a="1"/>
  <c r="AI175" i="1" s="1"/>
  <c r="T149" i="1"/>
  <c r="T130" i="1"/>
  <c r="AI130" i="1" s="1" a="1"/>
  <c r="AI130" i="1" s="1"/>
  <c r="T111" i="1"/>
  <c r="AI111" i="1" s="1" a="1"/>
  <c r="AI111" i="1" s="1"/>
  <c r="T94" i="1"/>
  <c r="AI94" i="1" s="1" a="1"/>
  <c r="AI94" i="1" s="1"/>
  <c r="T73" i="1"/>
  <c r="AI73" i="1" s="1" a="1"/>
  <c r="AI73" i="1" s="1"/>
  <c r="T56" i="1"/>
  <c r="T39" i="1"/>
  <c r="T19" i="1"/>
  <c r="T249" i="1"/>
  <c r="T244" i="1"/>
  <c r="AI244" i="1" s="1" a="1"/>
  <c r="AI244" i="1" s="1"/>
  <c r="T228" i="1"/>
  <c r="AI228" i="1" s="1" a="1"/>
  <c r="AI228" i="1" s="1"/>
  <c r="T212" i="1"/>
  <c r="T124" i="1"/>
  <c r="T107" i="1"/>
  <c r="T89" i="1"/>
  <c r="AI89" i="1" s="1" a="1"/>
  <c r="AI89" i="1" s="1"/>
  <c r="T12" i="1"/>
  <c r="T401" i="1"/>
  <c r="T400" i="1"/>
  <c r="T260" i="1"/>
  <c r="T186" i="1"/>
  <c r="T160" i="1"/>
  <c r="AI160" i="1" s="1" a="1"/>
  <c r="AI160" i="1" s="1"/>
  <c r="T142" i="1"/>
  <c r="AI142" i="1" s="1" a="1"/>
  <c r="AI142" i="1" s="1"/>
  <c r="T84" i="1"/>
  <c r="T67" i="1"/>
  <c r="T50" i="1"/>
  <c r="T31" i="1"/>
  <c r="T241" i="1"/>
  <c r="T225" i="1"/>
  <c r="AI225" i="1" s="1" a="1"/>
  <c r="AI225" i="1" s="1"/>
  <c r="T209" i="1"/>
  <c r="AI209" i="1" s="1" a="1"/>
  <c r="AI209" i="1" s="1"/>
  <c r="T185" i="1"/>
  <c r="AI185" i="1" s="1" a="1"/>
  <c r="AI185" i="1" s="1"/>
  <c r="T159" i="1"/>
  <c r="T140" i="1"/>
  <c r="AI140" i="1" s="1" a="1"/>
  <c r="AI140" i="1" s="1"/>
  <c r="T120" i="1"/>
  <c r="T103" i="1"/>
  <c r="AI103" i="1" s="1" a="1"/>
  <c r="AI103" i="1" s="1"/>
  <c r="T83" i="1"/>
  <c r="AI83" i="1" s="1" a="1"/>
  <c r="AI83" i="1" s="1"/>
  <c r="T66" i="1"/>
  <c r="AI66" i="1" s="1" a="1"/>
  <c r="AI66" i="1" s="1"/>
  <c r="T49" i="1"/>
  <c r="AI49" i="1" s="1" a="1"/>
  <c r="AI49" i="1" s="1"/>
  <c r="T30" i="1"/>
  <c r="AI30" i="1" s="1" a="1"/>
  <c r="AI30" i="1" s="1"/>
  <c r="T8" i="1"/>
  <c r="T195" i="1"/>
  <c r="AI195" i="1" s="1" a="1"/>
  <c r="AI195" i="1" s="1"/>
  <c r="T196" i="1"/>
  <c r="T156" i="1"/>
  <c r="T138" i="1"/>
  <c r="AI138" i="1" s="1" a="1"/>
  <c r="AI138" i="1" s="1"/>
  <c r="T6" i="1"/>
  <c r="AI6" i="1" s="1" a="1"/>
  <c r="AI6" i="1" s="1"/>
  <c r="T197" i="1"/>
  <c r="T182" i="1"/>
  <c r="T155" i="1"/>
  <c r="T137" i="1"/>
  <c r="AI137" i="1" s="1" a="1"/>
  <c r="AI137" i="1" s="1"/>
  <c r="T79" i="1"/>
  <c r="AI79" i="1" s="1" a="1"/>
  <c r="AI79" i="1" s="1"/>
  <c r="T63" i="1"/>
  <c r="T46" i="1"/>
  <c r="AI46" i="1" s="1" a="1"/>
  <c r="AI46" i="1" s="1"/>
  <c r="T26" i="1"/>
  <c r="AI26" i="1" s="1" a="1"/>
  <c r="AI26" i="1" s="1"/>
  <c r="T245" i="1"/>
  <c r="AI245" i="1" s="1" a="1"/>
  <c r="AI245" i="1" s="1"/>
  <c r="T390" i="1"/>
  <c r="T237" i="1"/>
  <c r="T221" i="1"/>
  <c r="T205" i="1"/>
  <c r="AI205" i="1" s="1" a="1"/>
  <c r="AI205" i="1" s="1"/>
  <c r="T181" i="1"/>
  <c r="AI181" i="1" s="1" a="1"/>
  <c r="AI181" i="1" s="1"/>
  <c r="T116" i="1"/>
  <c r="AI116" i="1" s="1" a="1"/>
  <c r="AI116" i="1" s="1"/>
  <c r="T99" i="1"/>
  <c r="AI99" i="1" s="1" a="1"/>
  <c r="AI99" i="1" s="1"/>
  <c r="T78" i="1"/>
  <c r="AI78" i="1" s="1" a="1"/>
  <c r="AI78" i="1" s="1"/>
  <c r="T62" i="1"/>
  <c r="AI62" i="1" s="1" a="1"/>
  <c r="AI62" i="1" s="1"/>
  <c r="T44" i="1"/>
  <c r="AI44" i="1" s="1" a="1"/>
  <c r="AI44" i="1" s="1"/>
  <c r="T24" i="1"/>
  <c r="AI220" i="1" a="1"/>
  <c r="AI220" i="1" s="1"/>
  <c r="AI154" i="1" a="1"/>
  <c r="AI154" i="1" s="1"/>
  <c r="AI3" i="1" a="1"/>
  <c r="AI3" i="1" s="1"/>
  <c r="AI213" i="1" a="1"/>
  <c r="AI213" i="1" s="1"/>
  <c r="AI76" i="1" a="1"/>
  <c r="AI76" i="1" s="1"/>
  <c r="AI22" i="1" a="1"/>
  <c r="AI22" i="1" s="1"/>
  <c r="AI126" i="1" a="1"/>
  <c r="AI126" i="1" s="1"/>
  <c r="AI15" i="1" a="1"/>
  <c r="AI15" i="1" s="1"/>
  <c r="AI87" i="1" a="1"/>
  <c r="AI87" i="1" s="1"/>
  <c r="AI14" i="1" a="1"/>
  <c r="AI14" i="1" s="1"/>
  <c r="AI179" i="1" l="1" a="1"/>
  <c r="AI179" i="1" s="1"/>
  <c r="I203" i="6" a="1"/>
  <c r="I203" i="6" s="1"/>
  <c r="AD368" i="1"/>
  <c r="AF368" i="1"/>
  <c r="F47" i="7"/>
  <c r="Z47" i="1"/>
  <c r="Z49" i="1"/>
  <c r="Z44" i="1"/>
  <c r="AI178" i="1" a="1"/>
  <c r="AI178" i="1" s="1"/>
  <c r="AI39" i="1" a="1"/>
  <c r="AI39" i="1" s="1"/>
  <c r="AI38" i="1" a="1"/>
  <c r="AI38" i="1" s="1"/>
  <c r="AI186" i="1" a="1"/>
  <c r="AI186" i="1" s="1"/>
  <c r="U411" i="1"/>
  <c r="AD411" i="1"/>
  <c r="AE411" i="1"/>
  <c r="AF411" i="1"/>
  <c r="U388" i="1"/>
  <c r="AE388" i="1"/>
  <c r="AF388" i="1"/>
  <c r="AD388" i="1"/>
  <c r="U392" i="1"/>
  <c r="AD392" i="1"/>
  <c r="AE392" i="1"/>
  <c r="AF392" i="1"/>
  <c r="U386" i="1"/>
  <c r="AF386" i="1"/>
  <c r="AE386" i="1"/>
  <c r="AD386" i="1"/>
  <c r="U393" i="1"/>
  <c r="AD393" i="1"/>
  <c r="AE393" i="1"/>
  <c r="AF393" i="1"/>
  <c r="U412" i="1"/>
  <c r="AD412" i="1"/>
  <c r="AE412" i="1"/>
  <c r="AF412" i="1"/>
  <c r="U395" i="1"/>
  <c r="AD395" i="1"/>
  <c r="AE395" i="1"/>
  <c r="AF395" i="1"/>
  <c r="AD396" i="1"/>
  <c r="AE396" i="1"/>
  <c r="AF396" i="1"/>
  <c r="U410" i="1"/>
  <c r="AD410" i="1"/>
  <c r="AE410" i="1"/>
  <c r="AF410" i="1"/>
  <c r="U401" i="1"/>
  <c r="AD401" i="1"/>
  <c r="AE401" i="1"/>
  <c r="AF401" i="1"/>
  <c r="U403" i="1"/>
  <c r="AF403" i="1"/>
  <c r="AD403" i="1"/>
  <c r="AE403" i="1"/>
  <c r="U400" i="1"/>
  <c r="AD400" i="1"/>
  <c r="AF400" i="1"/>
  <c r="AE400" i="1"/>
  <c r="U384" i="1"/>
  <c r="AF384" i="1"/>
  <c r="AD384" i="1"/>
  <c r="AE384" i="1"/>
  <c r="U397" i="1"/>
  <c r="AD397" i="1"/>
  <c r="AE397" i="1"/>
  <c r="AF397" i="1"/>
  <c r="U385" i="1"/>
  <c r="AE385" i="1"/>
  <c r="AD385" i="1"/>
  <c r="AF385" i="1"/>
  <c r="AF402" i="1"/>
  <c r="AE402" i="1"/>
  <c r="AD402" i="1"/>
  <c r="AE389" i="1"/>
  <c r="AF389" i="1"/>
  <c r="AD389" i="1"/>
  <c r="U391" i="1"/>
  <c r="AE391" i="1"/>
  <c r="AF391" i="1"/>
  <c r="AD391" i="1"/>
  <c r="AD398" i="1"/>
  <c r="AE398" i="1"/>
  <c r="AF398" i="1"/>
  <c r="U407" i="1"/>
  <c r="AE407" i="1"/>
  <c r="AF407" i="1"/>
  <c r="AD407" i="1"/>
  <c r="U390" i="1"/>
  <c r="AE390" i="1"/>
  <c r="AD390" i="1"/>
  <c r="AF390" i="1"/>
  <c r="U405" i="1"/>
  <c r="AE405" i="1"/>
  <c r="AF405" i="1"/>
  <c r="AD405" i="1"/>
  <c r="U387" i="1"/>
  <c r="AF387" i="1"/>
  <c r="AD387" i="1"/>
  <c r="AE387" i="1"/>
  <c r="U409" i="1"/>
  <c r="AD409" i="1"/>
  <c r="AE409" i="1"/>
  <c r="AF409" i="1"/>
  <c r="U399" i="1"/>
  <c r="AD399" i="1"/>
  <c r="AE399" i="1"/>
  <c r="AF399" i="1"/>
  <c r="U408" i="1"/>
  <c r="AD408" i="1"/>
  <c r="AE408" i="1"/>
  <c r="AF408" i="1"/>
  <c r="U406" i="1"/>
  <c r="AE406" i="1"/>
  <c r="AF406" i="1"/>
  <c r="AD406" i="1"/>
  <c r="U394" i="1"/>
  <c r="AD394" i="1"/>
  <c r="AE394" i="1"/>
  <c r="AF394" i="1"/>
  <c r="AF383" i="1"/>
  <c r="AD383" i="1"/>
  <c r="U383" i="1"/>
  <c r="AE383" i="1"/>
  <c r="U404" i="1"/>
  <c r="AE404" i="1"/>
  <c r="AF404" i="1"/>
  <c r="AD404" i="1"/>
  <c r="Z72" i="1"/>
  <c r="Z215" i="1"/>
  <c r="AI102" i="1" a="1"/>
  <c r="AI102" i="1" s="1"/>
  <c r="Z101" i="1"/>
  <c r="AI237" i="1" a="1"/>
  <c r="AI237" i="1" s="1"/>
  <c r="Z236" i="1"/>
  <c r="AI8" i="1" a="1"/>
  <c r="AI8" i="1" s="1"/>
  <c r="Z7" i="1"/>
  <c r="AI84" i="1" a="1"/>
  <c r="AI84" i="1" s="1"/>
  <c r="Z83" i="1"/>
  <c r="AI131" i="1" a="1"/>
  <c r="AI131" i="1" s="1"/>
  <c r="Z130" i="1"/>
  <c r="AI117" i="1" a="1"/>
  <c r="AI117" i="1" s="1"/>
  <c r="Z116" i="1"/>
  <c r="AI92" i="1" a="1"/>
  <c r="AI92" i="1" s="1"/>
  <c r="Z91" i="1"/>
  <c r="AI203" i="1" a="1"/>
  <c r="AI203" i="1" s="1"/>
  <c r="Z202" i="1"/>
  <c r="AI119" i="1" a="1"/>
  <c r="AI119" i="1" s="1"/>
  <c r="Z118" i="1"/>
  <c r="AI231" i="1" a="1"/>
  <c r="AI231" i="1" s="1"/>
  <c r="Z230" i="1"/>
  <c r="AI248" i="1" a="1"/>
  <c r="AI248" i="1" s="1"/>
  <c r="Z247" i="1"/>
  <c r="AI146" i="1" a="1"/>
  <c r="AI146" i="1" s="1"/>
  <c r="Z145" i="1"/>
  <c r="AI227" i="1" a="1"/>
  <c r="AI227" i="1" s="1"/>
  <c r="Z226" i="1"/>
  <c r="AI196" i="1" a="1"/>
  <c r="AI196" i="1" s="1"/>
  <c r="Z195" i="1"/>
  <c r="AI226" i="1" a="1"/>
  <c r="AI226" i="1" s="1"/>
  <c r="Z225" i="1"/>
  <c r="AI56" i="1" a="1"/>
  <c r="AI56" i="1" s="1"/>
  <c r="Z55" i="1"/>
  <c r="AI150" i="1" a="1"/>
  <c r="AI150" i="1" s="1"/>
  <c r="Z149" i="1"/>
  <c r="AI27" i="1" a="1"/>
  <c r="AI27" i="1" s="1"/>
  <c r="Z26" i="1"/>
  <c r="AI110" i="1" a="1"/>
  <c r="AI110" i="1" s="1"/>
  <c r="Z109" i="1"/>
  <c r="AI192" i="1" a="1"/>
  <c r="AI192" i="1" s="1"/>
  <c r="Z191" i="1"/>
  <c r="AI243" i="1" a="1"/>
  <c r="AI243" i="1" s="1"/>
  <c r="Z242" i="1"/>
  <c r="AI224" i="1" a="1"/>
  <c r="AI224" i="1" s="1"/>
  <c r="Z223" i="1"/>
  <c r="Z254" i="1"/>
  <c r="AI259" i="1" a="1"/>
  <c r="AI259" i="1" s="1"/>
  <c r="Z258" i="1"/>
  <c r="AI58" i="1" a="1"/>
  <c r="AI58" i="1" s="1"/>
  <c r="Z57" i="1"/>
  <c r="AI67" i="1" a="1"/>
  <c r="AI67" i="1" s="1"/>
  <c r="Z66" i="1"/>
  <c r="AI217" i="1" a="1"/>
  <c r="AI217" i="1" s="1"/>
  <c r="Z216" i="1"/>
  <c r="AI232" i="1" a="1"/>
  <c r="AI232" i="1" s="1"/>
  <c r="Z231" i="1"/>
  <c r="AI222" i="1" a="1"/>
  <c r="AI222" i="1" s="1"/>
  <c r="Z221" i="1"/>
  <c r="AI16" i="1" a="1"/>
  <c r="AI16" i="1" s="1"/>
  <c r="D47" i="7" s="1"/>
  <c r="Z15" i="1"/>
  <c r="AI90" i="1" a="1"/>
  <c r="AI90" i="1" s="1"/>
  <c r="Z89" i="1"/>
  <c r="AI75" i="1" a="1"/>
  <c r="AI75" i="1" s="1"/>
  <c r="Z74" i="1"/>
  <c r="AI114" i="1" a="1"/>
  <c r="AI114" i="1" s="1"/>
  <c r="Z113" i="1"/>
  <c r="AI221" i="1" a="1"/>
  <c r="AI221" i="1" s="1"/>
  <c r="Z220" i="1"/>
  <c r="AI127" i="1" a="1"/>
  <c r="AI127" i="1" s="1"/>
  <c r="Z126" i="1"/>
  <c r="AI260" i="1" a="1"/>
  <c r="AI260" i="1" s="1"/>
  <c r="Z259" i="1"/>
  <c r="AI80" i="1" a="1"/>
  <c r="AI80" i="1" s="1"/>
  <c r="Z79" i="1"/>
  <c r="AI11" i="1" a="1"/>
  <c r="AI11" i="1" s="1"/>
  <c r="Z10" i="1"/>
  <c r="AI199" i="1" a="1"/>
  <c r="AI199" i="1" s="1"/>
  <c r="Z198" i="1"/>
  <c r="AI19" i="1" a="1"/>
  <c r="AI19" i="1" s="1"/>
  <c r="Z18" i="1"/>
  <c r="AI63" i="1" a="1"/>
  <c r="AI63" i="1" s="1"/>
  <c r="Z62" i="1"/>
  <c r="AI251" i="1" a="1"/>
  <c r="AI251" i="1" s="1"/>
  <c r="Z250" i="1"/>
  <c r="AI95" i="1" a="1"/>
  <c r="AI95" i="1" s="1"/>
  <c r="Z94" i="1"/>
  <c r="AI229" i="1" a="1"/>
  <c r="AI229" i="1" s="1"/>
  <c r="Z228" i="1"/>
  <c r="Z289" i="1"/>
  <c r="AI120" i="1" a="1"/>
  <c r="AI120" i="1" s="1"/>
  <c r="Z119" i="1"/>
  <c r="AI149" i="1" a="1"/>
  <c r="AI149" i="1" s="1"/>
  <c r="Z148" i="1"/>
  <c r="AI123" i="1" a="1"/>
  <c r="AI123" i="1" s="1"/>
  <c r="Z122" i="1"/>
  <c r="Z111" i="1"/>
  <c r="AI50" i="1" a="1"/>
  <c r="AI50" i="1" s="1"/>
  <c r="AI193" i="1" a="1"/>
  <c r="AI193" i="1" s="1"/>
  <c r="Z192" i="1"/>
  <c r="AI24" i="1" a="1"/>
  <c r="AI24" i="1" s="1"/>
  <c r="Z23" i="1"/>
  <c r="AI12" i="1" a="1"/>
  <c r="AI12" i="1" s="1"/>
  <c r="Z11" i="1"/>
  <c r="AI239" i="1" a="1"/>
  <c r="AI239" i="1" s="1"/>
  <c r="Z238" i="1"/>
  <c r="AI21" i="1" a="1"/>
  <c r="AI21" i="1" s="1"/>
  <c r="Z20" i="1"/>
  <c r="AI35" i="1" a="1"/>
  <c r="AI35" i="1" s="1"/>
  <c r="Z34" i="1"/>
  <c r="AI153" i="1" a="1"/>
  <c r="AI153" i="1" s="1"/>
  <c r="Z152" i="1"/>
  <c r="AI202" i="1" a="1"/>
  <c r="AI202" i="1" s="1"/>
  <c r="Z201" i="1"/>
  <c r="AI54" i="1" a="1"/>
  <c r="AI54" i="1" s="1"/>
  <c r="Z53" i="1"/>
  <c r="AI143" i="1" a="1"/>
  <c r="AI143" i="1" s="1"/>
  <c r="Z142" i="1"/>
  <c r="AI109" i="1" a="1"/>
  <c r="AI109" i="1" s="1"/>
  <c r="Z108" i="1"/>
  <c r="AI182" i="1" a="1"/>
  <c r="AI182" i="1" s="1"/>
  <c r="Z181" i="1"/>
  <c r="AI107" i="1" a="1"/>
  <c r="AI107" i="1" s="1"/>
  <c r="Z106" i="1"/>
  <c r="AI7" i="1" a="1"/>
  <c r="AI7" i="1" s="1"/>
  <c r="Z6" i="1"/>
  <c r="AI33" i="1" a="1"/>
  <c r="AI33" i="1" s="1"/>
  <c r="Z32" i="1"/>
  <c r="AI219" i="1" a="1"/>
  <c r="AI219" i="1" s="1"/>
  <c r="Z218" i="1"/>
  <c r="AI71" i="1" a="1"/>
  <c r="AI71" i="1" s="1"/>
  <c r="Z70" i="1"/>
  <c r="AI291" i="1" a="1"/>
  <c r="AI291" i="1" s="1"/>
  <c r="Z290" i="1"/>
  <c r="AI100" i="1" a="1"/>
  <c r="AI100" i="1" s="1"/>
  <c r="Z99" i="1"/>
  <c r="AI155" i="1" a="1"/>
  <c r="AI155" i="1" s="1"/>
  <c r="Z154" i="1"/>
  <c r="AI197" i="1" a="1"/>
  <c r="AI197" i="1" s="1"/>
  <c r="Z196" i="1"/>
  <c r="AI124" i="1" a="1"/>
  <c r="AI124" i="1" s="1"/>
  <c r="Z123" i="1"/>
  <c r="AI28" i="1" a="1"/>
  <c r="AI28" i="1" s="1"/>
  <c r="Z27" i="1"/>
  <c r="AI52" i="1" a="1"/>
  <c r="AI52" i="1" s="1"/>
  <c r="Z51" i="1"/>
  <c r="AI235" i="1" a="1"/>
  <c r="AI235" i="1" s="1"/>
  <c r="Z234" i="1"/>
  <c r="Z86" i="1"/>
  <c r="AI249" i="1" a="1"/>
  <c r="AI249" i="1" s="1"/>
  <c r="Z248" i="1"/>
  <c r="AI159" i="1" a="1"/>
  <c r="AI159" i="1" s="1"/>
  <c r="Z158" i="1"/>
  <c r="AI212" i="1" a="1"/>
  <c r="AI212" i="1" s="1"/>
  <c r="Z211" i="1"/>
  <c r="AI246" i="1" a="1"/>
  <c r="AI246" i="1" s="1"/>
  <c r="Z245" i="1"/>
  <c r="AI234" i="1" a="1"/>
  <c r="AI234" i="1" s="1"/>
  <c r="Z233" i="1"/>
  <c r="AI48" i="1" a="1"/>
  <c r="AI48" i="1" s="1"/>
  <c r="AI69" i="1" a="1"/>
  <c r="AI69" i="1" s="1"/>
  <c r="E54" i="7" s="1"/>
  <c r="Z68" i="1"/>
  <c r="AI98" i="1" a="1"/>
  <c r="AI98" i="1" s="1"/>
  <c r="Z97" i="1"/>
  <c r="AI43" i="1" a="1"/>
  <c r="AI43" i="1" s="1"/>
  <c r="Z42" i="1"/>
  <c r="AI134" i="1" a="1"/>
  <c r="AI134" i="1" s="1"/>
  <c r="Z133" i="1"/>
  <c r="Z199" i="1"/>
  <c r="AI241" i="1" a="1"/>
  <c r="AI241" i="1" s="1"/>
  <c r="Z240" i="1"/>
  <c r="AI65" i="1" a="1"/>
  <c r="AI65" i="1" s="1"/>
  <c r="Z64" i="1"/>
  <c r="AI190" i="1" a="1"/>
  <c r="AI190" i="1" s="1"/>
  <c r="Z189" i="1"/>
  <c r="AI115" i="1" a="1"/>
  <c r="AI115" i="1" s="1"/>
  <c r="Z114" i="1"/>
  <c r="AI61" i="1" a="1"/>
  <c r="AI61" i="1" s="1"/>
  <c r="Z60" i="1"/>
  <c r="AI128" i="1" a="1"/>
  <c r="AI128" i="1" s="1"/>
  <c r="Z127" i="1"/>
  <c r="AI104" i="1" a="1"/>
  <c r="AI104" i="1" s="1"/>
  <c r="Z103" i="1"/>
  <c r="Z75" i="1"/>
  <c r="AI4" i="1" a="1"/>
  <c r="AI4" i="1" s="1"/>
  <c r="Z3" i="1"/>
  <c r="AI156" i="1" a="1"/>
  <c r="AI156" i="1" s="1"/>
  <c r="Z155" i="1"/>
  <c r="AI31" i="1" a="1"/>
  <c r="AI31" i="1" s="1"/>
  <c r="Z30" i="1"/>
  <c r="AI40" i="1" a="1"/>
  <c r="AI40" i="1" s="1"/>
  <c r="Z39" i="1"/>
  <c r="AI81" i="1" a="1"/>
  <c r="AI81" i="1" s="1"/>
  <c r="Z80" i="1"/>
  <c r="AI145" i="1" a="1"/>
  <c r="AI145" i="1" s="1"/>
  <c r="Z144" i="1"/>
  <c r="AI206" i="1" a="1"/>
  <c r="AI206" i="1" s="1"/>
  <c r="Z205" i="1"/>
  <c r="Z212" i="1"/>
  <c r="T172" i="1"/>
  <c r="G152" i="6" s="1" a="1"/>
  <c r="G152" i="6" s="1"/>
  <c r="AI200" i="1" a="1"/>
  <c r="AI200" i="1" s="1"/>
  <c r="AI2" i="1" a="1"/>
  <c r="AI2" i="1" s="1"/>
  <c r="AI23" i="1" a="1"/>
  <c r="AI23" i="1" s="1"/>
  <c r="Z2" i="1"/>
  <c r="H203" i="6" l="1" a="1"/>
  <c r="H203" i="6" s="1"/>
  <c r="J203" i="6" s="1"/>
  <c r="G203" i="6" a="1"/>
  <c r="G203" i="6" s="1"/>
  <c r="G97" i="6" a="1"/>
  <c r="G97" i="6" s="1"/>
  <c r="H97" i="6" a="1"/>
  <c r="H97" i="6" s="1"/>
  <c r="I97" i="6" a="1"/>
  <c r="I97" i="6" s="1"/>
  <c r="I215" i="6" a="1"/>
  <c r="I215" i="6" s="1"/>
  <c r="H215" i="6" a="1"/>
  <c r="H215" i="6" s="1"/>
  <c r="G215" i="6" a="1"/>
  <c r="G215" i="6" s="1"/>
  <c r="I204" i="6" a="1"/>
  <c r="I204" i="6" s="1"/>
  <c r="J204" i="6" s="1"/>
  <c r="H204" i="6" a="1"/>
  <c r="H204" i="6" s="1"/>
  <c r="G204" i="6" a="1"/>
  <c r="G204" i="6" s="1"/>
  <c r="I233" i="6" a="1"/>
  <c r="I233" i="6" s="1"/>
  <c r="H233" i="6" a="1"/>
  <c r="H233" i="6" s="1"/>
  <c r="G233" i="6" a="1"/>
  <c r="G233" i="6" s="1"/>
  <c r="I217" i="6" a="1"/>
  <c r="I217" i="6" s="1"/>
  <c r="H217" i="6" a="1"/>
  <c r="H217" i="6" s="1"/>
  <c r="G217" i="6" a="1"/>
  <c r="G217" i="6" s="1"/>
  <c r="I216" i="6" a="1"/>
  <c r="I216" i="6" s="1"/>
  <c r="H216" i="6" a="1"/>
  <c r="H216" i="6" s="1"/>
  <c r="G216" i="6" a="1"/>
  <c r="G216" i="6" s="1"/>
  <c r="I175" i="6" a="1"/>
  <c r="I175" i="6" s="1"/>
  <c r="H175" i="6" a="1"/>
  <c r="H175" i="6" s="1"/>
  <c r="G175" i="6" a="1"/>
  <c r="G175" i="6" s="1"/>
  <c r="C12" i="7"/>
  <c r="C5" i="7"/>
  <c r="H135" i="6" a="1"/>
  <c r="H135" i="6" s="1"/>
  <c r="I256" i="6" a="1"/>
  <c r="I256" i="6" s="1"/>
  <c r="C8" i="7"/>
  <c r="C3" i="7"/>
  <c r="I49" i="6" a="1"/>
  <c r="I49" i="6" s="1"/>
  <c r="H49" i="6" a="1"/>
  <c r="H49" i="6" s="1"/>
  <c r="G49" i="6" a="1"/>
  <c r="G49" i="6" s="1"/>
  <c r="C13" i="7"/>
  <c r="C7" i="7"/>
  <c r="G34" i="6" a="1"/>
  <c r="G34" i="6" s="1"/>
  <c r="H34" i="6" a="1"/>
  <c r="H34" i="6" s="1"/>
  <c r="C10" i="7"/>
  <c r="C4" i="7"/>
  <c r="I34" i="6" a="1"/>
  <c r="I34" i="6" s="1"/>
  <c r="C11" i="7"/>
  <c r="G11" i="6" a="1"/>
  <c r="G11" i="6" s="1"/>
  <c r="H11" i="6" a="1"/>
  <c r="H11" i="6" s="1"/>
  <c r="I11" i="6" a="1"/>
  <c r="I11" i="6" s="1"/>
  <c r="C9" i="7"/>
  <c r="C6" i="7"/>
  <c r="D14" i="7"/>
  <c r="E14" i="7"/>
  <c r="F14" i="7"/>
  <c r="C14" i="7"/>
  <c r="H256" i="6" a="1"/>
  <c r="H256" i="6" s="1"/>
  <c r="G256" i="6" a="1"/>
  <c r="G256" i="6" s="1"/>
  <c r="G58" i="6" a="1"/>
  <c r="G58" i="6" s="1"/>
  <c r="H58" i="6" a="1"/>
  <c r="H58" i="6" s="1"/>
  <c r="I58" i="6" a="1"/>
  <c r="I58" i="6" s="1"/>
  <c r="H232" i="6" a="1"/>
  <c r="H232" i="6" s="1"/>
  <c r="H214" i="6" a="1"/>
  <c r="H214" i="6" s="1"/>
  <c r="G33" i="6" a="1"/>
  <c r="G33" i="6" s="1"/>
  <c r="I232" i="6" a="1"/>
  <c r="I232" i="6" s="1"/>
  <c r="G100" i="6" a="1"/>
  <c r="G100" i="6" s="1"/>
  <c r="H100" i="6" a="1"/>
  <c r="H100" i="6" s="1"/>
  <c r="I100" i="6" a="1"/>
  <c r="I100" i="6" s="1"/>
  <c r="G128" i="6" a="1"/>
  <c r="G128" i="6" s="1"/>
  <c r="H128" i="6" a="1"/>
  <c r="H128" i="6" s="1"/>
  <c r="I128" i="6" a="1"/>
  <c r="I128" i="6" s="1"/>
  <c r="G214" i="6" a="1"/>
  <c r="G214" i="6" s="1"/>
  <c r="I214" i="6" a="1"/>
  <c r="I214" i="6" s="1"/>
  <c r="G22" i="6" a="1"/>
  <c r="G22" i="6" s="1"/>
  <c r="H33" i="6" a="1"/>
  <c r="H33" i="6" s="1"/>
  <c r="H22" i="6" a="1"/>
  <c r="H22" i="6" s="1"/>
  <c r="I33" i="6" a="1"/>
  <c r="I33" i="6" s="1"/>
  <c r="I22" i="6" a="1"/>
  <c r="I22" i="6" s="1"/>
  <c r="G202" i="6" a="1"/>
  <c r="G202" i="6" s="1"/>
  <c r="G232" i="6" a="1"/>
  <c r="G232" i="6" s="1"/>
  <c r="H202" i="6" a="1"/>
  <c r="H202" i="6" s="1"/>
  <c r="I202" i="6" a="1"/>
  <c r="I202" i="6" s="1"/>
  <c r="I135" i="6" a="1"/>
  <c r="I135" i="6" s="1"/>
  <c r="G135" i="6" a="1"/>
  <c r="G135" i="6" s="1"/>
  <c r="I130" i="6" a="1"/>
  <c r="I130" i="6" s="1"/>
  <c r="H130" i="6" a="1"/>
  <c r="H130" i="6" s="1"/>
  <c r="G130" i="6" a="1"/>
  <c r="G130" i="6" s="1"/>
  <c r="G162" i="6" a="1"/>
  <c r="G162" i="6" s="1"/>
  <c r="I162" i="6" a="1"/>
  <c r="I162" i="6" s="1"/>
  <c r="H162" i="6" a="1"/>
  <c r="H162" i="6" s="1"/>
  <c r="I136" i="6" a="1"/>
  <c r="I136" i="6" s="1"/>
  <c r="H136" i="6" a="1"/>
  <c r="H136" i="6" s="1"/>
  <c r="G136" i="6" a="1"/>
  <c r="G136" i="6" s="1"/>
  <c r="F55" i="7"/>
  <c r="H240" i="6" a="1"/>
  <c r="H240" i="6" s="1"/>
  <c r="H69" i="6" a="1"/>
  <c r="H69" i="6" s="1"/>
  <c r="H89" i="6" a="1"/>
  <c r="H89" i="6" s="1"/>
  <c r="H92" i="6" a="1"/>
  <c r="H92" i="6" s="1"/>
  <c r="I75" i="6" a="1"/>
  <c r="I75" i="6" s="1"/>
  <c r="G82" i="6" a="1"/>
  <c r="G82" i="6" s="1"/>
  <c r="I221" i="6" a="1"/>
  <c r="I221" i="6" s="1"/>
  <c r="H111" i="6" a="1"/>
  <c r="H111" i="6" s="1"/>
  <c r="I160" i="6" a="1"/>
  <c r="I160" i="6" s="1"/>
  <c r="H120" i="6" a="1"/>
  <c r="H120" i="6" s="1"/>
  <c r="E52" i="7"/>
  <c r="G66" i="6" a="1"/>
  <c r="G66" i="6" s="1"/>
  <c r="I3" i="6" a="1"/>
  <c r="I3" i="6" s="1"/>
  <c r="H126" i="6" a="1"/>
  <c r="H126" i="6" s="1"/>
  <c r="G133" i="6" a="1"/>
  <c r="G133" i="6" s="1"/>
  <c r="I157" i="6" a="1"/>
  <c r="I157" i="6" s="1"/>
  <c r="H213" i="6" a="1"/>
  <c r="H213" i="6" s="1"/>
  <c r="G227" i="6" a="1"/>
  <c r="G227" i="6" s="1"/>
  <c r="I88" i="6" a="1"/>
  <c r="I88" i="6" s="1"/>
  <c r="I139" i="6" a="1"/>
  <c r="I139" i="6" s="1"/>
  <c r="E51" i="7"/>
  <c r="E53" i="7"/>
  <c r="I124" i="6" a="1"/>
  <c r="I124" i="6" s="1"/>
  <c r="H231" i="6" a="1"/>
  <c r="H231" i="6" s="1"/>
  <c r="H146" i="6" a="1"/>
  <c r="H146" i="6" s="1"/>
  <c r="F50" i="7"/>
  <c r="I209" i="6" a="1"/>
  <c r="I209" i="6" s="1"/>
  <c r="H209" i="6" a="1"/>
  <c r="H209" i="6" s="1"/>
  <c r="F49" i="7"/>
  <c r="G229" i="6" a="1"/>
  <c r="G229" i="6" s="1"/>
  <c r="G209" i="6" a="1"/>
  <c r="G209" i="6" s="1"/>
  <c r="F45" i="7"/>
  <c r="H200" i="6" a="1"/>
  <c r="H200" i="6" s="1"/>
  <c r="G126" i="6" a="1"/>
  <c r="G126" i="6" s="1"/>
  <c r="I29" i="6" a="1"/>
  <c r="I29" i="6" s="1"/>
  <c r="I98" i="6" a="1"/>
  <c r="I98" i="6" s="1"/>
  <c r="I30" i="6" a="1"/>
  <c r="I30" i="6" s="1"/>
  <c r="I47" i="6" a="1"/>
  <c r="I47" i="6" s="1"/>
  <c r="I99" i="6" a="1"/>
  <c r="I99" i="6" s="1"/>
  <c r="G19" i="6" a="1"/>
  <c r="G19" i="6" s="1"/>
  <c r="G239" i="6" a="1"/>
  <c r="G239" i="6" s="1"/>
  <c r="G211" i="6" a="1"/>
  <c r="G211" i="6" s="1"/>
  <c r="G231" i="6" a="1"/>
  <c r="G231" i="6" s="1"/>
  <c r="G212" i="6" a="1"/>
  <c r="G212" i="6" s="1"/>
  <c r="G87" i="6" a="1"/>
  <c r="G87" i="6" s="1"/>
  <c r="F54" i="7"/>
  <c r="F44" i="7"/>
  <c r="H133" i="6" a="1"/>
  <c r="H133" i="6" s="1"/>
  <c r="H228" i="6" a="1"/>
  <c r="H228" i="6" s="1"/>
  <c r="H56" i="6" a="1"/>
  <c r="H56" i="6" s="1"/>
  <c r="H82" i="6" a="1"/>
  <c r="H82" i="6" s="1"/>
  <c r="H30" i="6" a="1"/>
  <c r="H30" i="6" s="1"/>
  <c r="H148" i="6" a="1"/>
  <c r="H148" i="6" s="1"/>
  <c r="I54" i="6" a="1"/>
  <c r="I54" i="6" s="1"/>
  <c r="E55" i="7"/>
  <c r="F43" i="7"/>
  <c r="H117" i="6" a="1"/>
  <c r="H117" i="6" s="1"/>
  <c r="H184" i="6" a="1"/>
  <c r="H184" i="6" s="1"/>
  <c r="H236" i="6" a="1"/>
  <c r="H236" i="6" s="1"/>
  <c r="H131" i="6" a="1"/>
  <c r="H131" i="6" s="1"/>
  <c r="H6" i="6" a="1"/>
  <c r="H6" i="6" s="1"/>
  <c r="H168" i="6" a="1"/>
  <c r="H168" i="6" s="1"/>
  <c r="H54" i="6" a="1"/>
  <c r="H54" i="6" s="1"/>
  <c r="H141" i="6" a="1"/>
  <c r="H141" i="6" s="1"/>
  <c r="I109" i="6" a="1"/>
  <c r="I109" i="6" s="1"/>
  <c r="I44" i="6" a="1"/>
  <c r="I44" i="6" s="1"/>
  <c r="I185" i="6" a="1"/>
  <c r="I185" i="6" s="1"/>
  <c r="I66" i="6" a="1"/>
  <c r="I66" i="6" s="1"/>
  <c r="I65" i="6" a="1"/>
  <c r="I65" i="6" s="1"/>
  <c r="G54" i="6" a="1"/>
  <c r="G54" i="6" s="1"/>
  <c r="F51" i="7"/>
  <c r="I141" i="6" a="1"/>
  <c r="I141" i="6" s="1"/>
  <c r="I223" i="6" a="1"/>
  <c r="I223" i="6" s="1"/>
  <c r="I13" i="6" a="1"/>
  <c r="I13" i="6" s="1"/>
  <c r="I224" i="6" a="1"/>
  <c r="I224" i="6" s="1"/>
  <c r="I222" i="6" a="1"/>
  <c r="I222" i="6" s="1"/>
  <c r="I84" i="6" a="1"/>
  <c r="I84" i="6" s="1"/>
  <c r="F52" i="7"/>
  <c r="F39" i="7"/>
  <c r="H75" i="6" a="1"/>
  <c r="H75" i="6" s="1"/>
  <c r="G131" i="6" a="1"/>
  <c r="G131" i="6" s="1"/>
  <c r="G248" i="6" a="1"/>
  <c r="G248" i="6" s="1"/>
  <c r="G143" i="6" a="1"/>
  <c r="G143" i="6" s="1"/>
  <c r="G64" i="6" a="1"/>
  <c r="G64" i="6" s="1"/>
  <c r="H84" i="6" a="1"/>
  <c r="H84" i="6" s="1"/>
  <c r="H104" i="6" a="1"/>
  <c r="H104" i="6" s="1"/>
  <c r="G234" i="6" a="1"/>
  <c r="G234" i="6" s="1"/>
  <c r="G62" i="6" a="1"/>
  <c r="G62" i="6" s="1"/>
  <c r="G2" i="6" a="1"/>
  <c r="G2" i="6" s="1"/>
  <c r="G92" i="6" a="1"/>
  <c r="G92" i="6" s="1"/>
  <c r="G160" i="6" a="1"/>
  <c r="G160" i="6" s="1"/>
  <c r="G146" i="6" a="1"/>
  <c r="G146" i="6" s="1"/>
  <c r="E49" i="7"/>
  <c r="F48" i="7"/>
  <c r="F40" i="7"/>
  <c r="H220" i="6" a="1"/>
  <c r="H220" i="6" s="1"/>
  <c r="H140" i="6" a="1"/>
  <c r="H140" i="6" s="1"/>
  <c r="H14" i="6" a="1"/>
  <c r="H14" i="6" s="1"/>
  <c r="H181" i="6" a="1"/>
  <c r="H181" i="6" s="1"/>
  <c r="H246" i="6" a="1"/>
  <c r="H246" i="6" s="1"/>
  <c r="H95" i="6" a="1"/>
  <c r="H95" i="6" s="1"/>
  <c r="G84" i="6" a="1"/>
  <c r="G84" i="6" s="1"/>
  <c r="F46" i="7"/>
  <c r="F41" i="7"/>
  <c r="I125" i="6" a="1"/>
  <c r="I125" i="6" s="1"/>
  <c r="H158" i="6" a="1"/>
  <c r="H158" i="6" s="1"/>
  <c r="H36" i="6" a="1"/>
  <c r="H36" i="6" s="1"/>
  <c r="H129" i="6" a="1"/>
  <c r="H129" i="6" s="1"/>
  <c r="H180" i="6" a="1"/>
  <c r="H180" i="6" s="1"/>
  <c r="H73" i="6" a="1"/>
  <c r="H73" i="6" s="1"/>
  <c r="I146" i="6" a="1"/>
  <c r="I146" i="6" s="1"/>
  <c r="F53" i="7"/>
  <c r="I219" i="6" a="1"/>
  <c r="I219" i="6" s="1"/>
  <c r="I218" i="6" a="1"/>
  <c r="I218" i="6" s="1"/>
  <c r="I176" i="6" a="1"/>
  <c r="I176" i="6" s="1"/>
  <c r="I188" i="6" a="1"/>
  <c r="I188" i="6" s="1"/>
  <c r="I220" i="6" a="1"/>
  <c r="I220" i="6" s="1"/>
  <c r="G45" i="6" a="1"/>
  <c r="G45" i="6" s="1"/>
  <c r="E50" i="7"/>
  <c r="I92" i="6" a="1"/>
  <c r="I92" i="6" s="1"/>
  <c r="G51" i="6" a="1"/>
  <c r="G51" i="6" s="1"/>
  <c r="G23" i="6" a="1"/>
  <c r="G23" i="6" s="1"/>
  <c r="G138" i="6" a="1"/>
  <c r="G138" i="6" s="1"/>
  <c r="G72" i="6" a="1"/>
  <c r="G72" i="6" s="1"/>
  <c r="G178" i="6" a="1"/>
  <c r="G178" i="6" s="1"/>
  <c r="H45" i="6" a="1"/>
  <c r="H45" i="6" s="1"/>
  <c r="I45" i="6" a="1"/>
  <c r="I45" i="6" s="1"/>
  <c r="I53" i="6" a="1"/>
  <c r="I53" i="6" s="1"/>
  <c r="H137" i="6" a="1"/>
  <c r="H137" i="6" s="1"/>
  <c r="I230" i="6" a="1"/>
  <c r="I230" i="6" s="1"/>
  <c r="H154" i="6" a="1"/>
  <c r="H154" i="6" s="1"/>
  <c r="H35" i="6" a="1"/>
  <c r="H35" i="6" s="1"/>
  <c r="H112" i="6" a="1"/>
  <c r="H112" i="6" s="1"/>
  <c r="F42" i="7"/>
  <c r="I115" i="6" a="1"/>
  <c r="I115" i="6" s="1"/>
  <c r="H88" i="6" a="1"/>
  <c r="H88" i="6" s="1"/>
  <c r="I187" i="6" a="1"/>
  <c r="I187" i="6" s="1"/>
  <c r="G17" i="6" a="1"/>
  <c r="G17" i="6" s="1"/>
  <c r="H251" i="6" a="1"/>
  <c r="H251" i="6" s="1"/>
  <c r="I77" i="6" a="1"/>
  <c r="I77" i="6" s="1"/>
  <c r="G181" i="6" a="1"/>
  <c r="G181" i="6" s="1"/>
  <c r="H194" i="6" a="1"/>
  <c r="H194" i="6" s="1"/>
  <c r="I36" i="6" a="1"/>
  <c r="I36" i="6" s="1"/>
  <c r="H172" i="6" a="1"/>
  <c r="H172" i="6" s="1"/>
  <c r="I147" i="6" a="1"/>
  <c r="I147" i="6" s="1"/>
  <c r="G210" i="6" a="1"/>
  <c r="G210" i="6" s="1"/>
  <c r="H167" i="6" a="1"/>
  <c r="H167" i="6" s="1"/>
  <c r="I247" i="6" a="1"/>
  <c r="I247" i="6" s="1"/>
  <c r="G246" i="6" a="1"/>
  <c r="G246" i="6" s="1"/>
  <c r="H71" i="6" a="1"/>
  <c r="H71" i="6" s="1"/>
  <c r="I152" i="6" a="1"/>
  <c r="I152" i="6" s="1"/>
  <c r="H31" i="6" a="1"/>
  <c r="H31" i="6" s="1"/>
  <c r="I199" i="6" a="1"/>
  <c r="I199" i="6" s="1"/>
  <c r="G27" i="6" a="1"/>
  <c r="G27" i="6" s="1"/>
  <c r="H108" i="6" a="1"/>
  <c r="H108" i="6" s="1"/>
  <c r="I107" i="6" a="1"/>
  <c r="I107" i="6" s="1"/>
  <c r="G63" i="6" a="1"/>
  <c r="G63" i="6" s="1"/>
  <c r="H40" i="6" a="1"/>
  <c r="H40" i="6" s="1"/>
  <c r="I155" i="6" a="1"/>
  <c r="I155" i="6" s="1"/>
  <c r="G137" i="6" a="1"/>
  <c r="G137" i="6" s="1"/>
  <c r="I211" i="6" a="1"/>
  <c r="I211" i="6" s="1"/>
  <c r="G28" i="6" a="1"/>
  <c r="G28" i="6" s="1"/>
  <c r="H43" i="6" a="1"/>
  <c r="H43" i="6" s="1"/>
  <c r="I195" i="6" a="1"/>
  <c r="I195" i="6" s="1"/>
  <c r="G221" i="6" a="1"/>
  <c r="G221" i="6" s="1"/>
  <c r="H39" i="6" a="1"/>
  <c r="H39" i="6" s="1"/>
  <c r="I153" i="6" a="1"/>
  <c r="I153" i="6" s="1"/>
  <c r="I94" i="6" a="1"/>
  <c r="I94" i="6" s="1"/>
  <c r="I148" i="6" a="1"/>
  <c r="I148" i="6" s="1"/>
  <c r="G56" i="6" a="1"/>
  <c r="G56" i="6" s="1"/>
  <c r="H27" i="6" a="1"/>
  <c r="H27" i="6" s="1"/>
  <c r="I143" i="6" a="1"/>
  <c r="I143" i="6" s="1"/>
  <c r="G4" i="6" a="1"/>
  <c r="G4" i="6" s="1"/>
  <c r="H2" i="6" a="1"/>
  <c r="H2" i="6" s="1"/>
  <c r="I138" i="6" a="1"/>
  <c r="I138" i="6" s="1"/>
  <c r="H53" i="6" a="1"/>
  <c r="H53" i="6" s="1"/>
  <c r="I205" i="6" a="1"/>
  <c r="I205" i="6" s="1"/>
  <c r="H187" i="6" a="1"/>
  <c r="H187" i="6" s="1"/>
  <c r="I67" i="6" a="1"/>
  <c r="I67" i="6" s="1"/>
  <c r="G108" i="6" a="1"/>
  <c r="G108" i="6" s="1"/>
  <c r="H250" i="6" a="1"/>
  <c r="H250" i="6" s="1"/>
  <c r="I64" i="6" a="1"/>
  <c r="I64" i="6" s="1"/>
  <c r="G61" i="6" a="1"/>
  <c r="G61" i="6" s="1"/>
  <c r="H191" i="6" a="1"/>
  <c r="H191" i="6" s="1"/>
  <c r="I151" i="6" a="1"/>
  <c r="I151" i="6" s="1"/>
  <c r="H186" i="6" a="1"/>
  <c r="H186" i="6" s="1"/>
  <c r="I82" i="6" a="1"/>
  <c r="I82" i="6" s="1"/>
  <c r="G237" i="6" a="1"/>
  <c r="G237" i="6" s="1"/>
  <c r="H235" i="6" a="1"/>
  <c r="H235" i="6" s="1"/>
  <c r="G39" i="6" a="1"/>
  <c r="G39" i="6" s="1"/>
  <c r="H189" i="6" a="1"/>
  <c r="H189" i="6" s="1"/>
  <c r="G21" i="6" a="1"/>
  <c r="G21" i="6" s="1"/>
  <c r="H123" i="6" a="1"/>
  <c r="H123" i="6" s="1"/>
  <c r="I229" i="6" a="1"/>
  <c r="I229" i="6" s="1"/>
  <c r="G42" i="6" a="1"/>
  <c r="G42" i="6" s="1"/>
  <c r="H118" i="6" a="1"/>
  <c r="H118" i="6" s="1"/>
  <c r="I93" i="6" a="1"/>
  <c r="I93" i="6" s="1"/>
  <c r="G245" i="6" a="1"/>
  <c r="G245" i="6" s="1"/>
  <c r="H61" i="6" a="1"/>
  <c r="H61" i="6" s="1"/>
  <c r="I51" i="6" a="1"/>
  <c r="I51" i="6" s="1"/>
  <c r="H241" i="6" a="1"/>
  <c r="H241" i="6" s="1"/>
  <c r="I134" i="6" a="1"/>
  <c r="I134" i="6" s="1"/>
  <c r="G228" i="6" a="1"/>
  <c r="G228" i="6" s="1"/>
  <c r="H166" i="6" a="1"/>
  <c r="H166" i="6" s="1"/>
  <c r="I246" i="6" a="1"/>
  <c r="I246" i="6" s="1"/>
  <c r="G25" i="6" a="1"/>
  <c r="G25" i="6" s="1"/>
  <c r="H105" i="6" a="1"/>
  <c r="H105" i="6" s="1"/>
  <c r="I112" i="6" a="1"/>
  <c r="I112" i="6" s="1"/>
  <c r="H90" i="6" a="1"/>
  <c r="H90" i="6" s="1"/>
  <c r="I122" i="6" a="1"/>
  <c r="I122" i="6" s="1"/>
  <c r="G9" i="6" a="1"/>
  <c r="G9" i="6" s="1"/>
  <c r="H42" i="6" a="1"/>
  <c r="H42" i="6" s="1"/>
  <c r="I95" i="6" a="1"/>
  <c r="I95" i="6" s="1"/>
  <c r="G116" i="6" a="1"/>
  <c r="G116" i="6" s="1"/>
  <c r="H37" i="6" a="1"/>
  <c r="H37" i="6" s="1"/>
  <c r="I242" i="6" a="1"/>
  <c r="I242" i="6" s="1"/>
  <c r="I137" i="6" a="1"/>
  <c r="I137" i="6" s="1"/>
  <c r="H28" i="6" a="1"/>
  <c r="H28" i="6" s="1"/>
  <c r="I56" i="6" a="1"/>
  <c r="I56" i="6" s="1"/>
  <c r="G225" i="6" a="1"/>
  <c r="G225" i="6" s="1"/>
  <c r="H96" i="6" a="1"/>
  <c r="H96" i="6" s="1"/>
  <c r="I15" i="6" a="1"/>
  <c r="I15" i="6" s="1"/>
  <c r="G180" i="6" a="1"/>
  <c r="G180" i="6" s="1"/>
  <c r="H190" i="6" a="1"/>
  <c r="H190" i="6" s="1"/>
  <c r="G149" i="6" a="1"/>
  <c r="G149" i="6" s="1"/>
  <c r="H121" i="6" a="1"/>
  <c r="H121" i="6" s="1"/>
  <c r="I226" i="6" a="1"/>
  <c r="I226" i="6" s="1"/>
  <c r="G43" i="6" a="1"/>
  <c r="G43" i="6" s="1"/>
  <c r="H208" i="6" a="1"/>
  <c r="H208" i="6" s="1"/>
  <c r="I4" i="6" a="1"/>
  <c r="I4" i="6" s="1"/>
  <c r="G206" i="6" a="1"/>
  <c r="G206" i="6" s="1"/>
  <c r="I149" i="6" a="1"/>
  <c r="I149" i="6" s="1"/>
  <c r="G32" i="6" a="1"/>
  <c r="G32" i="6" s="1"/>
  <c r="H57" i="6" a="1"/>
  <c r="H57" i="6" s="1"/>
  <c r="I6" i="6" a="1"/>
  <c r="I6" i="6" s="1"/>
  <c r="G165" i="6" a="1"/>
  <c r="G165" i="6" s="1"/>
  <c r="H107" i="6" a="1"/>
  <c r="H107" i="6" s="1"/>
  <c r="I207" i="6" a="1"/>
  <c r="I207" i="6" s="1"/>
  <c r="G53" i="6" a="1"/>
  <c r="G53" i="6" s="1"/>
  <c r="H156" i="6" a="1"/>
  <c r="H156" i="6" s="1"/>
  <c r="I113" i="6" a="1"/>
  <c r="I113" i="6" s="1"/>
  <c r="H127" i="6" a="1"/>
  <c r="H127" i="6" s="1"/>
  <c r="I10" i="6" a="1"/>
  <c r="I10" i="6" s="1"/>
  <c r="G80" i="6" a="1"/>
  <c r="G80" i="6" s="1"/>
  <c r="H195" i="6" a="1"/>
  <c r="H195" i="6" s="1"/>
  <c r="I62" i="6" a="1"/>
  <c r="I62" i="6" s="1"/>
  <c r="G91" i="6" a="1"/>
  <c r="G91" i="6" s="1"/>
  <c r="H60" i="6" a="1"/>
  <c r="H60" i="6" s="1"/>
  <c r="G125" i="6" a="1"/>
  <c r="G125" i="6" s="1"/>
  <c r="H255" i="6" a="1"/>
  <c r="H255" i="6" s="1"/>
  <c r="I197" i="6" a="1"/>
  <c r="I197" i="6" s="1"/>
  <c r="G78" i="6" a="1"/>
  <c r="G78" i="6" s="1"/>
  <c r="H196" i="6" a="1"/>
  <c r="H196" i="6" s="1"/>
  <c r="I63" i="6" a="1"/>
  <c r="I63" i="6" s="1"/>
  <c r="G192" i="6" a="1"/>
  <c r="G192" i="6" s="1"/>
  <c r="H59" i="6" a="1"/>
  <c r="H59" i="6" s="1"/>
  <c r="I70" i="6" a="1"/>
  <c r="I70" i="6" s="1"/>
  <c r="H50" i="6" a="1"/>
  <c r="H50" i="6" s="1"/>
  <c r="G18" i="6" a="1"/>
  <c r="G18" i="6" s="1"/>
  <c r="H80" i="6" a="1"/>
  <c r="H80" i="6" s="1"/>
  <c r="I78" i="6" a="1"/>
  <c r="I78" i="6" s="1"/>
  <c r="G41" i="6" a="1"/>
  <c r="G41" i="6" s="1"/>
  <c r="H76" i="6" a="1"/>
  <c r="H76" i="6" s="1"/>
  <c r="I158" i="6" a="1"/>
  <c r="I158" i="6" s="1"/>
  <c r="G113" i="6" a="1"/>
  <c r="G113" i="6" s="1"/>
  <c r="I87" i="6" a="1"/>
  <c r="I87" i="6" s="1"/>
  <c r="G20" i="6" a="1"/>
  <c r="G20" i="6" s="1"/>
  <c r="H9" i="6" a="1"/>
  <c r="H9" i="6" s="1"/>
  <c r="I249" i="6" a="1"/>
  <c r="I249" i="6" s="1"/>
  <c r="G164" i="6" a="1"/>
  <c r="G164" i="6" s="1"/>
  <c r="H116" i="6" a="1"/>
  <c r="H116" i="6" s="1"/>
  <c r="I52" i="6" a="1"/>
  <c r="I52" i="6" s="1"/>
  <c r="G153" i="6" a="1"/>
  <c r="G153" i="6" s="1"/>
  <c r="I123" i="6" a="1"/>
  <c r="I123" i="6" s="1"/>
  <c r="G198" i="6" a="1"/>
  <c r="G198" i="6" s="1"/>
  <c r="H226" i="6" a="1"/>
  <c r="H226" i="6" s="1"/>
  <c r="I26" i="6" a="1"/>
  <c r="I26" i="6" s="1"/>
  <c r="G222" i="6" a="1"/>
  <c r="G222" i="6" s="1"/>
  <c r="H234" i="6" a="1"/>
  <c r="H234" i="6" s="1"/>
  <c r="I156" i="6" a="1"/>
  <c r="I156" i="6" s="1"/>
  <c r="G242" i="6" a="1"/>
  <c r="G242" i="6" s="1"/>
  <c r="H177" i="6" a="1"/>
  <c r="H177" i="6" s="1"/>
  <c r="G200" i="6" a="1"/>
  <c r="G200" i="6" s="1"/>
  <c r="H85" i="6" a="1"/>
  <c r="H85" i="6" s="1"/>
  <c r="I168" i="6" a="1"/>
  <c r="I168" i="6" s="1"/>
  <c r="G117" i="6" a="1"/>
  <c r="G117" i="6" s="1"/>
  <c r="H62" i="6" a="1"/>
  <c r="H62" i="6" s="1"/>
  <c r="I179" i="6" a="1"/>
  <c r="I179" i="6" s="1"/>
  <c r="G219" i="6" a="1"/>
  <c r="G219" i="6" s="1"/>
  <c r="I48" i="6" a="1"/>
  <c r="I48" i="6" s="1"/>
  <c r="G187" i="6" a="1"/>
  <c r="G187" i="6" s="1"/>
  <c r="H10" i="6" a="1"/>
  <c r="H10" i="6" s="1"/>
  <c r="I16" i="6" a="1"/>
  <c r="I16" i="6" s="1"/>
  <c r="G140" i="6" a="1"/>
  <c r="G140" i="6" s="1"/>
  <c r="H63" i="6" a="1"/>
  <c r="H63" i="6" s="1"/>
  <c r="I73" i="6" a="1"/>
  <c r="I73" i="6" s="1"/>
  <c r="G218" i="6" a="1"/>
  <c r="G218" i="6" s="1"/>
  <c r="I201" i="6" a="1"/>
  <c r="I201" i="6" s="1"/>
  <c r="G186" i="6" a="1"/>
  <c r="G186" i="6" s="1"/>
  <c r="H142" i="6" a="1"/>
  <c r="H142" i="6" s="1"/>
  <c r="I96" i="6" a="1"/>
  <c r="I96" i="6" s="1"/>
  <c r="G207" i="6" a="1"/>
  <c r="G207" i="6" s="1"/>
  <c r="H25" i="6" a="1"/>
  <c r="H25" i="6" s="1"/>
  <c r="I72" i="6" a="1"/>
  <c r="I72" i="6" s="1"/>
  <c r="H201" i="6" a="1"/>
  <c r="H201" i="6" s="1"/>
  <c r="I186" i="6" a="1"/>
  <c r="I186" i="6" s="1"/>
  <c r="G254" i="6" a="1"/>
  <c r="G254" i="6" s="1"/>
  <c r="H77" i="6" a="1"/>
  <c r="H77" i="6" s="1"/>
  <c r="I235" i="6" a="1"/>
  <c r="I235" i="6" s="1"/>
  <c r="G5" i="6" a="1"/>
  <c r="G5" i="6" s="1"/>
  <c r="H38" i="6" a="1"/>
  <c r="H38" i="6" s="1"/>
  <c r="I178" i="6" a="1"/>
  <c r="I178" i="6" s="1"/>
  <c r="G112" i="6" a="1"/>
  <c r="G112" i="6" s="1"/>
  <c r="I57" i="6" a="1"/>
  <c r="I57" i="6" s="1"/>
  <c r="G10" i="6" a="1"/>
  <c r="G10" i="6" s="1"/>
  <c r="H225" i="6" a="1"/>
  <c r="H225" i="6" s="1"/>
  <c r="I41" i="6" a="1"/>
  <c r="I41" i="6" s="1"/>
  <c r="G139" i="6" a="1"/>
  <c r="G139" i="6" s="1"/>
  <c r="H24" i="6" a="1"/>
  <c r="H24" i="6" s="1"/>
  <c r="I114" i="6" a="1"/>
  <c r="I114" i="6" s="1"/>
  <c r="G70" i="6" a="1"/>
  <c r="G70" i="6" s="1"/>
  <c r="I213" i="6" a="1"/>
  <c r="I213" i="6" s="1"/>
  <c r="G86" i="6" a="1"/>
  <c r="G86" i="6" s="1"/>
  <c r="H229" i="6" a="1"/>
  <c r="H229" i="6" s="1"/>
  <c r="I7" i="6" a="1"/>
  <c r="I7" i="6" s="1"/>
  <c r="G55" i="6" a="1"/>
  <c r="G55" i="6" s="1"/>
  <c r="H157" i="6" a="1"/>
  <c r="H157" i="6" s="1"/>
  <c r="I103" i="6" a="1"/>
  <c r="I103" i="6" s="1"/>
  <c r="G150" i="6" a="1"/>
  <c r="G150" i="6" s="1"/>
  <c r="I255" i="6" a="1"/>
  <c r="I255" i="6" s="1"/>
  <c r="G67" i="6" a="1"/>
  <c r="G67" i="6" s="1"/>
  <c r="H66" i="6" a="1"/>
  <c r="H66" i="6" s="1"/>
  <c r="I132" i="6" a="1"/>
  <c r="I132" i="6" s="1"/>
  <c r="G182" i="6" a="1"/>
  <c r="G182" i="6" s="1"/>
  <c r="H139" i="6" a="1"/>
  <c r="H139" i="6" s="1"/>
  <c r="I104" i="6" a="1"/>
  <c r="I104" i="6" s="1"/>
  <c r="G94" i="6" a="1"/>
  <c r="G94" i="6" s="1"/>
  <c r="I89" i="6" a="1"/>
  <c r="I89" i="6" s="1"/>
  <c r="G147" i="6" a="1"/>
  <c r="G147" i="6" s="1"/>
  <c r="G244" i="6" a="1"/>
  <c r="G244" i="6" s="1"/>
  <c r="G226" i="6" a="1"/>
  <c r="G226" i="6" s="1"/>
  <c r="H15" i="6" a="1"/>
  <c r="H15" i="6" s="1"/>
  <c r="I74" i="6" a="1"/>
  <c r="I74" i="6" s="1"/>
  <c r="G155" i="6" a="1"/>
  <c r="G155" i="6" s="1"/>
  <c r="H115" i="6" a="1"/>
  <c r="H115" i="6" s="1"/>
  <c r="I150" i="6" a="1"/>
  <c r="I150" i="6" s="1"/>
  <c r="H173" i="6" a="1"/>
  <c r="H173" i="6" s="1"/>
  <c r="I253" i="6" a="1"/>
  <c r="I253" i="6" s="1"/>
  <c r="G6" i="6" a="1"/>
  <c r="G6" i="6" s="1"/>
  <c r="I182" i="6" a="1"/>
  <c r="I182" i="6" s="1"/>
  <c r="G105" i="6" a="1"/>
  <c r="G105" i="6" s="1"/>
  <c r="H151" i="6" a="1"/>
  <c r="H151" i="6" s="1"/>
  <c r="G240" i="6" a="1"/>
  <c r="G240" i="6" s="1"/>
  <c r="H19" i="6" a="1"/>
  <c r="H19" i="6" s="1"/>
  <c r="I159" i="6" a="1"/>
  <c r="I159" i="6" s="1"/>
  <c r="G168" i="6" a="1"/>
  <c r="G168" i="6" s="1"/>
  <c r="H93" i="6" a="1"/>
  <c r="H93" i="6" s="1"/>
  <c r="I193" i="6" a="1"/>
  <c r="I193" i="6" s="1"/>
  <c r="G104" i="6" a="1"/>
  <c r="G104" i="6" s="1"/>
  <c r="H152" i="6" a="1"/>
  <c r="H152" i="6" s="1"/>
  <c r="G48" i="6" a="1"/>
  <c r="G48" i="6" s="1"/>
  <c r="H149" i="6" a="1"/>
  <c r="H149" i="6" s="1"/>
  <c r="I85" i="6" a="1"/>
  <c r="I85" i="6" s="1"/>
  <c r="G197" i="6" a="1"/>
  <c r="G197" i="6" s="1"/>
  <c r="H185" i="6" a="1"/>
  <c r="H185" i="6" s="1"/>
  <c r="I5" i="6" a="1"/>
  <c r="I5" i="6" s="1"/>
  <c r="G74" i="6" a="1"/>
  <c r="G74" i="6" s="1"/>
  <c r="H51" i="6" a="1"/>
  <c r="H51" i="6" s="1"/>
  <c r="G201" i="6" a="1"/>
  <c r="G201" i="6" s="1"/>
  <c r="H32" i="6" a="1"/>
  <c r="H32" i="6" s="1"/>
  <c r="I83" i="6" a="1"/>
  <c r="I83" i="6" s="1"/>
  <c r="G109" i="6" a="1"/>
  <c r="G109" i="6" s="1"/>
  <c r="H165" i="6" a="1"/>
  <c r="H165" i="6" s="1"/>
  <c r="I161" i="6" a="1"/>
  <c r="I161" i="6" s="1"/>
  <c r="G52" i="6" a="1"/>
  <c r="G52" i="6" s="1"/>
  <c r="H23" i="6" a="1"/>
  <c r="H23" i="6" s="1"/>
  <c r="I102" i="6" a="1"/>
  <c r="I102" i="6" s="1"/>
  <c r="H99" i="6" a="1"/>
  <c r="H99" i="6" s="1"/>
  <c r="I28" i="6" a="1"/>
  <c r="I28" i="6" s="1"/>
  <c r="G44" i="6" a="1"/>
  <c r="G44" i="6" s="1"/>
  <c r="H124" i="6" a="1"/>
  <c r="H124" i="6" s="1"/>
  <c r="I68" i="6" a="1"/>
  <c r="I68" i="6" s="1"/>
  <c r="G249" i="6" a="1"/>
  <c r="G249" i="6" s="1"/>
  <c r="H221" i="6" a="1"/>
  <c r="H221" i="6" s="1"/>
  <c r="I243" i="6" a="1"/>
  <c r="I243" i="6" s="1"/>
  <c r="G114" i="6" a="1"/>
  <c r="G114" i="6" s="1"/>
  <c r="H205" i="6" a="1"/>
  <c r="H205" i="6" s="1"/>
  <c r="G230" i="6" a="1"/>
  <c r="G230" i="6" s="1"/>
  <c r="H29" i="6" a="1"/>
  <c r="H29" i="6" s="1"/>
  <c r="I244" i="6" a="1"/>
  <c r="I244" i="6" s="1"/>
  <c r="G185" i="6" a="1"/>
  <c r="G185" i="6" s="1"/>
  <c r="H4" i="6" a="1"/>
  <c r="H4" i="6" s="1"/>
  <c r="I194" i="6" a="1"/>
  <c r="I194" i="6" s="1"/>
  <c r="G179" i="6" a="1"/>
  <c r="G179" i="6" s="1"/>
  <c r="H150" i="6" a="1"/>
  <c r="H150" i="6" s="1"/>
  <c r="G213" i="6" a="1"/>
  <c r="G213" i="6" s="1"/>
  <c r="H244" i="6" a="1"/>
  <c r="H244" i="6" s="1"/>
  <c r="I169" i="6" a="1"/>
  <c r="I169" i="6" s="1"/>
  <c r="G7" i="6" a="1"/>
  <c r="G7" i="6" s="1"/>
  <c r="H207" i="6" a="1"/>
  <c r="H207" i="6" s="1"/>
  <c r="I24" i="6" a="1"/>
  <c r="I24" i="6" s="1"/>
  <c r="G220" i="6" a="1"/>
  <c r="G220" i="6" s="1"/>
  <c r="I240" i="6" a="1"/>
  <c r="I240" i="6" s="1"/>
  <c r="G174" i="6" a="1"/>
  <c r="G174" i="6" s="1"/>
  <c r="H239" i="6" a="1"/>
  <c r="H239" i="6" s="1"/>
  <c r="I145" i="6" a="1"/>
  <c r="I145" i="6" s="1"/>
  <c r="G170" i="6" a="1"/>
  <c r="G170" i="6" s="1"/>
  <c r="H248" i="6" a="1"/>
  <c r="H248" i="6" s="1"/>
  <c r="I106" i="6" a="1"/>
  <c r="I106" i="6" s="1"/>
  <c r="G158" i="6" a="1"/>
  <c r="G158" i="6" s="1"/>
  <c r="H113" i="6" a="1"/>
  <c r="H113" i="6" s="1"/>
  <c r="G88" i="6" a="1"/>
  <c r="G88" i="6" s="1"/>
  <c r="H47" i="6" a="1"/>
  <c r="H47" i="6" s="1"/>
  <c r="I81" i="6" a="1"/>
  <c r="I81" i="6" s="1"/>
  <c r="G250" i="6" a="1"/>
  <c r="G250" i="6" s="1"/>
  <c r="H132" i="6" a="1"/>
  <c r="H132" i="6" s="1"/>
  <c r="I206" i="6" a="1"/>
  <c r="I206" i="6" s="1"/>
  <c r="G71" i="6" a="1"/>
  <c r="G71" i="6" s="1"/>
  <c r="H153" i="6" a="1"/>
  <c r="H153" i="6" s="1"/>
  <c r="G172" i="6" a="1"/>
  <c r="G172" i="6" s="1"/>
  <c r="H122" i="6" a="1"/>
  <c r="H122" i="6" s="1"/>
  <c r="I252" i="6" a="1"/>
  <c r="I252" i="6" s="1"/>
  <c r="G167" i="6" a="1"/>
  <c r="G167" i="6" s="1"/>
  <c r="I227" i="6" a="1"/>
  <c r="I227" i="6" s="1"/>
  <c r="G247" i="6" a="1"/>
  <c r="G247" i="6" s="1"/>
  <c r="H74" i="6" a="1"/>
  <c r="H74" i="6" s="1"/>
  <c r="I191" i="6" a="1"/>
  <c r="I191" i="6" s="1"/>
  <c r="G176" i="6" a="1"/>
  <c r="G176" i="6" s="1"/>
  <c r="H70" i="6" a="1"/>
  <c r="H70" i="6" s="1"/>
  <c r="G123" i="6" a="1"/>
  <c r="G123" i="6" s="1"/>
  <c r="H67" i="6" a="1"/>
  <c r="H67" i="6" s="1"/>
  <c r="I79" i="6" a="1"/>
  <c r="I79" i="6" s="1"/>
  <c r="G26" i="6" a="1"/>
  <c r="G26" i="6" s="1"/>
  <c r="H160" i="6" a="1"/>
  <c r="H160" i="6" s="1"/>
  <c r="I38" i="6" a="1"/>
  <c r="I38" i="6" s="1"/>
  <c r="G103" i="6" a="1"/>
  <c r="G103" i="6" s="1"/>
  <c r="I31" i="6" a="1"/>
  <c r="I31" i="6" s="1"/>
  <c r="G30" i="6" a="1"/>
  <c r="G30" i="6" s="1"/>
  <c r="H44" i="6" a="1"/>
  <c r="H44" i="6" s="1"/>
  <c r="I118" i="6" a="1"/>
  <c r="I118" i="6" s="1"/>
  <c r="G195" i="6" a="1"/>
  <c r="G195" i="6" s="1"/>
  <c r="H3" i="6" a="1"/>
  <c r="H3" i="6" s="1"/>
  <c r="I154" i="6" a="1"/>
  <c r="I154" i="6" s="1"/>
  <c r="G102" i="6" a="1"/>
  <c r="G102" i="6" s="1"/>
  <c r="I127" i="6" a="1"/>
  <c r="I127" i="6" s="1"/>
  <c r="G148" i="6" a="1"/>
  <c r="G148" i="6" s="1"/>
  <c r="H110" i="6" a="1"/>
  <c r="H110" i="6" s="1"/>
  <c r="I119" i="6" a="1"/>
  <c r="I119" i="6" s="1"/>
  <c r="G16" i="6" a="1"/>
  <c r="G16" i="6" s="1"/>
  <c r="H224" i="6" a="1"/>
  <c r="H224" i="6" s="1"/>
  <c r="I61" i="6" a="1"/>
  <c r="I61" i="6" s="1"/>
  <c r="G191" i="6" a="1"/>
  <c r="G191" i="6" s="1"/>
  <c r="I90" i="6" a="1"/>
  <c r="I90" i="6" s="1"/>
  <c r="G124" i="6" a="1"/>
  <c r="G124" i="6" s="1"/>
  <c r="H198" i="6" a="1"/>
  <c r="H198" i="6" s="1"/>
  <c r="I144" i="6" a="1"/>
  <c r="I144" i="6" s="1"/>
  <c r="G96" i="6" a="1"/>
  <c r="G96" i="6" s="1"/>
  <c r="H222" i="6" a="1"/>
  <c r="H222" i="6" s="1"/>
  <c r="I37" i="6" a="1"/>
  <c r="I37" i="6" s="1"/>
  <c r="G189" i="6" a="1"/>
  <c r="G189" i="6" s="1"/>
  <c r="H188" i="6" a="1"/>
  <c r="H188" i="6" s="1"/>
  <c r="G29" i="6" a="1"/>
  <c r="G29" i="6" s="1"/>
  <c r="H81" i="6" a="1"/>
  <c r="H81" i="6" s="1"/>
  <c r="I80" i="6" a="1"/>
  <c r="I80" i="6" s="1"/>
  <c r="G235" i="6" a="1"/>
  <c r="G235" i="6" s="1"/>
  <c r="H197" i="6" a="1"/>
  <c r="H197" i="6" s="1"/>
  <c r="I251" i="6" a="1"/>
  <c r="I251" i="6" s="1"/>
  <c r="G208" i="6" a="1"/>
  <c r="G208" i="6" s="1"/>
  <c r="H243" i="6" a="1"/>
  <c r="H243" i="6" s="1"/>
  <c r="I190" i="6" a="1"/>
  <c r="I190" i="6" s="1"/>
  <c r="H21" i="6" a="1"/>
  <c r="H21" i="6" s="1"/>
  <c r="I172" i="6" a="1"/>
  <c r="I172" i="6" s="1"/>
  <c r="G199" i="6" a="1"/>
  <c r="G199" i="6" s="1"/>
  <c r="H227" i="6" a="1"/>
  <c r="H227" i="6" s="1"/>
  <c r="I167" i="6" a="1"/>
  <c r="I167" i="6" s="1"/>
  <c r="G107" i="6" a="1"/>
  <c r="G107" i="6" s="1"/>
  <c r="H91" i="6" a="1"/>
  <c r="H91" i="6" s="1"/>
  <c r="I71" i="6" a="1"/>
  <c r="I71" i="6" s="1"/>
  <c r="G188" i="6" a="1"/>
  <c r="G188" i="6" s="1"/>
  <c r="I120" i="6" a="1"/>
  <c r="I120" i="6" s="1"/>
  <c r="G134" i="6" a="1"/>
  <c r="G134" i="6" s="1"/>
  <c r="H249" i="6" a="1"/>
  <c r="H249" i="6" s="1"/>
  <c r="I131" i="6" a="1"/>
  <c r="I131" i="6" s="1"/>
  <c r="G163" i="6" a="1"/>
  <c r="G163" i="6" s="1"/>
  <c r="H192" i="6" a="1"/>
  <c r="H192" i="6" s="1"/>
  <c r="I177" i="6" a="1"/>
  <c r="I177" i="6" s="1"/>
  <c r="H87" i="6" a="1"/>
  <c r="H87" i="6" s="1"/>
  <c r="I110" i="6" a="1"/>
  <c r="I110" i="6" s="1"/>
  <c r="G122" i="6" a="1"/>
  <c r="G122" i="6" s="1"/>
  <c r="H254" i="6" a="1"/>
  <c r="H254" i="6" s="1"/>
  <c r="I8" i="6" a="1"/>
  <c r="I8" i="6" s="1"/>
  <c r="G95" i="6" a="1"/>
  <c r="G95" i="6" s="1"/>
  <c r="H5" i="6" a="1"/>
  <c r="H5" i="6" s="1"/>
  <c r="I180" i="6" a="1"/>
  <c r="I180" i="6" s="1"/>
  <c r="G190" i="6" a="1"/>
  <c r="G190" i="6" s="1"/>
  <c r="I32" i="6" a="1"/>
  <c r="I32" i="6" s="1"/>
  <c r="G68" i="6" a="1"/>
  <c r="G68" i="6" s="1"/>
  <c r="H145" i="6" a="1"/>
  <c r="H145" i="6" s="1"/>
  <c r="I196" i="6" a="1"/>
  <c r="I196" i="6" s="1"/>
  <c r="G15" i="6" a="1"/>
  <c r="G15" i="6" s="1"/>
  <c r="H161" i="6" a="1"/>
  <c r="H161" i="6" s="1"/>
  <c r="I59" i="6" a="1"/>
  <c r="I59" i="6" s="1"/>
  <c r="H94" i="6" a="1"/>
  <c r="H94" i="6" s="1"/>
  <c r="I69" i="6" a="1"/>
  <c r="I69" i="6" s="1"/>
  <c r="G253" i="6" a="1"/>
  <c r="G253" i="6" s="1"/>
  <c r="H65" i="6" a="1"/>
  <c r="H65" i="6" s="1"/>
  <c r="I142" i="6" a="1"/>
  <c r="I142" i="6" s="1"/>
  <c r="H170" i="6" a="1"/>
  <c r="H170" i="6" s="1"/>
  <c r="I250" i="6" a="1"/>
  <c r="I250" i="6" s="1"/>
  <c r="G13" i="6" a="1"/>
  <c r="G13" i="6" s="1"/>
  <c r="H138" i="6" a="1"/>
  <c r="H138" i="6" s="1"/>
  <c r="I12" i="6" a="1"/>
  <c r="I12" i="6" s="1"/>
  <c r="H125" i="6" a="1"/>
  <c r="H125" i="6" s="1"/>
  <c r="I173" i="6" a="1"/>
  <c r="I173" i="6" s="1"/>
  <c r="G98" i="6" a="1"/>
  <c r="G98" i="6" s="1"/>
  <c r="H109" i="6" a="1"/>
  <c r="H109" i="6" s="1"/>
  <c r="I236" i="6" a="1"/>
  <c r="I236" i="6" s="1"/>
  <c r="G40" i="6" a="1"/>
  <c r="G40" i="6" s="1"/>
  <c r="H72" i="6" a="1"/>
  <c r="H72" i="6" s="1"/>
  <c r="I189" i="6" a="1"/>
  <c r="I189" i="6" s="1"/>
  <c r="H18" i="6" a="1"/>
  <c r="H18" i="6" s="1"/>
  <c r="I19" i="6" a="1"/>
  <c r="I19" i="6" s="1"/>
  <c r="G145" i="6" a="1"/>
  <c r="G145" i="6" s="1"/>
  <c r="H247" i="6" a="1"/>
  <c r="H247" i="6" s="1"/>
  <c r="I208" i="6" a="1"/>
  <c r="I208" i="6" s="1"/>
  <c r="G161" i="6" a="1"/>
  <c r="G161" i="6" s="1"/>
  <c r="H178" i="6" a="1"/>
  <c r="H178" i="6" s="1"/>
  <c r="G90" i="6" a="1"/>
  <c r="G90" i="6" s="1"/>
  <c r="H230" i="6" a="1"/>
  <c r="H230" i="6" s="1"/>
  <c r="I254" i="6" a="1"/>
  <c r="I254" i="6" s="1"/>
  <c r="G81" i="6" a="1"/>
  <c r="G81" i="6" s="1"/>
  <c r="H98" i="6" a="1"/>
  <c r="H98" i="6" s="1"/>
  <c r="I166" i="6" a="1"/>
  <c r="I166" i="6" s="1"/>
  <c r="G183" i="6" a="1"/>
  <c r="G183" i="6" s="1"/>
  <c r="H106" i="6" a="1"/>
  <c r="H106" i="6" s="1"/>
  <c r="I60" i="6" a="1"/>
  <c r="I60" i="6" s="1"/>
  <c r="G12" i="6" a="1"/>
  <c r="G12" i="6" s="1"/>
  <c r="I198" i="6" a="1"/>
  <c r="I198" i="6" s="1"/>
  <c r="G252" i="6" a="1"/>
  <c r="G252" i="6" s="1"/>
  <c r="H119" i="6" a="1"/>
  <c r="H119" i="6" s="1"/>
  <c r="G76" i="6" a="1"/>
  <c r="G76" i="6" s="1"/>
  <c r="H206" i="6" a="1"/>
  <c r="H206" i="6" s="1"/>
  <c r="I50" i="6" a="1"/>
  <c r="I50" i="6" s="1"/>
  <c r="H48" i="6" a="1"/>
  <c r="H48" i="6" s="1"/>
  <c r="I200" i="6" a="1"/>
  <c r="I200" i="6" s="1"/>
  <c r="G101" i="6" a="1"/>
  <c r="G101" i="6" s="1"/>
  <c r="H144" i="6" a="1"/>
  <c r="H144" i="6" s="1"/>
  <c r="I117" i="6" a="1"/>
  <c r="I117" i="6" s="1"/>
  <c r="G14" i="6" a="1"/>
  <c r="G14" i="6" s="1"/>
  <c r="H143" i="6" a="1"/>
  <c r="H143" i="6" s="1"/>
  <c r="I184" i="6" a="1"/>
  <c r="I184" i="6" s="1"/>
  <c r="G3" i="6" a="1"/>
  <c r="G3" i="6" s="1"/>
  <c r="H242" i="6" a="1"/>
  <c r="H242" i="6" s="1"/>
  <c r="G31" i="6" a="1"/>
  <c r="G31" i="6" s="1"/>
  <c r="H212" i="6" a="1"/>
  <c r="H212" i="6" s="1"/>
  <c r="I46" i="6" a="1"/>
  <c r="I46" i="6" s="1"/>
  <c r="G159" i="6" a="1"/>
  <c r="G159" i="6" s="1"/>
  <c r="H78" i="6" a="1"/>
  <c r="H78" i="6" s="1"/>
  <c r="I140" i="6" a="1"/>
  <c r="I140" i="6" s="1"/>
  <c r="G106" i="6" a="1"/>
  <c r="G106" i="6" s="1"/>
  <c r="H219" i="6" a="1"/>
  <c r="H219" i="6" s="1"/>
  <c r="G241" i="6" a="1"/>
  <c r="G241" i="6" s="1"/>
  <c r="H147" i="6" a="1"/>
  <c r="H147" i="6" s="1"/>
  <c r="I171" i="6" a="1"/>
  <c r="I171" i="6" s="1"/>
  <c r="G119" i="6" a="1"/>
  <c r="G119" i="6" s="1"/>
  <c r="H41" i="6" a="1"/>
  <c r="H41" i="6" s="1"/>
  <c r="I14" i="6" a="1"/>
  <c r="I14" i="6" s="1"/>
  <c r="G73" i="6" a="1"/>
  <c r="G73" i="6" s="1"/>
  <c r="H218" i="6" a="1"/>
  <c r="H218" i="6" s="1"/>
  <c r="G255" i="6" a="1"/>
  <c r="G255" i="6" s="1"/>
  <c r="H20" i="6" a="1"/>
  <c r="H20" i="6" s="1"/>
  <c r="I210" i="6" a="1"/>
  <c r="I210" i="6" s="1"/>
  <c r="G65" i="6" a="1"/>
  <c r="G65" i="6" s="1"/>
  <c r="H159" i="6" a="1"/>
  <c r="H159" i="6" s="1"/>
  <c r="I164" i="6" a="1"/>
  <c r="I164" i="6" s="1"/>
  <c r="G75" i="6" a="1"/>
  <c r="G75" i="6" s="1"/>
  <c r="H155" i="6" a="1"/>
  <c r="H155" i="6" s="1"/>
  <c r="I35" i="6" a="1"/>
  <c r="I35" i="6" s="1"/>
  <c r="H211" i="6" a="1"/>
  <c r="H211" i="6" s="1"/>
  <c r="I238" i="6" a="1"/>
  <c r="I238" i="6" s="1"/>
  <c r="G251" i="6" a="1"/>
  <c r="G251" i="6" s="1"/>
  <c r="H8" i="6" a="1"/>
  <c r="H8" i="6" s="1"/>
  <c r="I163" i="6" a="1"/>
  <c r="I163" i="6" s="1"/>
  <c r="G194" i="6" a="1"/>
  <c r="G194" i="6" s="1"/>
  <c r="H179" i="6" a="1"/>
  <c r="H179" i="6" s="1"/>
  <c r="G111" i="6" a="1"/>
  <c r="G111" i="6" s="1"/>
  <c r="H174" i="6" a="1"/>
  <c r="H174" i="6" s="1"/>
  <c r="I86" i="6" a="1"/>
  <c r="I86" i="6" s="1"/>
  <c r="G79" i="6" a="1"/>
  <c r="G79" i="6" s="1"/>
  <c r="H16" i="6" a="1"/>
  <c r="H16" i="6" s="1"/>
  <c r="I55" i="6" a="1"/>
  <c r="I55" i="6" s="1"/>
  <c r="G193" i="6" a="1"/>
  <c r="G193" i="6" s="1"/>
  <c r="G156" i="6" a="1"/>
  <c r="G156" i="6" s="1"/>
  <c r="H102" i="6" a="1"/>
  <c r="H102" i="6" s="1"/>
  <c r="G120" i="6" a="1"/>
  <c r="G120" i="6" s="1"/>
  <c r="H46" i="6" a="1"/>
  <c r="H46" i="6" s="1"/>
  <c r="I121" i="6" a="1"/>
  <c r="I121" i="6" s="1"/>
  <c r="G169" i="6" a="1"/>
  <c r="G169" i="6" s="1"/>
  <c r="H64" i="6" a="1"/>
  <c r="H64" i="6" s="1"/>
  <c r="I76" i="6" a="1"/>
  <c r="I76" i="6" s="1"/>
  <c r="G157" i="6" a="1"/>
  <c r="G157" i="6" s="1"/>
  <c r="H12" i="6" a="1"/>
  <c r="H12" i="6" s="1"/>
  <c r="G127" i="6" a="1"/>
  <c r="G127" i="6" s="1"/>
  <c r="H253" i="6" a="1"/>
  <c r="H253" i="6" s="1"/>
  <c r="I17" i="6" a="1"/>
  <c r="I17" i="6" s="1"/>
  <c r="G8" i="6" a="1"/>
  <c r="G8" i="6" s="1"/>
  <c r="H13" i="6" a="1"/>
  <c r="H13" i="6" s="1"/>
  <c r="I116" i="6" a="1"/>
  <c r="I116" i="6" s="1"/>
  <c r="G37" i="6" a="1"/>
  <c r="G37" i="6" s="1"/>
  <c r="I241" i="6" a="1"/>
  <c r="I241" i="6" s="1"/>
  <c r="G47" i="6" a="1"/>
  <c r="G47" i="6" s="1"/>
  <c r="H199" i="6" a="1"/>
  <c r="H199" i="6" s="1"/>
  <c r="I237" i="6" a="1"/>
  <c r="I237" i="6" s="1"/>
  <c r="G144" i="6" a="1"/>
  <c r="G144" i="6" s="1"/>
  <c r="H169" i="6" a="1"/>
  <c r="H169" i="6" s="1"/>
  <c r="I40" i="6" a="1"/>
  <c r="I40" i="6" s="1"/>
  <c r="G243" i="6" a="1"/>
  <c r="G243" i="6" s="1"/>
  <c r="H114" i="6" a="1"/>
  <c r="H114" i="6" s="1"/>
  <c r="G69" i="6" a="1"/>
  <c r="G69" i="6" s="1"/>
  <c r="H134" i="6" a="1"/>
  <c r="H134" i="6" s="1"/>
  <c r="I27" i="6" a="1"/>
  <c r="I27" i="6" s="1"/>
  <c r="G142" i="6" a="1"/>
  <c r="G142" i="6" s="1"/>
  <c r="H7" i="6" a="1"/>
  <c r="H7" i="6" s="1"/>
  <c r="I39" i="6" a="1"/>
  <c r="I39" i="6" s="1"/>
  <c r="G38" i="6" a="1"/>
  <c r="G38" i="6" s="1"/>
  <c r="H103" i="6" a="1"/>
  <c r="H103" i="6" s="1"/>
  <c r="G173" i="6" a="1"/>
  <c r="G173" i="6" s="1"/>
  <c r="H86" i="6" a="1"/>
  <c r="H86" i="6" s="1"/>
  <c r="I133" i="6" a="1"/>
  <c r="I133" i="6" s="1"/>
  <c r="G77" i="6" a="1"/>
  <c r="G77" i="6" s="1"/>
  <c r="H55" i="6" a="1"/>
  <c r="H55" i="6" s="1"/>
  <c r="I183" i="6" a="1"/>
  <c r="I183" i="6" s="1"/>
  <c r="G24" i="6" a="1"/>
  <c r="G24" i="6" s="1"/>
  <c r="G154" i="6" a="1"/>
  <c r="G154" i="6" s="1"/>
  <c r="I111" i="6" a="1"/>
  <c r="I111" i="6" s="1"/>
  <c r="G57" i="6" a="1"/>
  <c r="G57" i="6" s="1"/>
  <c r="H68" i="6" a="1"/>
  <c r="H68" i="6" s="1"/>
  <c r="I101" i="6" a="1"/>
  <c r="I101" i="6" s="1"/>
  <c r="G118" i="6" a="1"/>
  <c r="G118" i="6" s="1"/>
  <c r="H223" i="6" a="1"/>
  <c r="H223" i="6" s="1"/>
  <c r="I25" i="6" a="1"/>
  <c r="I25" i="6" s="1"/>
  <c r="G60" i="6" a="1"/>
  <c r="G60" i="6" s="1"/>
  <c r="I126" i="6" a="1"/>
  <c r="I126" i="6" s="1"/>
  <c r="G110" i="6" a="1"/>
  <c r="G110" i="6" s="1"/>
  <c r="H101" i="6" a="1"/>
  <c r="H101" i="6" s="1"/>
  <c r="I108" i="6" a="1"/>
  <c r="I108" i="6" s="1"/>
  <c r="G166" i="6" a="1"/>
  <c r="G166" i="6" s="1"/>
  <c r="H193" i="6" a="1"/>
  <c r="H193" i="6" s="1"/>
  <c r="I192" i="6" a="1"/>
  <c r="I192" i="6" s="1"/>
  <c r="G59" i="6" a="1"/>
  <c r="G59" i="6" s="1"/>
  <c r="I239" i="6" a="1"/>
  <c r="I239" i="6" s="1"/>
  <c r="G83" i="6" a="1"/>
  <c r="G83" i="6" s="1"/>
  <c r="H171" i="6" a="1"/>
  <c r="H171" i="6" s="1"/>
  <c r="I43" i="6" a="1"/>
  <c r="I43" i="6" s="1"/>
  <c r="G196" i="6" a="1"/>
  <c r="G196" i="6" s="1"/>
  <c r="H26" i="6" a="1"/>
  <c r="H26" i="6" s="1"/>
  <c r="I181" i="6" a="1"/>
  <c r="I181" i="6" s="1"/>
  <c r="G115" i="6" a="1"/>
  <c r="G115" i="6" s="1"/>
  <c r="H176" i="6" a="1"/>
  <c r="H176" i="6" s="1"/>
  <c r="G89" i="6" a="1"/>
  <c r="G89" i="6" s="1"/>
  <c r="H210" i="6" a="1"/>
  <c r="H210" i="6" s="1"/>
  <c r="I42" i="6" a="1"/>
  <c r="I42" i="6" s="1"/>
  <c r="G184" i="6" a="1"/>
  <c r="G184" i="6" s="1"/>
  <c r="I105" i="6" a="1"/>
  <c r="I105" i="6" s="1"/>
  <c r="G36" i="6" a="1"/>
  <c r="G36" i="6" s="1"/>
  <c r="I231" i="6" a="1"/>
  <c r="I231" i="6" s="1"/>
  <c r="G46" i="6" a="1"/>
  <c r="G46" i="6" s="1"/>
  <c r="H83" i="6" a="1"/>
  <c r="H83" i="6" s="1"/>
  <c r="I228" i="6" a="1"/>
  <c r="I228" i="6" s="1"/>
  <c r="G236" i="6" a="1"/>
  <c r="G236" i="6" s="1"/>
  <c r="H183" i="6" a="1"/>
  <c r="H183" i="6" s="1"/>
  <c r="I245" i="6" a="1"/>
  <c r="I245" i="6" s="1"/>
  <c r="G129" i="6" a="1"/>
  <c r="G129" i="6" s="1"/>
  <c r="G177" i="6" a="1"/>
  <c r="G177" i="6" s="1"/>
  <c r="I212" i="6" a="1"/>
  <c r="I212" i="6" s="1"/>
  <c r="G171" i="6" a="1"/>
  <c r="G171" i="6" s="1"/>
  <c r="H252" i="6" a="1"/>
  <c r="H252" i="6" s="1"/>
  <c r="I9" i="6" a="1"/>
  <c r="I9" i="6" s="1"/>
  <c r="G93" i="6" a="1"/>
  <c r="G93" i="6" s="1"/>
  <c r="H182" i="6" a="1"/>
  <c r="H182" i="6" s="1"/>
  <c r="I91" i="6" a="1"/>
  <c r="I91" i="6" s="1"/>
  <c r="G35" i="6" a="1"/>
  <c r="G35" i="6" s="1"/>
  <c r="I18" i="6" a="1"/>
  <c r="I18" i="6" s="1"/>
  <c r="G85" i="6" a="1"/>
  <c r="G85" i="6" s="1"/>
  <c r="H79" i="6" a="1"/>
  <c r="H79" i="6" s="1"/>
  <c r="I225" i="6" a="1"/>
  <c r="I225" i="6" s="1"/>
  <c r="G224" i="6" a="1"/>
  <c r="G224" i="6" s="1"/>
  <c r="H52" i="6" a="1"/>
  <c r="H52" i="6" s="1"/>
  <c r="I129" i="6" a="1"/>
  <c r="I129" i="6" s="1"/>
  <c r="G50" i="6" a="1"/>
  <c r="G50" i="6" s="1"/>
  <c r="I20" i="6" a="1"/>
  <c r="I20" i="6" s="1"/>
  <c r="G238" i="6" a="1"/>
  <c r="G238" i="6" s="1"/>
  <c r="H17" i="6" a="1"/>
  <c r="H17" i="6" s="1"/>
  <c r="I248" i="6" a="1"/>
  <c r="I248" i="6" s="1"/>
  <c r="G132" i="6" a="1"/>
  <c r="G132" i="6" s="1"/>
  <c r="H164" i="6" a="1"/>
  <c r="H164" i="6" s="1"/>
  <c r="I234" i="6" a="1"/>
  <c r="I234" i="6" s="1"/>
  <c r="G205" i="6" a="1"/>
  <c r="G205" i="6" s="1"/>
  <c r="I21" i="6" a="1"/>
  <c r="I21" i="6" s="1"/>
  <c r="G99" i="6" a="1"/>
  <c r="G99" i="6" s="1"/>
  <c r="H237" i="6" a="1"/>
  <c r="H237" i="6" s="1"/>
  <c r="I165" i="6" a="1"/>
  <c r="I165" i="6" s="1"/>
  <c r="G141" i="6" a="1"/>
  <c r="G141" i="6" s="1"/>
  <c r="H163" i="6" a="1"/>
  <c r="H163" i="6" s="1"/>
  <c r="I23" i="6" a="1"/>
  <c r="I23" i="6" s="1"/>
  <c r="G151" i="6" a="1"/>
  <c r="G151" i="6" s="1"/>
  <c r="I174" i="6" a="1"/>
  <c r="I174" i="6" s="1"/>
  <c r="G121" i="6" a="1"/>
  <c r="G121" i="6" s="1"/>
  <c r="H238" i="6" a="1"/>
  <c r="H238" i="6" s="1"/>
  <c r="I170" i="6" a="1"/>
  <c r="I170" i="6" s="1"/>
  <c r="G223" i="6" a="1"/>
  <c r="G223" i="6" s="1"/>
  <c r="H245" i="6" a="1"/>
  <c r="H245" i="6" s="1"/>
  <c r="I2" i="6" a="1"/>
  <c r="I2" i="6" s="1"/>
  <c r="D4" i="7"/>
  <c r="D55" i="7"/>
  <c r="E46" i="7"/>
  <c r="E48" i="7"/>
  <c r="G47" i="7"/>
  <c r="E10" i="7"/>
  <c r="D11" i="7"/>
  <c r="E44" i="7"/>
  <c r="E8" i="7"/>
  <c r="D39" i="7"/>
  <c r="B46" i="7"/>
  <c r="E45" i="7"/>
  <c r="G46" i="7"/>
  <c r="D51" i="7"/>
  <c r="E12" i="7"/>
  <c r="D5" i="7"/>
  <c r="D53" i="7"/>
  <c r="G53" i="7"/>
  <c r="E9" i="7"/>
  <c r="E3" i="7"/>
  <c r="D43" i="7"/>
  <c r="B53" i="7"/>
  <c r="D50" i="7"/>
  <c r="D46" i="7"/>
  <c r="D8" i="7"/>
  <c r="E11" i="7"/>
  <c r="G41" i="7"/>
  <c r="G49" i="7"/>
  <c r="E4" i="7"/>
  <c r="F13" i="7"/>
  <c r="B39" i="7"/>
  <c r="G54" i="7"/>
  <c r="D41" i="7"/>
  <c r="B49" i="7"/>
  <c r="E47" i="7"/>
  <c r="B52" i="7"/>
  <c r="B47" i="7"/>
  <c r="B48" i="7"/>
  <c r="B41" i="7"/>
  <c r="D54" i="7"/>
  <c r="F9" i="7"/>
  <c r="E43" i="7"/>
  <c r="D48" i="7"/>
  <c r="D3" i="7"/>
  <c r="G43" i="7"/>
  <c r="B51" i="7"/>
  <c r="G48" i="7"/>
  <c r="B50" i="7"/>
  <c r="F5" i="7"/>
  <c r="G51" i="7"/>
  <c r="G50" i="7"/>
  <c r="G55" i="7"/>
  <c r="E5" i="7"/>
  <c r="D10" i="7"/>
  <c r="F10" i="7"/>
  <c r="F3" i="7"/>
  <c r="B43" i="7"/>
  <c r="B55" i="7"/>
  <c r="F11" i="7"/>
  <c r="F4" i="7"/>
  <c r="D49" i="7"/>
  <c r="B45" i="7"/>
  <c r="B44" i="7"/>
  <c r="D9" i="7"/>
  <c r="D40" i="7"/>
  <c r="D52" i="7"/>
  <c r="D12" i="7"/>
  <c r="G45" i="7"/>
  <c r="G39" i="7"/>
  <c r="G40" i="7"/>
  <c r="D44" i="7"/>
  <c r="B40" i="7"/>
  <c r="G52" i="7"/>
  <c r="F12" i="7"/>
  <c r="G44" i="7"/>
  <c r="D13" i="7"/>
  <c r="E41" i="7"/>
  <c r="F6" i="7"/>
  <c r="D6" i="7"/>
  <c r="E6" i="7"/>
  <c r="D45" i="7"/>
  <c r="E39" i="7"/>
  <c r="E40" i="7"/>
  <c r="E13" i="7"/>
  <c r="B54" i="7"/>
  <c r="F8" i="7"/>
  <c r="B42" i="7"/>
  <c r="E42" i="7"/>
  <c r="G42" i="7"/>
  <c r="D42" i="7"/>
  <c r="F7" i="7"/>
  <c r="D7" i="7"/>
  <c r="E7" i="7"/>
  <c r="AI172" i="1" a="1"/>
  <c r="AI172" i="1" s="1"/>
  <c r="F2" i="7" s="1"/>
  <c r="J97" i="6" l="1"/>
  <c r="J215" i="6"/>
  <c r="F24" i="7"/>
  <c r="G24" i="7" s="1"/>
  <c r="J233" i="6"/>
  <c r="J217" i="6"/>
  <c r="J216" i="6"/>
  <c r="J175" i="6"/>
  <c r="J135" i="6"/>
  <c r="J256" i="6"/>
  <c r="J49" i="6"/>
  <c r="J11" i="6"/>
  <c r="J34" i="6"/>
  <c r="G7" i="7"/>
  <c r="G13" i="7"/>
  <c r="G14" i="7"/>
  <c r="C2" i="7"/>
  <c r="C15" i="7" s="1"/>
  <c r="G10" i="7"/>
  <c r="G8" i="7"/>
  <c r="G3" i="7"/>
  <c r="G11" i="7"/>
  <c r="G12" i="7"/>
  <c r="G4" i="7"/>
  <c r="G9" i="7"/>
  <c r="G5" i="7"/>
  <c r="G6" i="7"/>
  <c r="F15" i="7"/>
  <c r="J214" i="6"/>
  <c r="J58" i="6"/>
  <c r="J232" i="6"/>
  <c r="J128" i="6"/>
  <c r="J33" i="6"/>
  <c r="J202" i="6"/>
  <c r="J22" i="6"/>
  <c r="J100" i="6"/>
  <c r="J162" i="6"/>
  <c r="J136" i="6"/>
  <c r="J130" i="6"/>
  <c r="J126" i="6"/>
  <c r="J6" i="6"/>
  <c r="J209" i="6"/>
  <c r="J146" i="6"/>
  <c r="J84" i="6"/>
  <c r="J28" i="6"/>
  <c r="J45" i="6"/>
  <c r="J54" i="6"/>
  <c r="J61" i="6"/>
  <c r="J125" i="6"/>
  <c r="J81" i="6"/>
  <c r="F35" i="7"/>
  <c r="G35" i="7" s="1"/>
  <c r="F29" i="7"/>
  <c r="G29" i="7" s="1"/>
  <c r="J145" i="6"/>
  <c r="F23" i="7"/>
  <c r="G23" i="7" s="1"/>
  <c r="F32" i="7"/>
  <c r="G32" i="7" s="1"/>
  <c r="F20" i="7"/>
  <c r="G20" i="7" s="1"/>
  <c r="F25" i="7"/>
  <c r="G25" i="7" s="1"/>
  <c r="F34" i="7"/>
  <c r="G34" i="7" s="1"/>
  <c r="F21" i="7"/>
  <c r="G21" i="7" s="1"/>
  <c r="H53" i="7"/>
  <c r="F18" i="7"/>
  <c r="G18" i="7" s="1"/>
  <c r="F26" i="7"/>
  <c r="G26" i="7" s="1"/>
  <c r="F22" i="7"/>
  <c r="G22" i="7" s="1"/>
  <c r="F19" i="7"/>
  <c r="G19" i="7" s="1"/>
  <c r="F27" i="7"/>
  <c r="G27" i="7" s="1"/>
  <c r="F33" i="7"/>
  <c r="G33" i="7" s="1"/>
  <c r="F30" i="7"/>
  <c r="G30" i="7" s="1"/>
  <c r="F28" i="7"/>
  <c r="G28" i="7" s="1"/>
  <c r="F31" i="7"/>
  <c r="G31" i="7" s="1"/>
  <c r="J94" i="6"/>
  <c r="J25" i="6"/>
  <c r="J255" i="6"/>
  <c r="H46" i="7"/>
  <c r="J228" i="6"/>
  <c r="J30" i="6"/>
  <c r="H49" i="7"/>
  <c r="H39" i="7"/>
  <c r="H43" i="7"/>
  <c r="H55" i="7"/>
  <c r="H47" i="7"/>
  <c r="B38" i="7"/>
  <c r="F38" i="7"/>
  <c r="H41" i="7"/>
  <c r="D2" i="7"/>
  <c r="H48" i="7"/>
  <c r="H50" i="7"/>
  <c r="H44" i="7"/>
  <c r="H51" i="7"/>
  <c r="H52" i="7"/>
  <c r="H45" i="7"/>
  <c r="E38" i="7"/>
  <c r="H54" i="7"/>
  <c r="G38" i="7"/>
  <c r="D38" i="7"/>
  <c r="H40" i="7"/>
  <c r="E2" i="7"/>
  <c r="E15" i="7" s="1"/>
  <c r="H42" i="7"/>
  <c r="J244" i="6"/>
  <c r="J39" i="6"/>
  <c r="J71" i="6"/>
  <c r="J18" i="6"/>
  <c r="J180" i="6"/>
  <c r="J163" i="6"/>
  <c r="J188" i="6"/>
  <c r="J89" i="6"/>
  <c r="J174" i="6"/>
  <c r="J118" i="6"/>
  <c r="J24" i="6"/>
  <c r="J181" i="6"/>
  <c r="J114" i="6"/>
  <c r="J237" i="6"/>
  <c r="J66" i="6"/>
  <c r="J223" i="6"/>
  <c r="J140" i="6"/>
  <c r="J208" i="6"/>
  <c r="J219" i="6"/>
  <c r="J26" i="6"/>
  <c r="J229" i="6"/>
  <c r="J83" i="6"/>
  <c r="J51" i="6"/>
  <c r="J120" i="6"/>
  <c r="J52" i="6"/>
  <c r="J50" i="6"/>
  <c r="J177" i="6"/>
  <c r="J2" i="6"/>
  <c r="J159" i="6"/>
  <c r="J195" i="6"/>
  <c r="J155" i="6"/>
  <c r="J251" i="6"/>
  <c r="J53" i="6"/>
  <c r="J186" i="6"/>
  <c r="J190" i="6"/>
  <c r="J127" i="6"/>
  <c r="J47" i="6"/>
  <c r="J149" i="6"/>
  <c r="J201" i="6"/>
  <c r="J192" i="6"/>
  <c r="J38" i="6"/>
  <c r="J36" i="6"/>
  <c r="J178" i="6"/>
  <c r="J12" i="6"/>
  <c r="J196" i="6"/>
  <c r="J200" i="6"/>
  <c r="J79" i="6"/>
  <c r="J252" i="6"/>
  <c r="J72" i="6"/>
  <c r="J103" i="6"/>
  <c r="J134" i="6"/>
  <c r="J111" i="6"/>
  <c r="J247" i="6"/>
  <c r="J197" i="6"/>
  <c r="J230" i="6"/>
  <c r="J224" i="6"/>
  <c r="J171" i="6"/>
  <c r="J236" i="6"/>
  <c r="J253" i="6"/>
  <c r="J113" i="6"/>
  <c r="J183" i="6"/>
  <c r="J87" i="6"/>
  <c r="J218" i="6"/>
  <c r="J27" i="6"/>
  <c r="J115" i="6"/>
  <c r="J164" i="6"/>
  <c r="J157" i="6"/>
  <c r="J239" i="6"/>
  <c r="J70" i="6"/>
  <c r="J90" i="6"/>
  <c r="J109" i="6"/>
  <c r="J59" i="6"/>
  <c r="J133" i="6"/>
  <c r="J117" i="6"/>
  <c r="J91" i="6"/>
  <c r="J245" i="6"/>
  <c r="J86" i="6"/>
  <c r="J235" i="6"/>
  <c r="J153" i="6"/>
  <c r="J75" i="6"/>
  <c r="J122" i="6"/>
  <c r="J220" i="6"/>
  <c r="J74" i="6"/>
  <c r="J99" i="6"/>
  <c r="J156" i="6"/>
  <c r="J182" i="6"/>
  <c r="J166" i="6"/>
  <c r="J211" i="6"/>
  <c r="J9" i="6"/>
  <c r="J205" i="6"/>
  <c r="J144" i="6"/>
  <c r="J165" i="6"/>
  <c r="J154" i="6"/>
  <c r="J23" i="6"/>
  <c r="J64" i="6"/>
  <c r="J69" i="6"/>
  <c r="J248" i="6"/>
  <c r="J199" i="6"/>
  <c r="J13" i="6"/>
  <c r="J82" i="6"/>
  <c r="J16" i="6"/>
  <c r="J221" i="6"/>
  <c r="J187" i="6"/>
  <c r="J137" i="6"/>
  <c r="J139" i="6"/>
  <c r="J35" i="6"/>
  <c r="J55" i="6"/>
  <c r="J246" i="6"/>
  <c r="J179" i="6"/>
  <c r="J98" i="6"/>
  <c r="J121" i="6"/>
  <c r="J77" i="6"/>
  <c r="J240" i="6"/>
  <c r="J8" i="6"/>
  <c r="J129" i="6"/>
  <c r="J88" i="6"/>
  <c r="J225" i="6"/>
  <c r="J112" i="6"/>
  <c r="J170" i="6"/>
  <c r="J7" i="6"/>
  <c r="J76" i="6"/>
  <c r="J107" i="6"/>
  <c r="J124" i="6"/>
  <c r="J243" i="6"/>
  <c r="J198" i="6"/>
  <c r="J92" i="6"/>
  <c r="J41" i="6"/>
  <c r="J123" i="6"/>
  <c r="J161" i="6"/>
  <c r="J110" i="6"/>
  <c r="J10" i="6"/>
  <c r="J48" i="6"/>
  <c r="J14" i="6"/>
  <c r="J57" i="6"/>
  <c r="J222" i="6"/>
  <c r="J213" i="6"/>
  <c r="J15" i="6"/>
  <c r="J131" i="6"/>
  <c r="J32" i="6"/>
  <c r="J227" i="6"/>
  <c r="J142" i="6"/>
  <c r="J210" i="6"/>
  <c r="J173" i="6"/>
  <c r="J147" i="6"/>
  <c r="J73" i="6"/>
  <c r="J152" i="6"/>
  <c r="J20" i="6"/>
  <c r="J42" i="6"/>
  <c r="J21" i="6"/>
  <c r="J132" i="6"/>
  <c r="J44" i="6"/>
  <c r="J105" i="6"/>
  <c r="J63" i="6"/>
  <c r="J242" i="6"/>
  <c r="J116" i="6"/>
  <c r="J167" i="6"/>
  <c r="J19" i="6"/>
  <c r="J141" i="6"/>
  <c r="J4" i="6"/>
  <c r="J68" i="6"/>
  <c r="J249" i="6"/>
  <c r="J234" i="6"/>
  <c r="J194" i="6"/>
  <c r="J158" i="6"/>
  <c r="J238" i="6"/>
  <c r="J3" i="6"/>
  <c r="J185" i="6"/>
  <c r="J37" i="6"/>
  <c r="J212" i="6"/>
  <c r="J85" i="6"/>
  <c r="J29" i="6"/>
  <c r="J104" i="6"/>
  <c r="J78" i="6"/>
  <c r="J60" i="6"/>
  <c r="J46" i="6"/>
  <c r="J101" i="6"/>
  <c r="J65" i="6"/>
  <c r="J108" i="6"/>
  <c r="J231" i="6"/>
  <c r="J160" i="6"/>
  <c r="J93" i="6"/>
  <c r="J62" i="6"/>
  <c r="J40" i="6"/>
  <c r="J148" i="6"/>
  <c r="J102" i="6"/>
  <c r="J226" i="6"/>
  <c r="J67" i="6"/>
  <c r="J189" i="6"/>
  <c r="J56" i="6"/>
  <c r="J184" i="6"/>
  <c r="J151" i="6"/>
  <c r="J176" i="6"/>
  <c r="J138" i="6"/>
  <c r="J119" i="6"/>
  <c r="J31" i="6"/>
  <c r="J254" i="6"/>
  <c r="J17" i="6"/>
  <c r="J241" i="6"/>
  <c r="J206" i="6"/>
  <c r="J80" i="6"/>
  <c r="J250" i="6"/>
  <c r="J5" i="6"/>
  <c r="J207" i="6"/>
  <c r="J169" i="6"/>
  <c r="J172" i="6"/>
  <c r="J95" i="6"/>
  <c r="J43" i="6"/>
  <c r="J193" i="6"/>
  <c r="J106" i="6"/>
  <c r="J143" i="6"/>
  <c r="J150" i="6"/>
  <c r="J191" i="6"/>
  <c r="J168" i="6"/>
  <c r="J96" i="6"/>
  <c r="D15" i="7" l="1"/>
  <c r="G15" i="7" s="1"/>
  <c r="G2" i="7"/>
  <c r="H3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<sst xmlns="http://schemas.openxmlformats.org/spreadsheetml/2006/main" count="5029" uniqueCount="1480">
  <si>
    <t>hp</t>
  </si>
  <si>
    <t>pokedex_number</t>
  </si>
  <si>
    <t>grass</t>
  </si>
  <si>
    <t>poison</t>
  </si>
  <si>
    <t>fire</t>
  </si>
  <si>
    <t>flying</t>
  </si>
  <si>
    <t>water</t>
  </si>
  <si>
    <t>bug</t>
  </si>
  <si>
    <t>normal</t>
  </si>
  <si>
    <t>dark</t>
  </si>
  <si>
    <t>Pikachu</t>
  </si>
  <si>
    <t>electric</t>
  </si>
  <si>
    <t>Raichu</t>
  </si>
  <si>
    <t>ground</t>
  </si>
  <si>
    <t>ice</t>
  </si>
  <si>
    <t>Clefairy</t>
  </si>
  <si>
    <t>fairy</t>
  </si>
  <si>
    <t>Clefable</t>
  </si>
  <si>
    <t>Vulpix</t>
  </si>
  <si>
    <t>Ninetales</t>
  </si>
  <si>
    <t>Zubat</t>
  </si>
  <si>
    <t>Golbat</t>
  </si>
  <si>
    <t>fighting</t>
  </si>
  <si>
    <t>Growlithe</t>
  </si>
  <si>
    <t>Arcanine</t>
  </si>
  <si>
    <t>Abra</t>
  </si>
  <si>
    <t>psychic</t>
  </si>
  <si>
    <t>Kadabra</t>
  </si>
  <si>
    <t>Alakazam</t>
  </si>
  <si>
    <t>Machop</t>
  </si>
  <si>
    <t>Machoke</t>
  </si>
  <si>
    <t>Machamp</t>
  </si>
  <si>
    <t>Geodude</t>
  </si>
  <si>
    <t>rock</t>
  </si>
  <si>
    <t>Graveler</t>
  </si>
  <si>
    <t>Golem</t>
  </si>
  <si>
    <t>Ponyta</t>
  </si>
  <si>
    <t>Rapidash</t>
  </si>
  <si>
    <t>Magnemite</t>
  </si>
  <si>
    <t>steel</t>
  </si>
  <si>
    <t>Magneton</t>
  </si>
  <si>
    <t>Gastly</t>
  </si>
  <si>
    <t>ghost</t>
  </si>
  <si>
    <t>Haunter</t>
  </si>
  <si>
    <t>Gengar</t>
  </si>
  <si>
    <t>Onix</t>
  </si>
  <si>
    <t>Hitmonlee</t>
  </si>
  <si>
    <t>Hitmonchan</t>
  </si>
  <si>
    <t>Lickitung</t>
  </si>
  <si>
    <t>Rhyhorn</t>
  </si>
  <si>
    <t>Rhydon</t>
  </si>
  <si>
    <t>Chansey</t>
  </si>
  <si>
    <t>Tangela</t>
  </si>
  <si>
    <t>Mr. Mime</t>
  </si>
  <si>
    <t>Electabuzz</t>
  </si>
  <si>
    <t>Magmar</t>
  </si>
  <si>
    <t>Magikarp</t>
  </si>
  <si>
    <t>Gyarados</t>
  </si>
  <si>
    <t>Eevee</t>
  </si>
  <si>
    <t>Vaporeon</t>
  </si>
  <si>
    <t>Jolteon</t>
  </si>
  <si>
    <t>Flareon</t>
  </si>
  <si>
    <t>Snorlax</t>
  </si>
  <si>
    <t>Articuno</t>
  </si>
  <si>
    <t>Zapdos</t>
  </si>
  <si>
    <t>Moltres</t>
  </si>
  <si>
    <t>Dratini</t>
  </si>
  <si>
    <t>dragon</t>
  </si>
  <si>
    <t>Dragonair</t>
  </si>
  <si>
    <t>Dragonite</t>
  </si>
  <si>
    <t>Crobat</t>
  </si>
  <si>
    <t>Pichu</t>
  </si>
  <si>
    <t>Cleffa</t>
  </si>
  <si>
    <t>Togepi</t>
  </si>
  <si>
    <t>Togetic</t>
  </si>
  <si>
    <t>Marill</t>
  </si>
  <si>
    <t>Azumarill</t>
  </si>
  <si>
    <t>Sudowoodo</t>
  </si>
  <si>
    <t>Aipom</t>
  </si>
  <si>
    <t>Yanma</t>
  </si>
  <si>
    <t>Wooper</t>
  </si>
  <si>
    <t>Quagsire</t>
  </si>
  <si>
    <t>Espeon</t>
  </si>
  <si>
    <t>Umbreon</t>
  </si>
  <si>
    <t>Murkrow</t>
  </si>
  <si>
    <t>Misdreavus</t>
  </si>
  <si>
    <t>Unown</t>
  </si>
  <si>
    <t>Gligar</t>
  </si>
  <si>
    <t>Steelix</t>
  </si>
  <si>
    <t>Heracross</t>
  </si>
  <si>
    <t>Sneasel</t>
  </si>
  <si>
    <t>Teddiursa</t>
  </si>
  <si>
    <t>Ursaring</t>
  </si>
  <si>
    <t>Swinub</t>
  </si>
  <si>
    <t>Piloswine</t>
  </si>
  <si>
    <t>Corsola</t>
  </si>
  <si>
    <t>Remoraid</t>
  </si>
  <si>
    <t>Octillery</t>
  </si>
  <si>
    <t>Mantine</t>
  </si>
  <si>
    <t>Houndour</t>
  </si>
  <si>
    <t>Houndoom</t>
  </si>
  <si>
    <t>Stantler</t>
  </si>
  <si>
    <t>Tyrogue</t>
  </si>
  <si>
    <t>Hitmontop</t>
  </si>
  <si>
    <t>Elekid</t>
  </si>
  <si>
    <t>Magby</t>
  </si>
  <si>
    <t>Blissey</t>
  </si>
  <si>
    <t>Larvitar</t>
  </si>
  <si>
    <t>Pupitar</t>
  </si>
  <si>
    <t>Tyranitar</t>
  </si>
  <si>
    <t>Celebi</t>
  </si>
  <si>
    <t>Wurmple</t>
  </si>
  <si>
    <t>Silcoon</t>
  </si>
  <si>
    <t>Beautifly</t>
  </si>
  <si>
    <t>Cascoon</t>
  </si>
  <si>
    <t>Dustox</t>
  </si>
  <si>
    <t>Ralts</t>
  </si>
  <si>
    <t>Kirlia</t>
  </si>
  <si>
    <t>Gardevoir</t>
  </si>
  <si>
    <t>Azurill</t>
  </si>
  <si>
    <t>Nosepass</t>
  </si>
  <si>
    <t>Meditite</t>
  </si>
  <si>
    <t>Medicham</t>
  </si>
  <si>
    <t>Roselia</t>
  </si>
  <si>
    <t>Swablu</t>
  </si>
  <si>
    <t>Altaria</t>
  </si>
  <si>
    <t>Feebas</t>
  </si>
  <si>
    <t>Milotic</t>
  </si>
  <si>
    <t>Duskull</t>
  </si>
  <si>
    <t>Dusclops</t>
  </si>
  <si>
    <t>Chimecho</t>
  </si>
  <si>
    <t>Absol</t>
  </si>
  <si>
    <t>Snorunt</t>
  </si>
  <si>
    <t>Glalie</t>
  </si>
  <si>
    <t>Spheal</t>
  </si>
  <si>
    <t>Sealeo</t>
  </si>
  <si>
    <t>Walrein</t>
  </si>
  <si>
    <t>Bagon</t>
  </si>
  <si>
    <t>Shelgon</t>
  </si>
  <si>
    <t>Salamence</t>
  </si>
  <si>
    <t>Regirock</t>
  </si>
  <si>
    <t>Regice</t>
  </si>
  <si>
    <t>Registeel</t>
  </si>
  <si>
    <t>Turtwig</t>
  </si>
  <si>
    <t>Grotle</t>
  </si>
  <si>
    <t>Torterra</t>
  </si>
  <si>
    <t>Chimchar</t>
  </si>
  <si>
    <t>Monferno</t>
  </si>
  <si>
    <t>Infernape</t>
  </si>
  <si>
    <t>Piplup</t>
  </si>
  <si>
    <t>Prinplup</t>
  </si>
  <si>
    <t>Empoleon</t>
  </si>
  <si>
    <t>Starly</t>
  </si>
  <si>
    <t>Staravia</t>
  </si>
  <si>
    <t>Staraptor</t>
  </si>
  <si>
    <t>Bidoof</t>
  </si>
  <si>
    <t>Bibarel</t>
  </si>
  <si>
    <t>Kricketot</t>
  </si>
  <si>
    <t>Kricketune</t>
  </si>
  <si>
    <t>Shinx</t>
  </si>
  <si>
    <t>Luxio</t>
  </si>
  <si>
    <t>Luxray</t>
  </si>
  <si>
    <t>Budew</t>
  </si>
  <si>
    <t>Roserade</t>
  </si>
  <si>
    <t>Cranidos</t>
  </si>
  <si>
    <t>Rampardos</t>
  </si>
  <si>
    <t>Shieldon</t>
  </si>
  <si>
    <t>Bastiodon</t>
  </si>
  <si>
    <t>Burmy</t>
  </si>
  <si>
    <t>Wormadam</t>
  </si>
  <si>
    <t>Mothim</t>
  </si>
  <si>
    <t>Combee</t>
  </si>
  <si>
    <t>Vespiquen</t>
  </si>
  <si>
    <t>Pachirisu</t>
  </si>
  <si>
    <t>Buizel</t>
  </si>
  <si>
    <t>Floatzel</t>
  </si>
  <si>
    <t>Cherubi</t>
  </si>
  <si>
    <t>Cherrim</t>
  </si>
  <si>
    <t>Ambipom</t>
  </si>
  <si>
    <t>Drifloon</t>
  </si>
  <si>
    <t>Drifblim</t>
  </si>
  <si>
    <t>Buneary</t>
  </si>
  <si>
    <t>Lopunny</t>
  </si>
  <si>
    <t>Mismagius</t>
  </si>
  <si>
    <t>Honchkrow</t>
  </si>
  <si>
    <t>Glameow</t>
  </si>
  <si>
    <t>Purugly</t>
  </si>
  <si>
    <t>Chingling</t>
  </si>
  <si>
    <t>Stunky</t>
  </si>
  <si>
    <t>Skuntank</t>
  </si>
  <si>
    <t>Bronzor</t>
  </si>
  <si>
    <t>Bronzong</t>
  </si>
  <si>
    <t>Bonsly</t>
  </si>
  <si>
    <t>Mime Jr.</t>
  </si>
  <si>
    <t>Happiny</t>
  </si>
  <si>
    <t>Chatot</t>
  </si>
  <si>
    <t>Spiritomb</t>
  </si>
  <si>
    <t>Gible</t>
  </si>
  <si>
    <t>Gabite</t>
  </si>
  <si>
    <t>Garchomp</t>
  </si>
  <si>
    <t>Munchlax</t>
  </si>
  <si>
    <t>Riolu</t>
  </si>
  <si>
    <t>Lucario</t>
  </si>
  <si>
    <t>Hippopotas</t>
  </si>
  <si>
    <t>Hippowdon</t>
  </si>
  <si>
    <t>Skorupi</t>
  </si>
  <si>
    <t>Drapion</t>
  </si>
  <si>
    <t>Croagunk</t>
  </si>
  <si>
    <t>Toxicroak</t>
  </si>
  <si>
    <t>Carnivine</t>
  </si>
  <si>
    <t>Finneon</t>
  </si>
  <si>
    <t>Lumineon</t>
  </si>
  <si>
    <t>Mantyke</t>
  </si>
  <si>
    <t>Snover</t>
  </si>
  <si>
    <t>Abomasnow</t>
  </si>
  <si>
    <t>Weavile</t>
  </si>
  <si>
    <t>Magnezone</t>
  </si>
  <si>
    <t>Lickilicky</t>
  </si>
  <si>
    <t>Rhyperior</t>
  </si>
  <si>
    <t>Tangrowth</t>
  </si>
  <si>
    <t>Electivire</t>
  </si>
  <si>
    <t>Magmortar</t>
  </si>
  <si>
    <t>Togekiss</t>
  </si>
  <si>
    <t>Yanmega</t>
  </si>
  <si>
    <t>Leafeon</t>
  </si>
  <si>
    <t>Glaceon</t>
  </si>
  <si>
    <t>Gliscor</t>
  </si>
  <si>
    <t>Mamoswine</t>
  </si>
  <si>
    <t>Gallade</t>
  </si>
  <si>
    <t>Probopass</t>
  </si>
  <si>
    <t>Dusknoir</t>
  </si>
  <si>
    <t>Froslass</t>
  </si>
  <si>
    <t>Rotom</t>
  </si>
  <si>
    <t>Uxie</t>
  </si>
  <si>
    <t>Mesprit</t>
  </si>
  <si>
    <t>Azelf</t>
  </si>
  <si>
    <t>Dialga</t>
  </si>
  <si>
    <t>Palkia</t>
  </si>
  <si>
    <t>Heatran</t>
  </si>
  <si>
    <t>Regigigas</t>
  </si>
  <si>
    <t>Giratina</t>
  </si>
  <si>
    <t>Cresselia</t>
  </si>
  <si>
    <t>Phione</t>
  </si>
  <si>
    <t>Manaphy</t>
  </si>
  <si>
    <t>Darkrai</t>
  </si>
  <si>
    <t>Shaymin</t>
  </si>
  <si>
    <t>Arceus</t>
  </si>
  <si>
    <t>Flame Pokemon</t>
  </si>
  <si>
    <t>Worm Pokemon</t>
  </si>
  <si>
    <t>Cocoon Pokemon</t>
  </si>
  <si>
    <t>Butterfly Pokemon</t>
  </si>
  <si>
    <t>Mouse Pokemon</t>
  </si>
  <si>
    <t>Fairy Pokemon</t>
  </si>
  <si>
    <t>Fox Pokemon</t>
  </si>
  <si>
    <t>Bat Pokemon</t>
  </si>
  <si>
    <t>Poison Moth Pokemon</t>
  </si>
  <si>
    <t>Puppy Pokemon</t>
  </si>
  <si>
    <t>Legendary Pokemon</t>
  </si>
  <si>
    <t>Psi Pokemon</t>
  </si>
  <si>
    <t>Superpower Pokemon</t>
  </si>
  <si>
    <t>Rock Pokemon</t>
  </si>
  <si>
    <t>Megaton Pokemon</t>
  </si>
  <si>
    <t>Fire Horse Pokemon</t>
  </si>
  <si>
    <t>Gas Pokemon</t>
  </si>
  <si>
    <t>Shadow Pokemon</t>
  </si>
  <si>
    <t>Rock Snake Pokemon</t>
  </si>
  <si>
    <t>Kicking Pokemon</t>
  </si>
  <si>
    <t>Punching Pokemon</t>
  </si>
  <si>
    <t>Dragon Pokemon</t>
  </si>
  <si>
    <t>Electric Pokemon</t>
  </si>
  <si>
    <t>Fish Pokemon</t>
  </si>
  <si>
    <t>Freeze Pokemon</t>
  </si>
  <si>
    <t>Tiny Mouse Pokemon</t>
  </si>
  <si>
    <t>Star Shape Pokemon</t>
  </si>
  <si>
    <t>Aquamouse Pokemon</t>
  </si>
  <si>
    <t>Aquarabbit Pokemon</t>
  </si>
  <si>
    <t>Water Fish Pokemon</t>
  </si>
  <si>
    <t>Symbol Pokemon</t>
  </si>
  <si>
    <t>Iron Snake Pokemon</t>
  </si>
  <si>
    <t>Singlehorn Pokemon</t>
  </si>
  <si>
    <t>Little Bear Pokemon</t>
  </si>
  <si>
    <t>Hibernator Pokemon</t>
  </si>
  <si>
    <t>Coral Pokemon</t>
  </si>
  <si>
    <t>Jet Pokemon</t>
  </si>
  <si>
    <t>Armor Pokemon</t>
  </si>
  <si>
    <t>Big Horn Pokemon</t>
  </si>
  <si>
    <t>Scuffle Pokemon</t>
  </si>
  <si>
    <t>Handstand Pokemon</t>
  </si>
  <si>
    <t>Rock Skin Pokemon</t>
  </si>
  <si>
    <t>Hard Shell Pokemon</t>
  </si>
  <si>
    <t>Time Travel Pokemon</t>
  </si>
  <si>
    <t>Polka Dot Pokemon</t>
  </si>
  <si>
    <t>Meditate Pokemon</t>
  </si>
  <si>
    <t>Cotton Bird Pokemon</t>
  </si>
  <si>
    <t>Humming Pokemon</t>
  </si>
  <si>
    <t>Tender Pokemon</t>
  </si>
  <si>
    <t>Rock Head Pokemon</t>
  </si>
  <si>
    <t>Endurance Pokemon</t>
  </si>
  <si>
    <t>Forest</t>
  </si>
  <si>
    <t>Cold</t>
  </si>
  <si>
    <t>Temperate</t>
  </si>
  <si>
    <t>Plains</t>
  </si>
  <si>
    <t>Warm</t>
  </si>
  <si>
    <t>Ocean</t>
  </si>
  <si>
    <t>Mountain</t>
  </si>
  <si>
    <t>type_1</t>
  </si>
  <si>
    <t>type_2</t>
  </si>
  <si>
    <t>pokedex_name</t>
  </si>
  <si>
    <t>atk</t>
  </si>
  <si>
    <t>def</t>
  </si>
  <si>
    <t>sp_atk</t>
  </si>
  <si>
    <t>sp_def</t>
  </si>
  <si>
    <t>spd</t>
  </si>
  <si>
    <t>Ruins</t>
  </si>
  <si>
    <t>description</t>
  </si>
  <si>
    <t>Shellos</t>
  </si>
  <si>
    <t>Gastrodon</t>
  </si>
  <si>
    <t>classification</t>
  </si>
  <si>
    <t>Tiny Leaf Pokémon</t>
  </si>
  <si>
    <t>Grove Pokémon</t>
  </si>
  <si>
    <t>Continent Pokémon</t>
  </si>
  <si>
    <t>Chimp Pokémon</t>
  </si>
  <si>
    <t>Playful Pokémon</t>
  </si>
  <si>
    <t>Flame Pokémon</t>
  </si>
  <si>
    <t>Penguin Pokémon</t>
  </si>
  <si>
    <t>Emperor Pokémon</t>
  </si>
  <si>
    <t>Starling Pokémon</t>
  </si>
  <si>
    <t>Predator Pokémon</t>
  </si>
  <si>
    <t>Plump Mouse Pokémon</t>
  </si>
  <si>
    <t>Beaver Pokémon</t>
  </si>
  <si>
    <t>Cricket Pokémon</t>
  </si>
  <si>
    <t>Flash Pokémon</t>
  </si>
  <si>
    <t>Spark Pokémon</t>
  </si>
  <si>
    <t>Gleam Eyes Pokémon</t>
  </si>
  <si>
    <t>Bud Pokémon</t>
  </si>
  <si>
    <t>Thorn Pokémon</t>
  </si>
  <si>
    <t>Bouquet Pokémon</t>
  </si>
  <si>
    <t>Head Butt Pokémon</t>
  </si>
  <si>
    <t>Shield Pokémon</t>
  </si>
  <si>
    <t>Bagworm Pokémon</t>
  </si>
  <si>
    <t>Moth Pokémon</t>
  </si>
  <si>
    <t>Tiny Bee Pokémon</t>
  </si>
  <si>
    <t>Beehive Pokémon</t>
  </si>
  <si>
    <t>EleSquirrel Pokémon</t>
  </si>
  <si>
    <t>Sea Weasel Pokémon</t>
  </si>
  <si>
    <t>Cherry Pokémon</t>
  </si>
  <si>
    <t>Blossom Pokémon</t>
  </si>
  <si>
    <t>Sea Slug Pokémon</t>
  </si>
  <si>
    <t>Long Tail Pokémon</t>
  </si>
  <si>
    <t>Balloon Pokémon</t>
  </si>
  <si>
    <t>Blimp Pokémon</t>
  </si>
  <si>
    <t>Rabbit Pokémon</t>
  </si>
  <si>
    <t>Screech Pokémon</t>
  </si>
  <si>
    <t>Magical Pokémon</t>
  </si>
  <si>
    <t>Darkness Pokémon</t>
  </si>
  <si>
    <t>Big Boss Pokémon</t>
  </si>
  <si>
    <t>Catty Pokémon</t>
  </si>
  <si>
    <t>Tiger Cat Pokémon</t>
  </si>
  <si>
    <t>Bell Pokémon</t>
  </si>
  <si>
    <t>Wind Chime Pokémon</t>
  </si>
  <si>
    <t>Skunk Pokémon</t>
  </si>
  <si>
    <t>Bronze Pokémon</t>
  </si>
  <si>
    <t>Bronze Bell Pokémon</t>
  </si>
  <si>
    <t>Bonsai Pokémon</t>
  </si>
  <si>
    <t>Imitation Pokémon</t>
  </si>
  <si>
    <t>Mime Pokémon</t>
  </si>
  <si>
    <t>Barrier Pokémon</t>
  </si>
  <si>
    <t>Playhouse Pokémon</t>
  </si>
  <si>
    <t>Egg Pokémon</t>
  </si>
  <si>
    <t>Happiness Pokémon</t>
  </si>
  <si>
    <t>Music Note Pokémon</t>
  </si>
  <si>
    <t>Forbidden Pokémon</t>
  </si>
  <si>
    <t>Land Shark Pokémon</t>
  </si>
  <si>
    <t>Cave Pokémon</t>
  </si>
  <si>
    <t>Mach Pokémon</t>
  </si>
  <si>
    <t>Big Eater Pokémon</t>
  </si>
  <si>
    <t>Sleeping Pokémon</t>
  </si>
  <si>
    <t>Emanation Pokémon</t>
  </si>
  <si>
    <t>Aura Pokémon</t>
  </si>
  <si>
    <t>Hippo Pokémon</t>
  </si>
  <si>
    <t>Heavyweight Pokémon</t>
  </si>
  <si>
    <t>Scorpion Pokémon</t>
  </si>
  <si>
    <t>Ogre Scorp Pokémon</t>
  </si>
  <si>
    <t>Toxic Mouth Pokémon</t>
  </si>
  <si>
    <t>Bug Catcher Pokémon</t>
  </si>
  <si>
    <t>Wing Fish Pokémon</t>
  </si>
  <si>
    <t>Neon Pokémon</t>
  </si>
  <si>
    <t>Kite Pokémon</t>
  </si>
  <si>
    <t>Frosted Tree Pokémon</t>
  </si>
  <si>
    <t>Sharp Claw Pokémon</t>
  </si>
  <si>
    <t>Magnet Pokémon</t>
  </si>
  <si>
    <t>Magnet Area Pokémon</t>
  </si>
  <si>
    <t>Licking Pokémon</t>
  </si>
  <si>
    <t>Spikes Pokémon</t>
  </si>
  <si>
    <t>Drill Pokémon</t>
  </si>
  <si>
    <t>Vine Pokémon</t>
  </si>
  <si>
    <t>Electric Pokémon</t>
  </si>
  <si>
    <t>Thunderbolt Pokémon</t>
  </si>
  <si>
    <t>Live Coal Pokémon</t>
  </si>
  <si>
    <t>Spitfire Pokémon</t>
  </si>
  <si>
    <t>Blast Pokémon</t>
  </si>
  <si>
    <t>Spike Ball Pokémon</t>
  </si>
  <si>
    <t>Jubilee Pokémon</t>
  </si>
  <si>
    <t>Clear Wing Pokémon</t>
  </si>
  <si>
    <t>Ogre Darner Pokémon</t>
  </si>
  <si>
    <t>Evolution Pokémon</t>
  </si>
  <si>
    <t>Bubble Jet Pokémon</t>
  </si>
  <si>
    <t>Lightning Pokémon</t>
  </si>
  <si>
    <t>Sun Pokémon</t>
  </si>
  <si>
    <t>Moonlight Pokémon</t>
  </si>
  <si>
    <t>Verdant Pokémon</t>
  </si>
  <si>
    <t>Fresh Snow Pokémon</t>
  </si>
  <si>
    <t>Flyscorpion Pokémon</t>
  </si>
  <si>
    <t>Fang Scorp Pokémon</t>
  </si>
  <si>
    <t>Pig Pokémon</t>
  </si>
  <si>
    <t>Swine Pokémon</t>
  </si>
  <si>
    <t>Twin Tusk Pokémon</t>
  </si>
  <si>
    <t>Feeling Pokémon</t>
  </si>
  <si>
    <t>Emotion Pokémon</t>
  </si>
  <si>
    <t>Embrace Pokémon</t>
  </si>
  <si>
    <t>Blade Pokémon</t>
  </si>
  <si>
    <t>Compass Pokémon</t>
  </si>
  <si>
    <t>Requiem Pokémon</t>
  </si>
  <si>
    <t>Beckon Pokémon</t>
  </si>
  <si>
    <t>Gripper Pokémon</t>
  </si>
  <si>
    <t>Snow Hat Pokémon</t>
  </si>
  <si>
    <t>Face Pokémon</t>
  </si>
  <si>
    <t>Snow Land Pokémon</t>
  </si>
  <si>
    <t>Dark Pokémon</t>
  </si>
  <si>
    <t>Disaster Pokémon</t>
  </si>
  <si>
    <t>Fish Pokémon</t>
  </si>
  <si>
    <t>Atrocious Pokémon</t>
  </si>
  <si>
    <t>Clap Pokémon</t>
  </si>
  <si>
    <t>Ball Roll Pokémon</t>
  </si>
  <si>
    <t>Ice Break Pokémon</t>
  </si>
  <si>
    <t>move_1</t>
  </si>
  <si>
    <t>move_2</t>
  </si>
  <si>
    <t>move_3</t>
  </si>
  <si>
    <t>evolve_cost</t>
  </si>
  <si>
    <t>West Ocean Shellos</t>
  </si>
  <si>
    <t>West Ocean Gastrodon</t>
  </si>
  <si>
    <t>East Ocean Shellos</t>
  </si>
  <si>
    <t>East Ocean Gastrodon</t>
  </si>
  <si>
    <t>internal_name</t>
  </si>
  <si>
    <t>evolve_into</t>
  </si>
  <si>
    <t>Iron Pokémon</t>
  </si>
  <si>
    <t>Iceberg Pokémon</t>
  </si>
  <si>
    <t>Rock Peak Pokémon</t>
  </si>
  <si>
    <t>Gratitude Pokémon</t>
  </si>
  <si>
    <t>Pitch-Black Pokémon</t>
  </si>
  <si>
    <t>Seafaring Pokémon</t>
  </si>
  <si>
    <t>Sea Drifter Pokémon</t>
  </si>
  <si>
    <t>Lunar Pokémon</t>
  </si>
  <si>
    <t>Renegade Pokémon</t>
  </si>
  <si>
    <t>Colossal Pokémon</t>
  </si>
  <si>
    <t>Lava Dome Pokémon</t>
  </si>
  <si>
    <t>Spatial Pokémon</t>
  </si>
  <si>
    <t>Temporal Pokémon</t>
  </si>
  <si>
    <t>is_legendary</t>
  </si>
  <si>
    <t>number_in_deck</t>
  </si>
  <si>
    <t>Porygon-Z</t>
  </si>
  <si>
    <t>Plasma Pokémon</t>
  </si>
  <si>
    <t>Wormadam/Mothim</t>
  </si>
  <si>
    <t>Gardevoir/Gallade</t>
  </si>
  <si>
    <t>Glalie/Froslass</t>
  </si>
  <si>
    <t>Cross Poison</t>
  </si>
  <si>
    <t>Double Hit</t>
  </si>
  <si>
    <t>female_grunt</t>
  </si>
  <si>
    <t>male_grunt</t>
  </si>
  <si>
    <t>trainer</t>
  </si>
  <si>
    <t>biome</t>
  </si>
  <si>
    <t>climate</t>
  </si>
  <si>
    <t>Chilling Acuity</t>
  </si>
  <si>
    <t>Blazing Valor</t>
  </si>
  <si>
    <t>jupiter</t>
  </si>
  <si>
    <t>mars</t>
  </si>
  <si>
    <t>saturn</t>
  </si>
  <si>
    <t>cyrus</t>
  </si>
  <si>
    <t>Spacial Rend</t>
  </si>
  <si>
    <t>Fire Blast</t>
  </si>
  <si>
    <t>Hydro Pump</t>
  </si>
  <si>
    <t>Flamethrower</t>
  </si>
  <si>
    <t>Volt Switch</t>
  </si>
  <si>
    <t>U-Turn</t>
  </si>
  <si>
    <t>Scald</t>
  </si>
  <si>
    <t>Earthquake</t>
  </si>
  <si>
    <t>Thunderbolt</t>
  </si>
  <si>
    <t>Thunder</t>
  </si>
  <si>
    <t>Giga Drain</t>
  </si>
  <si>
    <t>Blizzard</t>
  </si>
  <si>
    <t>Ice Beam</t>
  </si>
  <si>
    <t>Powder Snow</t>
  </si>
  <si>
    <t>Aura Sphere</t>
  </si>
  <si>
    <t>Close Combat</t>
  </si>
  <si>
    <t>Toxic</t>
  </si>
  <si>
    <t>Wing Attack</t>
  </si>
  <si>
    <t>Psychic</t>
  </si>
  <si>
    <t>Confusion</t>
  </si>
  <si>
    <t>Megahorn</t>
  </si>
  <si>
    <t>Stone Edge</t>
  </si>
  <si>
    <t>Rock Wrecker</t>
  </si>
  <si>
    <t>Rock Blast</t>
  </si>
  <si>
    <t>Hex</t>
  </si>
  <si>
    <t>Outrage</t>
  </si>
  <si>
    <t>Roar of Time</t>
  </si>
  <si>
    <t>Crunch</t>
  </si>
  <si>
    <t>Dark Void</t>
  </si>
  <si>
    <t>Iron Tail</t>
  </si>
  <si>
    <t>Flash Cannon</t>
  </si>
  <si>
    <t>Play Rough</t>
  </si>
  <si>
    <t>move_name</t>
  </si>
  <si>
    <t>Tackle</t>
  </si>
  <si>
    <t>Take Down</t>
  </si>
  <si>
    <t>?</t>
  </si>
  <si>
    <t>Head Smash</t>
  </si>
  <si>
    <t>Bug Bite</t>
  </si>
  <si>
    <t>Air Slash</t>
  </si>
  <si>
    <t>Attack Order</t>
  </si>
  <si>
    <t>Explosion</t>
  </si>
  <si>
    <t>Heal Bell</t>
  </si>
  <si>
    <t>Mimic</t>
  </si>
  <si>
    <t>Grass Whistle</t>
  </si>
  <si>
    <t>Night Slash</t>
  </si>
  <si>
    <t>Shadow Force</t>
  </si>
  <si>
    <t>Soft-Boiled</t>
  </si>
  <si>
    <t>Chatter</t>
  </si>
  <si>
    <t>Sand Tomb</t>
  </si>
  <si>
    <t>Body Slam</t>
  </si>
  <si>
    <t>Bite</t>
  </si>
  <si>
    <t>Revenge</t>
  </si>
  <si>
    <t>Octazooka</t>
  </si>
  <si>
    <t>Wood Hammer</t>
  </si>
  <si>
    <t>Slash</t>
  </si>
  <si>
    <t>Tri Attack</t>
  </si>
  <si>
    <t>Rollout</t>
  </si>
  <si>
    <t>Ancient Power</t>
  </si>
  <si>
    <t>Moonblast</t>
  </si>
  <si>
    <t>Magma Storm</t>
  </si>
  <si>
    <t>Seed Flare</t>
  </si>
  <si>
    <t>Hidden Power</t>
  </si>
  <si>
    <t>count</t>
  </si>
  <si>
    <t>Teleport</t>
  </si>
  <si>
    <t>Metronome</t>
  </si>
  <si>
    <t>Water Pulse</t>
  </si>
  <si>
    <t>Silcoon/Cascoon</t>
  </si>
  <si>
    <t>Perish Song</t>
  </si>
  <si>
    <t>move_4</t>
  </si>
  <si>
    <t>Judgement</t>
  </si>
  <si>
    <t>Poltergeist</t>
  </si>
  <si>
    <t>Confuse Ray</t>
  </si>
  <si>
    <t>typeless</t>
  </si>
  <si>
    <t>Space</t>
  </si>
  <si>
    <t>Splash</t>
  </si>
  <si>
    <t>Team Galactic Grunt</t>
  </si>
  <si>
    <t>Commander Jupiter</t>
  </si>
  <si>
    <t>Commander Mars</t>
  </si>
  <si>
    <t>Commander Saturn</t>
  </si>
  <si>
    <t>health</t>
  </si>
  <si>
    <t>initiative</t>
  </si>
  <si>
    <t>total</t>
  </si>
  <si>
    <t>grunt</t>
  </si>
  <si>
    <t>commander</t>
  </si>
  <si>
    <t>boss</t>
  </si>
  <si>
    <t>Heavy Slam</t>
  </si>
  <si>
    <t>Choose any learnable type of the user as the type of this attack.</t>
  </si>
  <si>
    <t>High Jump Kick</t>
  </si>
  <si>
    <t>Triple Kick</t>
  </si>
  <si>
    <t>Hitmonlee/Hitmonchan/Hitmontop</t>
  </si>
  <si>
    <t>Thrash</t>
  </si>
  <si>
    <t>Thunder Shock</t>
  </si>
  <si>
    <t>Shocking Verity</t>
  </si>
  <si>
    <t>Sheer Cold</t>
  </si>
  <si>
    <t>Sky Attack</t>
  </si>
  <si>
    <t>Zap Cannon</t>
  </si>
  <si>
    <t>is_starter</t>
  </si>
  <si>
    <t>min_total</t>
  </si>
  <si>
    <t>max_total</t>
  </si>
  <si>
    <t>Critical hits deal +1 damage.</t>
  </si>
  <si>
    <t>Status symbols deal +1 damage.</t>
  </si>
  <si>
    <t>Cyrus</t>
  </si>
  <si>
    <t>Surf</t>
  </si>
  <si>
    <t>Force Palm</t>
  </si>
  <si>
    <t>variance</t>
  </si>
  <si>
    <t>Acrobatics</t>
  </si>
  <si>
    <t>Double-Edge</t>
  </si>
  <si>
    <t>Mystical Fire</t>
  </si>
  <si>
    <t>Headbutt</t>
  </si>
  <si>
    <t>Bulldoze</t>
  </si>
  <si>
    <t>Twister</t>
  </si>
  <si>
    <t>Dragon Rush</t>
  </si>
  <si>
    <t>encounter_tier</t>
  </si>
  <si>
    <t>_initiative</t>
  </si>
  <si>
    <t>_health</t>
  </si>
  <si>
    <t>Knowledge Pokémon</t>
  </si>
  <si>
    <t>Willpower Pokémon</t>
  </si>
  <si>
    <t>Alpha Pokémon</t>
  </si>
  <si>
    <t>Virtual Pokémon</t>
  </si>
  <si>
    <t>Metal Claw</t>
  </si>
  <si>
    <t>Leaf Storm</t>
  </si>
  <si>
    <t>Ice Punch</t>
  </si>
  <si>
    <t>Bug Buzz</t>
  </si>
  <si>
    <t>Razor Leaf</t>
  </si>
  <si>
    <t>Water Gun</t>
  </si>
  <si>
    <t>weak</t>
  </si>
  <si>
    <t>moderate</t>
  </si>
  <si>
    <t>strong</t>
  </si>
  <si>
    <t>Hoothoot</t>
  </si>
  <si>
    <t>Noctowl</t>
  </si>
  <si>
    <t>Owl Pokémon</t>
  </si>
  <si>
    <t>Wingull</t>
  </si>
  <si>
    <t>Pelipper</t>
  </si>
  <si>
    <t>Seagull Pokémon</t>
  </si>
  <si>
    <t>Water Bird Pokémon</t>
  </si>
  <si>
    <t>Spit Up</t>
  </si>
  <si>
    <t>Girafarig</t>
  </si>
  <si>
    <t>Long Neck Pokémon</t>
  </si>
  <si>
    <t>Tentacool</t>
  </si>
  <si>
    <t>Tentacruel</t>
  </si>
  <si>
    <t>Jellyfish Pokémon</t>
  </si>
  <si>
    <t>Sludge Wave</t>
  </si>
  <si>
    <t>Barboach</t>
  </si>
  <si>
    <t>Whiscash</t>
  </si>
  <si>
    <t>Whiskers Pokémon</t>
  </si>
  <si>
    <t>Psyduck</t>
  </si>
  <si>
    <t>Golduck</t>
  </si>
  <si>
    <t>Duck Pokémon</t>
  </si>
  <si>
    <t>Goldeen</t>
  </si>
  <si>
    <t>Seaking</t>
  </si>
  <si>
    <t>Goldfish Pokémon</t>
  </si>
  <si>
    <t>Aurora Beam</t>
  </si>
  <si>
    <t>pokemon</t>
  </si>
  <si>
    <t>moves</t>
  </si>
  <si>
    <t>ratio</t>
  </si>
  <si>
    <t>Nuzzle</t>
  </si>
  <si>
    <t>Inflict the Confused status on the target.</t>
  </si>
  <si>
    <t>Flip Turn</t>
  </si>
  <si>
    <t>Select a move from the target and then attack the target with this move.</t>
  </si>
  <si>
    <t>Choose any type, this attack becomes the chosen type.</t>
  </si>
  <si>
    <t>Ice Fang</t>
  </si>
  <si>
    <t>Critical hits deal +1 damage but status symbols deal -1 damage.</t>
  </si>
  <si>
    <t>Smack Down</t>
  </si>
  <si>
    <t>Hostile Pokémon</t>
  </si>
  <si>
    <t>Basculin</t>
  </si>
  <si>
    <t>Aqua Jet</t>
  </si>
  <si>
    <t>Scyther</t>
  </si>
  <si>
    <t>Mantis Pokémon</t>
  </si>
  <si>
    <t>Scizor</t>
  </si>
  <si>
    <t>Pincer Pokémon</t>
  </si>
  <si>
    <t>X-Scissor</t>
  </si>
  <si>
    <t>Bullet Punch</t>
  </si>
  <si>
    <t>Sylveon</t>
  </si>
  <si>
    <t>Intertwining Pokémon</t>
  </si>
  <si>
    <t>Vaporeon/Jolteon/Flareon/Espeon/Umbreon/Leafeon/Glaceon/Sylveon</t>
  </si>
  <si>
    <t>Voltorb</t>
  </si>
  <si>
    <t>Electrode</t>
  </si>
  <si>
    <t>Ball Pokémon</t>
  </si>
  <si>
    <t>Electro Ball</t>
  </si>
  <si>
    <t>Poison Fang</t>
  </si>
  <si>
    <t>Inflict the Poisoned status on the target.</t>
  </si>
  <si>
    <t>Zorua</t>
  </si>
  <si>
    <t>Zoroark</t>
  </si>
  <si>
    <t>Tricky Fox Pokémon</t>
  </si>
  <si>
    <t>Illusion Fox Pokémon</t>
  </si>
  <si>
    <t>Night Daze</t>
  </si>
  <si>
    <t>When the target next attacks, status symbols deal -1 damage.</t>
  </si>
  <si>
    <t>Rufflet</t>
  </si>
  <si>
    <t>Braviary</t>
  </si>
  <si>
    <t>Eaglet Pokémon</t>
  </si>
  <si>
    <t>Valiant Pokémon</t>
  </si>
  <si>
    <t>Brave Bird</t>
  </si>
  <si>
    <t>Mimikyu</t>
  </si>
  <si>
    <t>Disguise Pokémon</t>
  </si>
  <si>
    <t>Wild Charge</t>
  </si>
  <si>
    <t>Inflict the Burned status on the target.</t>
  </si>
  <si>
    <t>Shuffle the Evolution Pokémon deck and then attack the target with the top move of the deck.</t>
  </si>
  <si>
    <t>Crystallizing Pokémon</t>
  </si>
  <si>
    <t>Cryogonal</t>
  </si>
  <si>
    <t>Ice Chunk Pokémon</t>
  </si>
  <si>
    <t>Bergmite</t>
  </si>
  <si>
    <t>Avalugg</t>
  </si>
  <si>
    <t>Avalanche</t>
  </si>
  <si>
    <t>Ominous Wind</t>
  </si>
  <si>
    <t>Fire Fang</t>
  </si>
  <si>
    <t>Flare Blitz</t>
  </si>
  <si>
    <t>Dhelmise</t>
  </si>
  <si>
    <t>Sea Creeper Pokémon</t>
  </si>
  <si>
    <t>Anchor Shot</t>
  </si>
  <si>
    <t>Encore</t>
  </si>
  <si>
    <t>Shell Trap</t>
  </si>
  <si>
    <t>Turtonator</t>
  </si>
  <si>
    <t>Blast Turtle Pokémon</t>
  </si>
  <si>
    <t>Nihilego</t>
  </si>
  <si>
    <t>Parasite Pokémon</t>
  </si>
  <si>
    <t>Chomp</t>
  </si>
  <si>
    <t>Neurotoxin</t>
  </si>
  <si>
    <t>Buzzwole</t>
  </si>
  <si>
    <t>Pheromosa</t>
  </si>
  <si>
    <t>Xurkitree</t>
  </si>
  <si>
    <t>Celesteela</t>
  </si>
  <si>
    <t>Launch Pokémon</t>
  </si>
  <si>
    <t>Glowing Pokémon</t>
  </si>
  <si>
    <t>Lissome Pokémon</t>
  </si>
  <si>
    <t>Swollen Pokémon</t>
  </si>
  <si>
    <t>Kartana</t>
  </si>
  <si>
    <t>Drawn Sword Pokémon</t>
  </si>
  <si>
    <t>Junkivore Pokémon</t>
  </si>
  <si>
    <t>Guzzlord</t>
  </si>
  <si>
    <t>Stakataka</t>
  </si>
  <si>
    <t>Blacephalon</t>
  </si>
  <si>
    <t>Rampart Pokémon</t>
  </si>
  <si>
    <t>Fireworks Pokémon</t>
  </si>
  <si>
    <t>Mind Blown</t>
  </si>
  <si>
    <t>Stinging Punch</t>
  </si>
  <si>
    <t>Power Plant</t>
  </si>
  <si>
    <t>Infatuate</t>
  </si>
  <si>
    <t>Lift Off</t>
  </si>
  <si>
    <t>Overcut</t>
  </si>
  <si>
    <t>Seismic Toss</t>
  </si>
  <si>
    <t>Hidden Punch</t>
  </si>
  <si>
    <t>Dazzling Gleam</t>
  </si>
  <si>
    <t>Litwick</t>
  </si>
  <si>
    <t>Lampent</t>
  </si>
  <si>
    <t>Chandelure</t>
  </si>
  <si>
    <t>Candle Pokémon</t>
  </si>
  <si>
    <t>Lamp Pokémon</t>
  </si>
  <si>
    <t>Luring Pokémon</t>
  </si>
  <si>
    <t>Inflict the Drowsy status on the target.</t>
  </si>
  <si>
    <t>Inflict the Frozen status on the target.</t>
  </si>
  <si>
    <t>Mud Bomb</t>
  </si>
  <si>
    <t>Headlong Rush</t>
  </si>
  <si>
    <t>Mach Punch</t>
  </si>
  <si>
    <t>Cyndaquil</t>
  </si>
  <si>
    <t>Fire Mouse Pokémon</t>
  </si>
  <si>
    <t>Quilava</t>
  </si>
  <si>
    <t>Volcano Pokémon</t>
  </si>
  <si>
    <t>Flame Wheel</t>
  </si>
  <si>
    <t>Quick Attack</t>
  </si>
  <si>
    <t>Will-O-Wisp</t>
  </si>
  <si>
    <t>Inferno</t>
  </si>
  <si>
    <t>Typhlosion</t>
  </si>
  <si>
    <t>Eruption</t>
  </si>
  <si>
    <t>Rowlet</t>
  </si>
  <si>
    <t>Grass Quill Pokémon</t>
  </si>
  <si>
    <t>Peck</t>
  </si>
  <si>
    <t>Leaf Blade</t>
  </si>
  <si>
    <t>Decidueye</t>
  </si>
  <si>
    <t>Blade Quill Pokémon</t>
  </si>
  <si>
    <t>Arrow Quill Pokémon</t>
  </si>
  <si>
    <t>Spirit Shackle</t>
  </si>
  <si>
    <t>Oshawott</t>
  </si>
  <si>
    <t>Sea Otter Pokémon</t>
  </si>
  <si>
    <t>Dewott</t>
  </si>
  <si>
    <t>Discipline Pokémon</t>
  </si>
  <si>
    <t>Formidable Pokémon</t>
  </si>
  <si>
    <t>Samurott</t>
  </si>
  <si>
    <t>Razor Shell</t>
  </si>
  <si>
    <t>Venoshock</t>
  </si>
  <si>
    <t>i_mod</t>
  </si>
  <si>
    <t>h_mod</t>
  </si>
  <si>
    <t>Prism Pokémon</t>
  </si>
  <si>
    <t>Prismatic Laser</t>
  </si>
  <si>
    <t>Regular hits deal +1 damage.</t>
  </si>
  <si>
    <t>Status symbols deal -2 damage.</t>
  </si>
  <si>
    <t>Porygon</t>
  </si>
  <si>
    <t>Conversion</t>
  </si>
  <si>
    <t>Conversion 2</t>
  </si>
  <si>
    <t>Porygon2</t>
  </si>
  <si>
    <t>Paras</t>
  </si>
  <si>
    <t>Mushroom Pokémon</t>
  </si>
  <si>
    <t>Spore</t>
  </si>
  <si>
    <t>Parasect</t>
  </si>
  <si>
    <t>Barb Barrage</t>
  </si>
  <si>
    <t>Goomy</t>
  </si>
  <si>
    <t>Soft Tissue Pokémon</t>
  </si>
  <si>
    <t>Shelter</t>
  </si>
  <si>
    <t>Dragon Pulse</t>
  </si>
  <si>
    <t>Sliggoo</t>
  </si>
  <si>
    <t>Goodra</t>
  </si>
  <si>
    <t>Petilil</t>
  </si>
  <si>
    <t>Bulb Pokémon</t>
  </si>
  <si>
    <t>Lilligant</t>
  </si>
  <si>
    <t>Flowering Pokémon</t>
  </si>
  <si>
    <t>Stun Spore</t>
  </si>
  <si>
    <t>Wave Crash</t>
  </si>
  <si>
    <t>Raging Fury</t>
  </si>
  <si>
    <t>Inflict the Paralysed status on the target.</t>
  </si>
  <si>
    <t>Synthetic Pokémon</t>
  </si>
  <si>
    <t>Silvally</t>
  </si>
  <si>
    <t>Multi-Attack</t>
  </si>
  <si>
    <t>For each fainted Pokémon in your party: Attack strength is increased by 1.</t>
  </si>
  <si>
    <t>For each other non-fainted Pokémon in your party with the move Surf: Attack strength is increased by 1.</t>
  </si>
  <si>
    <t>Ultra Beast</t>
  </si>
  <si>
    <t>Ancient Acuity Form</t>
  </si>
  <si>
    <t>Ancient Verity Form</t>
  </si>
  <si>
    <t>Ancient Valor Form</t>
  </si>
  <si>
    <t>If the target faints, any remaining damage from this attack is applied to the next Pokémon switched in.</t>
  </si>
  <si>
    <t>ultra_beast</t>
  </si>
  <si>
    <t>Noble</t>
  </si>
  <si>
    <t>Poipole</t>
  </si>
  <si>
    <t>Poison Pin Pokémon</t>
  </si>
  <si>
    <t>Naganadel</t>
  </si>
  <si>
    <t>uncapturable</t>
  </si>
  <si>
    <t>Ultra Necrozma</t>
  </si>
  <si>
    <t>ultra_burst</t>
  </si>
  <si>
    <t>Choose any learnable type of the user as the type of this attack. Ignores the effects of Prism Armour.</t>
  </si>
  <si>
    <t>Qwilfish</t>
  </si>
  <si>
    <t>Dartrix</t>
  </si>
  <si>
    <t>Necrozma</t>
  </si>
  <si>
    <t>800-m</t>
  </si>
  <si>
    <t>800-dw</t>
  </si>
  <si>
    <t>800-dm</t>
  </si>
  <si>
    <t>Phase 1</t>
  </si>
  <si>
    <t>Dusk Mane Necrozma</t>
  </si>
  <si>
    <t>Dawn Wings Necrozma</t>
  </si>
  <si>
    <t>Searing Sunraze</t>
  </si>
  <si>
    <t>Menacing Moonraze</t>
  </si>
  <si>
    <t>Photon Geyser</t>
  </si>
  <si>
    <t>Inflict the Frozen status on the target. If the target is already Frozen, this move deals double damage.</t>
  </si>
  <si>
    <t>Inflict the Burned status on the target. If the target is already Burned, this move deals double damage.</t>
  </si>
  <si>
    <t>Phase 2 - Dusk Mane Form</t>
  </si>
  <si>
    <t>Phase 2 - Dawn Wings Form</t>
  </si>
  <si>
    <t>Phase 3 - Ultra Burst Form</t>
  </si>
  <si>
    <t>Kinesis</t>
  </si>
  <si>
    <t>Copy the effect of a move the user or target knows.</t>
  </si>
  <si>
    <t>Ember</t>
  </si>
  <si>
    <t>Lava Plume</t>
  </si>
  <si>
    <t>Foul Play</t>
  </si>
  <si>
    <t>Copy the attack strength of a move the target knows. Minimum 1 attack strength.</t>
  </si>
  <si>
    <t>If the user faints when it is next attacked, the user may use a final move before fainting.</t>
  </si>
  <si>
    <t>Muddy Water</t>
  </si>
  <si>
    <t>Steel Wing</t>
  </si>
  <si>
    <t>Psyshield Bash</t>
  </si>
  <si>
    <t>Shadow Sneak</t>
  </si>
  <si>
    <t>Attack strength is equal to half the base health of the user, rounded down. Maximum 5 attack strength.</t>
  </si>
  <si>
    <t>Attack strength is equal to half the current initiative of the user, rounded down. Maximum 5 attack strength.</t>
  </si>
  <si>
    <t>Inkay</t>
  </si>
  <si>
    <t>Revolving Pokémon</t>
  </si>
  <si>
    <t>Malamar</t>
  </si>
  <si>
    <t>Overturning Pokémon</t>
  </si>
  <si>
    <t>Topsy-Turvy</t>
  </si>
  <si>
    <t>Psycho Cut</t>
  </si>
  <si>
    <t>Tynamo</t>
  </si>
  <si>
    <t>Eelektrik</t>
  </si>
  <si>
    <t>Eelektross</t>
  </si>
  <si>
    <t>EleFish Pokémon</t>
  </si>
  <si>
    <t>Charge Beam</t>
  </si>
  <si>
    <t>Ion Deluge</t>
  </si>
  <si>
    <t>Coil</t>
  </si>
  <si>
    <t>Elgyem</t>
  </si>
  <si>
    <t>Beheeyem</t>
  </si>
  <si>
    <t>Cerebral Pokémon</t>
  </si>
  <si>
    <t>Imprison</t>
  </si>
  <si>
    <t>Future Sight</t>
  </si>
  <si>
    <t>Morelull</t>
  </si>
  <si>
    <t>Illuminating Pokémon</t>
  </si>
  <si>
    <t>Shiinotic</t>
  </si>
  <si>
    <t>Moonlight</t>
  </si>
  <si>
    <t>Barrier</t>
  </si>
  <si>
    <t>Struggle Bug</t>
  </si>
  <si>
    <t>Sweet Scent</t>
  </si>
  <si>
    <t>Solar Beam</t>
  </si>
  <si>
    <t>Flower Shield</t>
  </si>
  <si>
    <t>Sweet Kiss</t>
  </si>
  <si>
    <t>Flail</t>
  </si>
  <si>
    <t>For every 2 damage taken by the user: Increase attack strength by 1.</t>
  </si>
  <si>
    <t>Bug Trap</t>
  </si>
  <si>
    <t>Poison Jab</t>
  </si>
  <si>
    <t>Poison Sting</t>
  </si>
  <si>
    <t>On the next attack or capture roll against the target, status symbols deal +1 damage.</t>
  </si>
  <si>
    <t>Calm Mind</t>
  </si>
  <si>
    <t>Deal extra damage equal to your current battle fatigue and then reset your battle fatigue to 0.</t>
  </si>
  <si>
    <t>Attack strength is equal to the current health of the user. Maximum 7 attack strength.</t>
  </si>
  <si>
    <t>Whirlpool</t>
  </si>
  <si>
    <t xml:space="preserve">During this attack and when the user is next attacked, status symbols deal +1 damage. </t>
  </si>
  <si>
    <t>Extreme Speed</t>
  </si>
  <si>
    <t>If the user knows another Electric-type move, deal 2 extra damage.</t>
  </si>
  <si>
    <t>If the user knows another Fire-type move, deal 2 extra damage.</t>
  </si>
  <si>
    <t>Critical hits deal +2 damage but for each critical hit rolled: The user takes 2 damage.</t>
  </si>
  <si>
    <t>Critical hits deal +2 damage but for each critical hit rolled: The user takes 1 damage.</t>
  </si>
  <si>
    <t>trainer_class</t>
  </si>
  <si>
    <t>ability_1_name</t>
  </si>
  <si>
    <t>ability_1_description</t>
  </si>
  <si>
    <t>ability_2_name</t>
  </si>
  <si>
    <t>ability_2_description</t>
  </si>
  <si>
    <t>Fisherman</t>
  </si>
  <si>
    <t>Super Rod</t>
  </si>
  <si>
    <t>Pokémon Breeder</t>
  </si>
  <si>
    <t>Egg Move</t>
  </si>
  <si>
    <t>When evolving a Weak Pokémon, you may instead teach the move of its evolution to the pre-evolution as an Egg Move. This Pokémon can no longer evolve.</t>
  </si>
  <si>
    <t>Ace Trainer</t>
  </si>
  <si>
    <t>Team Builder</t>
  </si>
  <si>
    <t>Competitive Edge</t>
  </si>
  <si>
    <t>Hiker</t>
  </si>
  <si>
    <t>Hiking Gear</t>
  </si>
  <si>
    <t>Sturdy Footing</t>
  </si>
  <si>
    <t>Bug Catcher</t>
  </si>
  <si>
    <t>Swimmer</t>
  </si>
  <si>
    <t>Collector</t>
  </si>
  <si>
    <t>Scientist</t>
  </si>
  <si>
    <t>Field Observation</t>
  </si>
  <si>
    <t>Weakness Analysis</t>
  </si>
  <si>
    <t>Lady</t>
  </si>
  <si>
    <t>Noble Heritage</t>
  </si>
  <si>
    <t>Hex Maniac</t>
  </si>
  <si>
    <t>Kindler</t>
  </si>
  <si>
    <t>Unstable Magic</t>
  </si>
  <si>
    <t>Black Belt</t>
  </si>
  <si>
    <t>Dragon Tamer</t>
  </si>
  <si>
    <t>Swift Swim</t>
  </si>
  <si>
    <t>Apex Hatchling</t>
  </si>
  <si>
    <t>Gather Firewood</t>
  </si>
  <si>
    <t>Burning Ignition</t>
  </si>
  <si>
    <t>Apex Strength</t>
  </si>
  <si>
    <t>Poké Maniac</t>
  </si>
  <si>
    <t>Pokémon Ranger</t>
  </si>
  <si>
    <t>Team Rocket</t>
  </si>
  <si>
    <t>Pokémon Thief</t>
  </si>
  <si>
    <t>Blasting Off</t>
  </si>
  <si>
    <t>When one of your Pokémon faints, deal 2 damage to the opposing Pokémon. If you are out of usable Pokémon, you may travel to any tile on the map and are automatically fully restored at the start of your next turn.</t>
  </si>
  <si>
    <t>Ruin Maniac</t>
  </si>
  <si>
    <t>Artifact Expert</t>
  </si>
  <si>
    <t>Team Aqua</t>
  </si>
  <si>
    <t>Team Magma</t>
  </si>
  <si>
    <t>Primordial Sea</t>
  </si>
  <si>
    <t>Desolate Land</t>
  </si>
  <si>
    <t>Pokémon Ranch</t>
  </si>
  <si>
    <t>Natural Remedy</t>
  </si>
  <si>
    <t>Expert</t>
  </si>
  <si>
    <t>Bird Keeper</t>
  </si>
  <si>
    <t>Bird Whistle</t>
  </si>
  <si>
    <t>Shrine Keeper</t>
  </si>
  <si>
    <t>Super Training</t>
  </si>
  <si>
    <t>Submarine Dive</t>
  </si>
  <si>
    <t>Magma Tunnels</t>
  </si>
  <si>
    <t>Telekinetic Reach</t>
  </si>
  <si>
    <t>Delinquent</t>
  </si>
  <si>
    <t>Youngster</t>
  </si>
  <si>
    <t>Intimidating Posture</t>
  </si>
  <si>
    <t>Triathlete</t>
  </si>
  <si>
    <t>Triple Threat</t>
  </si>
  <si>
    <t>Gentleman</t>
  </si>
  <si>
    <t>Interviewers</t>
  </si>
  <si>
    <t>Big Scoop</t>
  </si>
  <si>
    <t>Ninja Boy</t>
  </si>
  <si>
    <t>Surprise Attack</t>
  </si>
  <si>
    <t>Artist</t>
  </si>
  <si>
    <t>Fairy Tale Girl</t>
  </si>
  <si>
    <t>Detailed Sketch</t>
  </si>
  <si>
    <t>After defeating a wild Pokémon, you may teach its move to any Pokémon in your party regardless of their learnable move types.</t>
  </si>
  <si>
    <t>Finished Masterpiece</t>
  </si>
  <si>
    <t>Legendary Protector</t>
  </si>
  <si>
    <t>Aroma Lady</t>
  </si>
  <si>
    <t>Inflict the Poisoned status on the target. When the user is next attacked, remove 2 regular hits from the roll.</t>
  </si>
  <si>
    <t>Wishing Star</t>
  </si>
  <si>
    <t>Spell Caster</t>
  </si>
  <si>
    <t>Cherish Ball</t>
  </si>
  <si>
    <t>Beauty</t>
  </si>
  <si>
    <t>Lady Luck</t>
  </si>
  <si>
    <t>Guitarist</t>
  </si>
  <si>
    <t>Poké Fan</t>
  </si>
  <si>
    <t>Cute Charm</t>
  </si>
  <si>
    <t>Natural Charisma</t>
  </si>
  <si>
    <t>Amplifier Overload</t>
  </si>
  <si>
    <t>Worker</t>
  </si>
  <si>
    <t>Veteran</t>
  </si>
  <si>
    <t>Lunar Blessing</t>
  </si>
  <si>
    <t>Bubble Beam</t>
  </si>
  <si>
    <t>Lick</t>
  </si>
  <si>
    <t>Parasol Lady</t>
  </si>
  <si>
    <t>Weather Forecast</t>
  </si>
  <si>
    <t>Utility Umbrella</t>
  </si>
  <si>
    <t>Amulet Coin</t>
  </si>
  <si>
    <t>Stamp Collector</t>
  </si>
  <si>
    <t>Pokémon Collector</t>
  </si>
  <si>
    <t>Gale Force</t>
  </si>
  <si>
    <t>Scuba Diver</t>
  </si>
  <si>
    <t>Sunken Treasure</t>
  </si>
  <si>
    <t>Road Works</t>
  </si>
  <si>
    <t>Ramp Up</t>
  </si>
  <si>
    <t>When you attack with an Electric-type move, you may double the value of your Amplifier dice when its used. Afterwards, you can no longer use your Amplifier dice during this battle.</t>
  </si>
  <si>
    <t>Scuba Dive</t>
  </si>
  <si>
    <t>Picnicker</t>
  </si>
  <si>
    <t>Sky Trainer</t>
  </si>
  <si>
    <t>Gardener</t>
  </si>
  <si>
    <t>Roller Skater</t>
  </si>
  <si>
    <t>Chef</t>
  </si>
  <si>
    <t>Tourist</t>
  </si>
  <si>
    <t>Landmark Tour</t>
  </si>
  <si>
    <t>Pokémon Disguise</t>
  </si>
  <si>
    <t>Backpacker</t>
  </si>
  <si>
    <t>Wing Suit</t>
  </si>
  <si>
    <t>Wilderness Expert</t>
  </si>
  <si>
    <t>Once per turn, you may move up to 2 non-Mountain tiles in a row for free.</t>
  </si>
  <si>
    <t>Will there be more, less or an equal amount of critical hits rolled than status symbols? If incorrect, deal -3 damage.</t>
  </si>
  <si>
    <t>Trimmed Form</t>
  </si>
  <si>
    <t>Pick Apricorn</t>
  </si>
  <si>
    <t>Civil Engineer</t>
  </si>
  <si>
    <t>Masterwork Stew</t>
  </si>
  <si>
    <t>Ingredient Expert</t>
  </si>
  <si>
    <t>Protective Gear</t>
  </si>
  <si>
    <t>Roller Skates</t>
  </si>
  <si>
    <t>Picnic Basket</t>
  </si>
  <si>
    <t>When the user is next attacked, remove 2 regular hits from the roll.</t>
  </si>
  <si>
    <t>483-o</t>
  </si>
  <si>
    <t>484-o</t>
  </si>
  <si>
    <t>487-o</t>
  </si>
  <si>
    <t>state</t>
  </si>
  <si>
    <t>move_type</t>
  </si>
  <si>
    <t>move_attack_strength</t>
  </si>
  <si>
    <t>Origin Giratina</t>
  </si>
  <si>
    <t>Overheat</t>
  </si>
  <si>
    <t>Fan Rotom</t>
  </si>
  <si>
    <t>Frost Rotom</t>
  </si>
  <si>
    <t>Heat Rotom</t>
  </si>
  <si>
    <t>Mow Rotom</t>
  </si>
  <si>
    <t>Wash Rotom</t>
  </si>
  <si>
    <t>Sky Shaymin</t>
  </si>
  <si>
    <t>492-s</t>
  </si>
  <si>
    <t>479-s</t>
  </si>
  <si>
    <t>479-f</t>
  </si>
  <si>
    <t>479-h</t>
  </si>
  <si>
    <t>479-m</t>
  </si>
  <si>
    <t>479-w</t>
  </si>
  <si>
    <t>Honedge</t>
  </si>
  <si>
    <t>Sword Pokémon</t>
  </si>
  <si>
    <t>Doublade</t>
  </si>
  <si>
    <t>Aegislash</t>
  </si>
  <si>
    <t>Royal Sword Pokémon</t>
  </si>
  <si>
    <t>Sacred Sword</t>
  </si>
  <si>
    <t>681-b</t>
  </si>
  <si>
    <t>Blade Aegislash</t>
  </si>
  <si>
    <t>King's Blade</t>
  </si>
  <si>
    <t>King's Shield</t>
  </si>
  <si>
    <t>move_effect</t>
  </si>
  <si>
    <t>move_power</t>
  </si>
  <si>
    <t>Sandy Wormadam</t>
  </si>
  <si>
    <t>Trash Wormadam</t>
  </si>
  <si>
    <t>413-c</t>
  </si>
  <si>
    <t>413-t</t>
  </si>
  <si>
    <t>Adaptive Cloak</t>
  </si>
  <si>
    <t>421-s</t>
  </si>
  <si>
    <t>422-e</t>
  </si>
  <si>
    <t>423-e</t>
  </si>
  <si>
    <t>389-n</t>
  </si>
  <si>
    <t>392-n</t>
  </si>
  <si>
    <t>395-n</t>
  </si>
  <si>
    <t>398-n</t>
  </si>
  <si>
    <t>405-n</t>
  </si>
  <si>
    <t>468-n</t>
  </si>
  <si>
    <t>473-n</t>
  </si>
  <si>
    <t>477-n</t>
  </si>
  <si>
    <t>480-x</t>
  </si>
  <si>
    <t>481-x</t>
  </si>
  <si>
    <t>482-x</t>
  </si>
  <si>
    <t>Take Heart</t>
  </si>
  <si>
    <t>Sunshine Cherrim</t>
  </si>
  <si>
    <t>Gather Sunlight</t>
  </si>
  <si>
    <t>Sunshine Form</t>
  </si>
  <si>
    <t>Fan Form</t>
  </si>
  <si>
    <t>Frost Form</t>
  </si>
  <si>
    <t>Heat Form</t>
  </si>
  <si>
    <t>Mow Form</t>
  </si>
  <si>
    <t>Wash Form</t>
  </si>
  <si>
    <t>Shield Form</t>
  </si>
  <si>
    <t>Blade Form</t>
  </si>
  <si>
    <t>Sky Form</t>
  </si>
  <si>
    <t>Sandy Cloak Form</t>
  </si>
  <si>
    <t>Trash Cloak Form</t>
  </si>
  <si>
    <t>Overcast Form</t>
  </si>
  <si>
    <t>Plant Cloak Form</t>
  </si>
  <si>
    <t>Noble Form</t>
  </si>
  <si>
    <t>407-n</t>
  </si>
  <si>
    <t>26-n</t>
  </si>
  <si>
    <t>68-n</t>
  </si>
  <si>
    <t>365-n</t>
  </si>
  <si>
    <t>474-n</t>
  </si>
  <si>
    <t>609-n</t>
  </si>
  <si>
    <t>724-n</t>
  </si>
  <si>
    <t>157-n</t>
  </si>
  <si>
    <t>503-n</t>
  </si>
  <si>
    <t>804-n</t>
  </si>
  <si>
    <t>Dual Chop</t>
  </si>
  <si>
    <t>Bulk Up</t>
  </si>
  <si>
    <t>Hyper Beam</t>
  </si>
  <si>
    <t>The dice rolled by this attack cannot be replaced or removed by any effect.</t>
  </si>
  <si>
    <t>Critical hits deal +2 damage.</t>
  </si>
  <si>
    <t>Heal 1 damage and all status effects from the user and from all Pokémon in your party.</t>
  </si>
  <si>
    <t>When the target is next attacked, add 1 critical hit to the roll.</t>
  </si>
  <si>
    <t>When the user is next attacked, remove 1 critical hit from the roll.</t>
  </si>
  <si>
    <t>When the user is next attacked, the attacker takes 5 damage if any critical hits are rolled.</t>
  </si>
  <si>
    <t>If 2 or more status symbols are rolled: Deal 2 damage to a Pokémon in the target party that is not the target.</t>
  </si>
  <si>
    <t>If 2 or more status symbols are rolled: Inflict the Burned status on the target.</t>
  </si>
  <si>
    <t>If 2 or more status symbols are rolled: Inflict the Drowsy status on the target.</t>
  </si>
  <si>
    <t>If 2 or more status symbols are rolled: Inflict the Frozen status on the target.</t>
  </si>
  <si>
    <t>If 2 or more status symbols are rolled: Inflict the Paralysed status on the target.</t>
  </si>
  <si>
    <t>If 2 or more status symbols are rolled: Inflict the Poisoned status on the target.</t>
  </si>
  <si>
    <t>If 2 or more status symbols are rolled: Deal 2 damage to all Pokémon in the target party that is not the target.</t>
  </si>
  <si>
    <t>When the target next attacks, remove 1 regular hit from the roll.</t>
  </si>
  <si>
    <t>When the target is next attacked, add 1 regular hit to the roll.</t>
  </si>
  <si>
    <t>When the user is next attacked, remove 1 regular hit from the roll.</t>
  </si>
  <si>
    <t>Darumaka</t>
  </si>
  <si>
    <t>Zen Charm Pokémon</t>
  </si>
  <si>
    <t>Darmanitan</t>
  </si>
  <si>
    <t>555-d</t>
  </si>
  <si>
    <t>Blazing Pokémon</t>
  </si>
  <si>
    <t>Chest Thump</t>
  </si>
  <si>
    <t>Blazing Form</t>
  </si>
  <si>
    <t>Zen Restoration</t>
  </si>
  <si>
    <t>Uproar</t>
  </si>
  <si>
    <t>Zen Form</t>
  </si>
  <si>
    <t>Zen Darmanitan</t>
  </si>
  <si>
    <t>Draining Kiss</t>
  </si>
  <si>
    <t>Deals 2 extra damage to Flying-type Pokémon.</t>
  </si>
  <si>
    <t>Status symbols deal +1 damage. Heal any Drowsy status effects from the user and the target.</t>
  </si>
  <si>
    <t>Skrelp</t>
  </si>
  <si>
    <t>Dragalge</t>
  </si>
  <si>
    <t>Mock Kelp Pokémon</t>
  </si>
  <si>
    <t>Poison Tail</t>
  </si>
  <si>
    <t>Inflict the Poisoned status on the target. Critical hits deal +1 damage.</t>
  </si>
  <si>
    <t>Morpeko</t>
  </si>
  <si>
    <t>Two-Sided Pokémon</t>
  </si>
  <si>
    <t>877-h</t>
  </si>
  <si>
    <t>Hangry Morpeko</t>
  </si>
  <si>
    <t>Hangry Form</t>
  </si>
  <si>
    <t>Full Belly Form</t>
  </si>
  <si>
    <t>Electro Wheel</t>
  </si>
  <si>
    <t>Hangry Wheel</t>
  </si>
  <si>
    <t>Your Pokémon that were taught an Egg Move gain +5 health and +5 initiative.</t>
  </si>
  <si>
    <t>Almost Perfect IVs</t>
  </si>
  <si>
    <t>Once per turn whilst on an Ocean tile, shuffle the Hidden Spot discard pile and then draw the top Hidden Spot. Place the drawn Hidden Spot on the tile you are on, you may then interact with it as usual.</t>
  </si>
  <si>
    <t>When crafting an Apricorn Stew, you may gain the effect of another Apricorn Stew for free.</t>
  </si>
  <si>
    <t>When you make a Shrine Offering, draw 1 extra Shrine Event card. This only gives you more choices, you still play the same number of Shrine Event cards as you would normally.</t>
  </si>
  <si>
    <t>Catch of the Day</t>
  </si>
  <si>
    <t>Uncanny Substitute</t>
  </si>
  <si>
    <t>Evasive Manoeuvres</t>
  </si>
  <si>
    <t>When inflicting any status effects, you may instead roll the status dice to inflict the new status effect it lands on.</t>
  </si>
  <si>
    <t xml:space="preserve">You may inflict additional status effects onto a target so long as the target does not have that status effect already. Additionally, your Ghost-type moves gain +1 attack strength. </t>
  </si>
  <si>
    <t>Butterfly Technique</t>
  </si>
  <si>
    <t>Fire Lash</t>
  </si>
  <si>
    <t>Salandit</t>
  </si>
  <si>
    <t>Toxic Lizard Pokémon</t>
  </si>
  <si>
    <t>Salazzle</t>
  </si>
  <si>
    <t>If there is another non-fainted Bug-type Pokémon in your party, deal 2 extra damage.</t>
  </si>
  <si>
    <t>Inflict the Confused status on the target. If the target is already Confused, this move deals double damage.</t>
  </si>
  <si>
    <t>Inflict the Poisoned status on the target. If the target is already Poisoned, this move deals double damage.</t>
  </si>
  <si>
    <t>When the user is next attacked, all critical hits damage the attacker instead of the user.</t>
  </si>
  <si>
    <t>If 2 or more status symbols are rolled: Inflict the Confused status on the target.</t>
  </si>
  <si>
    <t>Ginkgo Merchant</t>
  </si>
  <si>
    <t>When you attack with a Fire-type move, you may inflict the Burned status effect and deal 2 damage to the opposing Pokémon by using 1 Firewood from your bag.</t>
  </si>
  <si>
    <t>When unlocked, you receive the Substitute held item. The Pokémon with the Substitute held item attached may be switched in from your party just before any damage is applied from an opposing attack.</t>
  </si>
  <si>
    <t>Trade Monopoly</t>
  </si>
  <si>
    <t>When attacking, your damage from positive type effectiveness is increased by 1.</t>
  </si>
  <si>
    <t>When you attack with a Water-type move, you may change its type to either Bug-type or Flying-type.</t>
  </si>
  <si>
    <t>Once per turn, you may interact with something from up to 2 tiles away.</t>
  </si>
  <si>
    <t>Inflict the Burned status on the target. Status symbols deal -1 damage.</t>
  </si>
  <si>
    <t>Inflict the Paralysed status on the target. Status symbols deal -1 damage.</t>
  </si>
  <si>
    <t>Attack strength is equal to half the base health of the target, rounded down. Maximum 7 attack strength.</t>
  </si>
  <si>
    <t>Swim Bike Run</t>
  </si>
  <si>
    <t>412-p</t>
  </si>
  <si>
    <t>Once per turn, you may move up to 2 Ocean tiles in a row for free. Additionally, your Water-type Pokémon gain +1 initiative.</t>
  </si>
  <si>
    <t>Once per turn, you may move up to 2 Mountain tiles in a row for free. Additionally, you can move onto any tile regardless of its elevation.</t>
  </si>
  <si>
    <t>When crafting a Battle Item, you may gain another Battle Item for free.</t>
  </si>
  <si>
    <t>Loyalty Card</t>
  </si>
  <si>
    <t>Holding Capacity</t>
  </si>
  <si>
    <t>Deino</t>
  </si>
  <si>
    <t>Irate Pokémon</t>
  </si>
  <si>
    <t>Brutal Pokémon</t>
  </si>
  <si>
    <t>Draco Meteor</t>
  </si>
  <si>
    <t>Dragon Breath</t>
  </si>
  <si>
    <t>Zweilous</t>
  </si>
  <si>
    <t>Hydreigon</t>
  </si>
  <si>
    <t>When you attack with a Grass-type or Fairy-type move, the user heals for half the damage dealt, rounded up.</t>
  </si>
  <si>
    <t>When you attack with a Normal-type or Dark-type move, status symbols deal +1 damage.</t>
  </si>
  <si>
    <t>Subtle Manipulation</t>
  </si>
  <si>
    <t>When your Pokémon knows moves of 3 different types, you may change the type of your attack to any of those 3 types. Works for Typeless moves too.</t>
  </si>
  <si>
    <t>Costs 2 Journey Points: You may build Roads on any non-Ocean tiles you move onto this turn. All trainers can move through any number of interconnected Roads for 1 tile move. Roads are built by drawing them with the Pen tool.</t>
  </si>
  <si>
    <t>When you find an Apricorn Stash, gain 2 extra Apricorns of the same type and move 1 additional tile this turn.</t>
  </si>
  <si>
    <t>Portable Tent</t>
  </si>
  <si>
    <t>Your Pokémon can now hold and use up to two Held Items so long as they are not the same item.</t>
  </si>
  <si>
    <t>Equipment Check</t>
  </si>
  <si>
    <t>Woodland Explorer</t>
  </si>
  <si>
    <t>During your turn whilst outside of battle, you may swap your taught moves between the Pokémon in your party. The Pokémon you give the move to must be able to learn it.</t>
  </si>
  <si>
    <t>Your Strong Pokémon gain +1 initiative.</t>
  </si>
  <si>
    <t>During your battles, all Fire-type moves gain +1 attack strength and all Fire-type Pokémon take 1 less damage when attacked.</t>
  </si>
  <si>
    <t>During your battles, all Water-type moves gain +1 attack strength and all Water-type Pokémon take 1 less damage when attacked.</t>
  </si>
  <si>
    <t>legendary</t>
  </si>
  <si>
    <t>When unlocked, place the Landmark Tour sheet in your hand. Once at each Artifact Legendary Location, stamp it on your Landmark Tour sheet to search for the Legendary Pokémon there and make a clone of its card. These cards become your Legendary Snaps and are kept next to your trainer area.</t>
  </si>
  <si>
    <t>Ripple in Space</t>
  </si>
  <si>
    <t>When the target next attacks, status symbols deal -2 damage.</t>
  </si>
  <si>
    <t>Renegade Fury</t>
  </si>
  <si>
    <t>If your party has a move of every type, all your moves gain +2 attack strength. Typeless moves and abilities act as wildcards and can be considered as any type towards achieving this effect.</t>
  </si>
  <si>
    <t>During capture attempts at Apricorn Reefs, replace 1 status symbol with 1 regular hit. After capturing a wild Pokémon at an Apricorn Reef, roll and then add a Catch Size dice to them.</t>
  </si>
  <si>
    <t>After capturing or defeating a wild Pokémon, gain double the amount of Apricorns.</t>
  </si>
  <si>
    <t>When you attack with a Psychic-type or Ghost-type move, you may change the result of 1 dice rolled to any other value.</t>
  </si>
  <si>
    <t>Holiday Album</t>
  </si>
  <si>
    <t>Once per turn, you may gain 1 Apricorn from an Apricorn Tree you are standing on.</t>
  </si>
  <si>
    <t>starter</t>
  </si>
  <si>
    <t>Larvesta</t>
  </si>
  <si>
    <t>Torch Pokémon</t>
  </si>
  <si>
    <t>Volcarona</t>
  </si>
  <si>
    <t>Fiery Dance</t>
  </si>
  <si>
    <t>Mountain Gale</t>
  </si>
  <si>
    <t>Lunge</t>
  </si>
  <si>
    <t>Power Whip</t>
  </si>
  <si>
    <t xml:space="preserve">Deals 4 extra damage to Flying-type Pokémon. For each status symbol rolled: The user takes 1 damage. </t>
  </si>
  <si>
    <t>Petal Dance</t>
  </si>
  <si>
    <t>Air Cutter</t>
  </si>
  <si>
    <t>Inflict the Paralysed status on the target but increase your battle fatigue by 2.</t>
  </si>
  <si>
    <t>Increase the battle fatigue of the user and the target to 5.</t>
  </si>
  <si>
    <t>Klefki</t>
  </si>
  <si>
    <t>Key Ring Pokémon</t>
  </si>
  <si>
    <t>Fairy Lock</t>
  </si>
  <si>
    <t>Inflict the Confused status on the user. Deal any damage taken by the user during this attack to the target as well.</t>
  </si>
  <si>
    <t>Frost Song</t>
  </si>
  <si>
    <t>Thunder Song</t>
  </si>
  <si>
    <t>Fire Song</t>
  </si>
  <si>
    <t>God of Sinnoh</t>
  </si>
  <si>
    <t>Childhood Friends</t>
  </si>
  <si>
    <t>Your Weak Pokémon gain +1 health and +1 initiative.</t>
  </si>
  <si>
    <t>When unlocked, draw 5 trainer cards from the deck and swap this card with one of the drawn cards. Triggers the "when unlocked" effects on the new trainer card.</t>
  </si>
  <si>
    <t>Critical hits deal +1 damage and for each critical hit rolled: Heal 2 damage.</t>
  </si>
  <si>
    <t>Heal 1 damage and inflict the Drowsy status on the target.</t>
  </si>
  <si>
    <t>When the target is next attacked, add 2 status symbol to the roll.</t>
  </si>
  <si>
    <t>Destiny Bond</t>
  </si>
  <si>
    <t>Rampart Riposte</t>
  </si>
  <si>
    <t>Your Grass-type Pokémon and Rock-type Pokémon gain +3 initiative but -2 health.</t>
  </si>
  <si>
    <t>Your Rock-type Pokémon and Ground-type Pokémon gain +4 health but -1 initiative.</t>
  </si>
  <si>
    <t>Air Superiority</t>
  </si>
  <si>
    <t>Planning Ahead</t>
  </si>
  <si>
    <t>Opportune Strike</t>
  </si>
  <si>
    <t>Toxin Dart</t>
  </si>
  <si>
    <t>Inflict either the Poisoned, Confused or Drowsy status effects on the opposing Pokémon whenever you use Initiative Advantage.</t>
  </si>
  <si>
    <t>When attacking, you may use the signature move of the opposing Pokémon against them.</t>
  </si>
  <si>
    <t>When claiming any stamp reward, you may claim the reward twice.</t>
  </si>
  <si>
    <t>When you attack with an Ice-type or Dragon-type move, you may add up to 2 status symbols to roll.</t>
  </si>
  <si>
    <t>Eternal Glade</t>
  </si>
  <si>
    <t>Carbink</t>
  </si>
  <si>
    <t>Jewel Pokémon</t>
  </si>
  <si>
    <t>Power Gem</t>
  </si>
  <si>
    <t>Your Pokémon heal 1 extra damage whenever they are healed by any effect.</t>
  </si>
  <si>
    <t>Once per turn, you may remove any Apricorn Tree from the map to add 3 Burned status effects to your bag as Firewood.</t>
  </si>
  <si>
    <t xml:space="preserve">When unlocked, gain 7 Journey Points. Additionally, the Evolve Costs of your Pokémon are reduced by 2. </t>
  </si>
  <si>
    <t>Cubone</t>
  </si>
  <si>
    <t>Lonely Pokémon</t>
  </si>
  <si>
    <t>Bone Rush</t>
  </si>
  <si>
    <t>Marowak</t>
  </si>
  <si>
    <t>Bone Keeper Pokémon</t>
  </si>
  <si>
    <t>Bonemerang</t>
  </si>
  <si>
    <t>Swift</t>
  </si>
  <si>
    <t>Fissure</t>
  </si>
  <si>
    <t>After a battle, you may use any movement you have remaining but cannot interact with anything else this turn.</t>
  </si>
  <si>
    <t>When you start a battle against a wild Pokémon, if you have not moved anywhere yet this turn, your first attack against them deals double damage.</t>
  </si>
  <si>
    <t>If any status symbols are rolled: Inflict the Paralysed status on the target.</t>
  </si>
  <si>
    <t>If any status symbols are rolled: Inflict the Burned status on the target.</t>
  </si>
  <si>
    <t>If any status symbols are rolled: Inflict the Paralysed status on the target and another Pokémon in the target party.</t>
  </si>
  <si>
    <t>If any status symbols are rolled: Inflict the Burned status on the target and another Pokémon in the target party.</t>
  </si>
  <si>
    <t>If any status symbols are rolled: Inflict the Frozen status on the target.</t>
  </si>
  <si>
    <t>If any status symbols are rolled: Inflict the Frozen status on the target and another Pokémon in the target party.</t>
  </si>
  <si>
    <t>If any status symbols are rolled: Roll a status dice and inflict the result on the target.</t>
  </si>
  <si>
    <t>If any status symbols are rolled: Inflict the Poisoned status on the target.</t>
  </si>
  <si>
    <t>If any status symbols are rolled: Inflict the Confused status on the target.</t>
  </si>
  <si>
    <t>Temporal Guard</t>
  </si>
  <si>
    <t>Inflict the Burned status on the target. Each time this attack is used this battle, attack strength is increased by 1.</t>
  </si>
  <si>
    <t>Each time this attack is used this battle, attack strength is increased by 1.</t>
  </si>
  <si>
    <t>When you have Initiative Advantage, you may use it to go first regardless of actual initiative values.</t>
  </si>
  <si>
    <t>If you are standing on an Ocean tile at the end of your turn, you may instantly move to any other Ocean tile.</t>
  </si>
  <si>
    <t>If you are standing on a Mountain tile at the end of your turn, you may instantly move to any other Mountain tile.</t>
  </si>
  <si>
    <t>When your Steel-type Pokémon are switched in, increase the battle fatigue of the opposing Pokémon by 3 and prevent them from switching out or fleeing the battle.</t>
  </si>
  <si>
    <t>Disposable Assets</t>
  </si>
  <si>
    <t>After defeating a wild Pokémon, gain 2 extra Journey Points.</t>
  </si>
  <si>
    <t>Before attacking, you may discard 1 Apricorn to temporarily change the base attack strength of a move this turn to 4/5/6 based on the tier of the Apricorn used. For example, 1 Black Apricorn would be required to change the attack strength of a move to 6.</t>
  </si>
  <si>
    <t>Your Pokémon take 2 less damage from moves that match the current Weather.</t>
  </si>
  <si>
    <t>Once per turn, search at an Apricorn Tree, Apricorn Reef or Distortion Gate without starting a battle. You may now directly teach all the moves searched to any Pokémon in your party that can learn them.</t>
  </si>
  <si>
    <t>After you attack with a Water-type move, the user may switch out and then heal all status effects.</t>
  </si>
  <si>
    <t>You may move to adjacent tiles that are 2 or more elevations lower than your current tile. After doing so, you may move up to 4 additional tiles in a row so long as your elevation does not increase.</t>
  </si>
  <si>
    <t>Your Flying-type Pokémon gain +1 attack strength to all their moves so long as they are not against another Flying-type Pokémon.</t>
  </si>
  <si>
    <t>You may teach the Legendary Snaps you have collected as moves to any Pokémon in your party that can learn them. Additionally, if you complete your Landmark Tour sheet, gain 30 Journey Points.</t>
  </si>
  <si>
    <t>For each other non-fainted Pokémon in your party with a Song move: Attack strength is increased by 1.</t>
  </si>
  <si>
    <t>When the target is next attacked, add 2 status symbols to the roll.</t>
  </si>
  <si>
    <t>Once per battle, heal all damage from a non-fainted Pokémon in your party.</t>
  </si>
  <si>
    <t>Max Potion</t>
  </si>
  <si>
    <t>Once per turn, you may move up to 2 Forest tiles in a row for free. Once per turn, you may fly to a Campsite from any tile by discarding 1 Apricorn.</t>
  </si>
  <si>
    <t>Your Artifacts gain +1 attack strength to their bonuses.</t>
  </si>
  <si>
    <t>You may add the moves gained from stamp rewards to your party as Pokémon instead.</t>
  </si>
  <si>
    <t>When unlocked, you receive the Cherish Ball. When the Cherish Ball is used to capture a wild Pokémon, it automatically captures that Pokémon.</t>
  </si>
  <si>
    <t>When unlocked, you receive the Amplifier dice. For every status symbol you roll, increase your Amplifier dice by 1. You may reset the Amplifier dice to add its value as damage to any attack. Your Amplifier dice value persists between battles.</t>
  </si>
  <si>
    <t>Dig Site</t>
  </si>
  <si>
    <t>Once per turn, you may reveal 1 Special Hidden Spot up to 3 tiles away. If you reveal an Artifact, you may instantly move to it to pick it up.</t>
  </si>
  <si>
    <t>Future Aspirations</t>
  </si>
  <si>
    <t>Young Couple</t>
  </si>
  <si>
    <t>Double Battle</t>
  </si>
  <si>
    <t>Wild Pokémon can only flee after defeating two of your Pokémon.</t>
  </si>
  <si>
    <t>Pledge of Devotion</t>
  </si>
  <si>
    <t>Once per battle, after attacking or after a capture attempt, you may immediately repeat the attack using the same move or retry the capture attempt using another ball.</t>
  </si>
  <si>
    <t>Your Pokémon can at most take 6 total damage from a single attack.</t>
  </si>
  <si>
    <t>Once per turn, you may move onto 1 adjacent Village for free and you may move off from 1 Village for free. This does not have to be the same Village.</t>
  </si>
  <si>
    <t>Your Weak Pokémon can at most take 3 total damage from a single attack.</t>
  </si>
  <si>
    <t>When unlocked, search the Weak Pokémon deck for a Dragon-type Pokémon and add it to your party. This Pokémon receives the Apex Dragon held item which cannot be unequipped.</t>
  </si>
  <si>
    <t>Your Dark-type Pokémon and Poison-type Pokémon take 2 less total damage from attacks.</t>
  </si>
  <si>
    <t>During your attacks, critical hits deal +2 damage but status symbols deal -1 damage. Additionally, this effect applies to capture attempts.</t>
  </si>
  <si>
    <t>After any battle, fully restore 1 Pokémon in your party.</t>
  </si>
  <si>
    <t>Your Flying-type Pokémon take no damage from attacks that would only deal 2 or less total damage to them.</t>
  </si>
  <si>
    <t>Secret Agent</t>
  </si>
  <si>
    <t>You may retry a Pokédex search once per encounter.</t>
  </si>
  <si>
    <t>Replace the effect of Beast Boost with: When the opposing Pokémon faints, heal damage equal to your current battle fatigue and increase the attack strength of your next attack by 2. Your battle fatigue is then reset to 0.</t>
  </si>
  <si>
    <t>When crafting, you may substitute the cost of any Apricorn with another Apricorn of the same tier or 3 Apricorns of the tier below. For example, you could replace the cost of 1 Black Apricorn with 2 Green Apricorns and 1 Pink Apricorn.</t>
  </si>
  <si>
    <t>Costs 1 of every Apricorn: Your Pokémon gain +1 attack strength to all of their moves. Lasts until the end of battle.</t>
  </si>
  <si>
    <t>Your Apex Dragon now gains +4 health, +1 initiative and +1 attack strength to its Dragon-type moves.</t>
  </si>
  <si>
    <t>Pokémon Assist</t>
  </si>
  <si>
    <t>Once per battle, you may choose your next move from any non-fainted Pokémon in your party or your Ranch. The number of times this ability can be used per battle increases by 1 for each locked party slot that is unlocked (maximum of 4 times per battle).</t>
  </si>
  <si>
    <t>When unlocked, your locked party slots become your Pokémon Ranch. You may move Pokémon between your party and your Ranch during your turn, but the Pokémon in your Ranch cannot be used in battle. At the end of your turn, the Pokémon in your Ranch are fully restored.</t>
  </si>
  <si>
    <t>Your Pokémon now gain health equal to their Catch Size. Once per turn, costs 2 Journey Points: Increase the Catch Size of a Pokémon in your party to its next level or reroll their Catch Size dice entirely.</t>
  </si>
  <si>
    <t>Stored Strength</t>
  </si>
  <si>
    <t>Increase the attack strength of your Fighting-type moves by 1 for every 10 Journey Points in your bag. However, if you have more than 20 Journey Points and are defeated in battle, discard half of your Journey Points rounded up.</t>
  </si>
  <si>
    <t>The Swarm</t>
  </si>
  <si>
    <t>Day Dreaming</t>
  </si>
  <si>
    <t>At the start of your turn during battle, you may inflict or heal the Drowsy status effect from your active Pokémon. Your Fairy-type Pokémon with Drowsy status effect heal 2 damage at the end of their turns.</t>
  </si>
  <si>
    <t>Whilst you have 3 or more non-fainted Bug-type Pokémon in your party, your Bug-type Pokémon gain +2 initiative and +2 attack strength to their Bug-type moves.</t>
  </si>
  <si>
    <t>Blessing Thief</t>
  </si>
  <si>
    <t>During capture attempts at Apricorn Trees, replace all status symbols with regular hits.</t>
  </si>
  <si>
    <t>Floral Perfume</t>
  </si>
  <si>
    <t>You may fly to Villages from anywhere on the map but must still pay the Apricorn cost.</t>
  </si>
  <si>
    <t>Instead of using the Pokédex to search for an encounter at an Apricorn Tree, you may search the deck for any Bug-type of the same encounter tier to battle.</t>
  </si>
  <si>
    <t>Magnifying Glass</t>
  </si>
  <si>
    <t>During a battle with another player, you can attempt to capture their Pokémon but with -2 to your capture rolls. The captured Pokémon keeps everything it currently has attached.</t>
  </si>
  <si>
    <t>When another trainer gains the effect of a Shrine Blessing card, you are also given that effect. When there are 4 or more players, this ability makes you pernamently the target of the extra effect instead.</t>
  </si>
  <si>
    <t>When another player uses the current Ginkgo Trade, gain the Apricorns they discard.</t>
  </si>
  <si>
    <t>Whenever another player gains a Journey Stamp, you may instantly move to that trainer to challenge them to a battle. If you win the battle, you may also gain that Journey Stamp.</t>
  </si>
  <si>
    <t>When unlocked, place the Weather Wheel in the middle of the arena on a Weather of your choice. Any player may change the Weather by discarding 3 Journey Points at a Shrine. All moves that match the Weather type gain +2 attack strength.</t>
  </si>
  <si>
    <t>448-a</t>
  </si>
  <si>
    <t>West Ocean Variant</t>
  </si>
  <si>
    <t>East Ocean Variant</t>
  </si>
  <si>
    <t>445-a</t>
  </si>
  <si>
    <t>143-a</t>
  </si>
  <si>
    <t>460-a</t>
  </si>
  <si>
    <t>466-a</t>
  </si>
  <si>
    <t>467-a</t>
  </si>
  <si>
    <t>469-a</t>
  </si>
  <si>
    <t>452-a</t>
  </si>
  <si>
    <t>Alpha</t>
  </si>
  <si>
    <t>Sleeping Glutton</t>
  </si>
  <si>
    <t>Ogre Darner</t>
  </si>
  <si>
    <t>Alpha Magmortar</t>
  </si>
  <si>
    <t>Alpha Electivire</t>
  </si>
  <si>
    <t>Alpha Yanmega</t>
  </si>
  <si>
    <t>Alpha Abomasnow</t>
  </si>
  <si>
    <t>Alpha Lucario</t>
  </si>
  <si>
    <t>Alpha Snorlax</t>
  </si>
  <si>
    <t>Alpha Garchomp</t>
  </si>
  <si>
    <t>Alpha Drapion</t>
  </si>
  <si>
    <t>Magma Blaster</t>
  </si>
  <si>
    <t>Howling Frost</t>
  </si>
  <si>
    <t>Dune Shark</t>
  </si>
  <si>
    <t>Corrupted Aura</t>
  </si>
  <si>
    <t>Motor Plant</t>
  </si>
  <si>
    <t>Iron Scorpion</t>
  </si>
  <si>
    <t>429-a</t>
  </si>
  <si>
    <t>Alpha Mismagius</t>
  </si>
  <si>
    <t>Shade Witch</t>
  </si>
  <si>
    <t>Sediment Rush</t>
  </si>
  <si>
    <t>Mid-Nap Snack</t>
  </si>
  <si>
    <t>Aura Storm</t>
  </si>
  <si>
    <t>Corrosive Crush</t>
  </si>
  <si>
    <t>Bitter Howl</t>
  </si>
  <si>
    <t>Solar Charge</t>
  </si>
  <si>
    <t>If the user knows a Fire-type move, deal 2 extra damage.</t>
  </si>
  <si>
    <t>If the user knows an Electric-type move, deal 2 extra damage.</t>
  </si>
  <si>
    <t>Lava Shot</t>
  </si>
  <si>
    <t>Dragon Boom</t>
  </si>
  <si>
    <t>Mystical Spell</t>
  </si>
  <si>
    <t>Inflict any status effect on the target.</t>
  </si>
  <si>
    <t>Repair Protocol</t>
  </si>
  <si>
    <t>Stasis Protocol</t>
  </si>
  <si>
    <t>Aegis Protocol</t>
  </si>
  <si>
    <t>Startup Sequence</t>
  </si>
  <si>
    <t>Regieleki</t>
  </si>
  <si>
    <t>Electron Pokémon</t>
  </si>
  <si>
    <t>Regidrago</t>
  </si>
  <si>
    <t>Dragon Orb Pokémon</t>
  </si>
  <si>
    <t>Galvanic Protocol</t>
  </si>
  <si>
    <t>Maw Protocol</t>
  </si>
  <si>
    <t>Origin Dialga</t>
  </si>
  <si>
    <t>Origin Palkia</t>
  </si>
  <si>
    <t>Origin Form</t>
  </si>
  <si>
    <t>If the target has 2 or less health remaining after this attack, the target faints.</t>
  </si>
  <si>
    <t>474-a</t>
  </si>
  <si>
    <t>Prototype Zero</t>
  </si>
  <si>
    <t>Alpha Porygon-Z</t>
  </si>
  <si>
    <t>Alpha Release</t>
  </si>
  <si>
    <t>This move does not roll the attack dice. Deal damage equal to 6 minus your current battle fatigue. Increase your battle fatigue by 1.</t>
  </si>
  <si>
    <t>Disguised Strike</t>
  </si>
  <si>
    <t>Beldum</t>
  </si>
  <si>
    <t>Iron Ball Pokémon</t>
  </si>
  <si>
    <t>Iron Claw Pokémon</t>
  </si>
  <si>
    <t>Metang</t>
  </si>
  <si>
    <t>Metagross</t>
  </si>
  <si>
    <t>Iron Leg Pokémon</t>
  </si>
  <si>
    <t>Meteor Mash</t>
  </si>
  <si>
    <t>Minior</t>
  </si>
  <si>
    <t>Meteor Pokémon</t>
  </si>
  <si>
    <t>Shields Up</t>
  </si>
  <si>
    <t>Meteor Form</t>
  </si>
  <si>
    <t>Core Form</t>
  </si>
  <si>
    <t>Shield Burst</t>
  </si>
  <si>
    <t>Core Minior</t>
  </si>
  <si>
    <t>Staryu</t>
  </si>
  <si>
    <t>Starmie</t>
  </si>
  <si>
    <t>Starshape Pokémon</t>
  </si>
  <si>
    <t>Mysterious Pokémon</t>
  </si>
  <si>
    <t>Rapid Spin</t>
  </si>
  <si>
    <t>Poison Gas</t>
  </si>
  <si>
    <t>Inflict the Poisoned status on the target and another Pokémon in the target party.</t>
  </si>
  <si>
    <t>For each status symbol rolled: Heal 1 damage.</t>
  </si>
  <si>
    <t>move_class</t>
  </si>
  <si>
    <t>Increase the initiative of the user by 3 and the attack strength of their moves by 1.</t>
  </si>
  <si>
    <t>Heal 1 damage at the end of your turns and add 1 regular hit to your future attack rolls.</t>
  </si>
  <si>
    <t>When the user is attacked, force the attack to become Electric-type until the end of the turn.</t>
  </si>
  <si>
    <t>Heal 2 damage at the end of your turns.</t>
  </si>
  <si>
    <t>Add 2 regular hits to your future attack rolls.</t>
  </si>
  <si>
    <t>Add 1 regular hit to your future attack rolls.</t>
  </si>
  <si>
    <t>Deal 2 damage to the user.</t>
  </si>
  <si>
    <t>Add 1 critical hit and 1 status symbol to your future attack rolls.</t>
  </si>
  <si>
    <t>Increase the battle fatigue of the target by 2.</t>
  </si>
  <si>
    <t>Heal 3 damage.</t>
  </si>
  <si>
    <t>Deals 4 extra damage to Bug-type Pokémon.</t>
  </si>
  <si>
    <t>When the user is attacked, inflict the Frozen status on the attacker.</t>
  </si>
  <si>
    <t>Roll a status dice and inflict the result on the target.</t>
  </si>
  <si>
    <t>Apply the effects of all Protocol moves in your party to the user, attack strength is increased to 6.</t>
  </si>
  <si>
    <t>Increase the battle fatigue of the target by 3.</t>
  </si>
  <si>
    <t>Inflict the Drowsy status on the user. Heal 6 damage if the user has just become Drowsy.</t>
  </si>
  <si>
    <t>The target can no longer change form.</t>
  </si>
  <si>
    <t>Critical hits deal +2 damage. The user takes 2 damage.</t>
  </si>
  <si>
    <t>When the user is next attacked, remove all regular hits from the roll.</t>
  </si>
  <si>
    <t>Deals 4 extra damage to Water-type Pokémon.</t>
  </si>
  <si>
    <t>Choose either base type of the user as the type of this attack.</t>
  </si>
  <si>
    <t>transform</t>
  </si>
  <si>
    <t>agile</t>
  </si>
  <si>
    <t>trap</t>
  </si>
  <si>
    <t>decisive</t>
  </si>
  <si>
    <t>When the user is next attacked, take at most 1 damage.</t>
  </si>
  <si>
    <t>Heal 2 damage.</t>
  </si>
  <si>
    <t>Increase the battle fatigue of the user by 1.</t>
  </si>
  <si>
    <t>Heal 5 damage.</t>
  </si>
  <si>
    <t>If the target has 3 or less health remaining after this attack, the target faints. Status symbols deal -2 damage.</t>
  </si>
  <si>
    <t>774-c</t>
  </si>
  <si>
    <t>Lunatone</t>
  </si>
  <si>
    <t>Meteorite Pokémon</t>
  </si>
  <si>
    <t>Solrock</t>
  </si>
  <si>
    <t>switch</t>
  </si>
  <si>
    <t>When the target next attacks, remove 2 regular hits from the roll.</t>
  </si>
  <si>
    <t>boost</t>
  </si>
  <si>
    <t>All currently active Boosts now last until the end of battle.</t>
  </si>
  <si>
    <t>Remove all Boosts from the target.</t>
  </si>
  <si>
    <t>For each status effect on the target: Attack strength is increased by 2.</t>
  </si>
  <si>
    <t>Sky Slash</t>
  </si>
  <si>
    <t>The user is now immune to all status effects. Heal all existing status effects.</t>
  </si>
  <si>
    <t>When the user next attacks, add 2 status symbols to the roll.</t>
  </si>
  <si>
    <t>Inflict both the Paralysed and Confused statuses on the target.</t>
  </si>
  <si>
    <t>Inflict both the Drowsy and Confused statuses on the target.</t>
  </si>
  <si>
    <t>Inflict both the Paralysed and Poisoned statuses on the target.</t>
  </si>
  <si>
    <t>Inflict both the Burned and Poisoned statuses on the target.</t>
  </si>
  <si>
    <t>Inflict both the Frozen and Paralysed statuses on the target.</t>
  </si>
  <si>
    <t>Inflict both the Poisoned and Drowsy statuses on the target.</t>
  </si>
  <si>
    <t>Inflict any status effect on the target. If any status symbols are rolled: Heal 1 status effect from the user.</t>
  </si>
  <si>
    <t>Heal 2 damage and all status effects.</t>
  </si>
  <si>
    <t>Inflict the Drowsy status on the target and all Pokémon in the target party.</t>
  </si>
  <si>
    <t>Heal damage equal to the current battle fatigue of the target.</t>
  </si>
  <si>
    <t>Soul Siphon</t>
  </si>
  <si>
    <t>When the user next attacks, heal damage equal to the damage dealt.</t>
  </si>
  <si>
    <t>Heal damage equal to half the damage dealt, rounded down.</t>
  </si>
  <si>
    <t>Heal damage equal to the damage dealt.</t>
  </si>
  <si>
    <t>Attack strength is increased equal to the damage taken last turn.</t>
  </si>
  <si>
    <t>Zen Headbutt</t>
  </si>
  <si>
    <t>If the target has a held item, deal 2 extra damage.</t>
  </si>
  <si>
    <t>If the user has 3 or less health remaining, this move deals double damage.</t>
  </si>
  <si>
    <t>This move can be used from your party, the user is switched in immediately.</t>
  </si>
  <si>
    <t>The user takes 4 damage.</t>
  </si>
  <si>
    <t>Cosmic Power</t>
  </si>
  <si>
    <t>Remove 1 regular hit from future attack rolls against the user.</t>
  </si>
  <si>
    <t>Heal all status effects from the user and from 1 Pokémon in your party.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</si>
</sst>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5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64C864"/>
        <bgColor indexed="64"/>
      </patternFill>
    </fill>
    <fill>
      <patternFill patternType="solid">
        <fgColor rgb="FF6496FA"/>
        <bgColor indexed="64"/>
      </patternFill>
    </fill>
    <fill>
      <patternFill patternType="solid">
        <fgColor rgb="FFFAFA64"/>
        <bgColor indexed="64"/>
      </patternFill>
    </fill>
    <fill>
      <patternFill patternType="solid">
        <fgColor rgb="FF64FAFA"/>
        <bgColor indexed="64"/>
      </patternFill>
    </fill>
    <fill>
      <patternFill patternType="solid">
        <fgColor rgb="FFFA6464"/>
        <bgColor indexed="64"/>
      </patternFill>
    </fill>
    <fill>
      <patternFill patternType="solid">
        <fgColor rgb="FFC864FA"/>
        <bgColor indexed="64"/>
      </patternFill>
    </fill>
    <fill>
      <patternFill patternType="solid">
        <fgColor rgb="FFC86432"/>
        <bgColor indexed="64"/>
      </patternFill>
    </fill>
    <fill>
      <patternFill patternType="solid">
        <fgColor rgb="FFFA9632"/>
        <bgColor indexed="64"/>
      </patternFill>
    </fill>
    <fill>
      <patternFill patternType="solid">
        <fgColor rgb="FFC8C8FA"/>
        <bgColor indexed="64"/>
      </patternFill>
    </fill>
    <fill>
      <patternFill patternType="solid">
        <fgColor rgb="FFFA9696"/>
        <bgColor indexed="64"/>
      </patternFill>
    </fill>
    <fill>
      <patternFill patternType="solid">
        <fgColor rgb="FF96C832"/>
        <bgColor indexed="64"/>
      </patternFill>
    </fill>
    <fill>
      <patternFill patternType="solid">
        <fgColor rgb="FF969664"/>
        <bgColor indexed="64"/>
      </patternFill>
    </fill>
    <fill>
      <patternFill patternType="solid">
        <fgColor rgb="FF9664C8"/>
        <bgColor indexed="64"/>
      </patternFill>
    </fill>
    <fill>
      <patternFill patternType="solid">
        <fgColor rgb="FF6464C8"/>
        <bgColor indexed="64"/>
      </patternFill>
    </fill>
    <fill>
      <patternFill patternType="solid">
        <fgColor rgb="FF646464"/>
        <bgColor indexed="64"/>
      </patternFill>
    </fill>
    <fill>
      <patternFill patternType="solid">
        <fgColor rgb="FF9696C8"/>
        <bgColor indexed="64"/>
      </patternFill>
    </fill>
    <fill>
      <patternFill patternType="solid">
        <fgColor rgb="FFFA96C8"/>
        <bgColor indexed="64"/>
      </patternFill>
    </fill>
    <fill>
      <patternFill patternType="solid">
        <fgColor rgb="FFC8C8C8"/>
        <bgColor indexed="64"/>
      </patternFill>
    </fill>
    <fill>
      <patternFill patternType="solid">
        <fgColor theme="1"/>
        <bgColor indexed="64"/>
      </patternFill>
    </fill>
    <fill>
      <patternFill patternType="solid">
        <fgColor rgb="FFFFFF00"/>
        <bgColor indexed="64"/>
      </patternFill>
    </fill>
    <fill>
      <patternFill patternType="solid">
        <fgColor rgb="FFFAC864"/>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2">
    <xf numFmtId="0" fontId="0" fillId="0" borderId="0" xfId="0"/>
    <xf numFmtId="49" fontId="0" fillId="0" borderId="0" xfId="0" applyNumberFormat="1"/>
    <xf numFmtId="1" fontId="0" fillId="0" borderId="0" xfId="0" applyNumberFormat="1"/>
    <xf numFmtId="0" fontId="0" fillId="0" borderId="10" xfId="0" applyBorder="1"/>
    <xf numFmtId="49" fontId="0" fillId="0" borderId="10" xfId="0" applyNumberFormat="1" applyBorder="1"/>
    <xf numFmtId="1" fontId="0" fillId="0" borderId="10" xfId="0" applyNumberFormat="1" applyBorder="1"/>
    <xf numFmtId="0" fontId="17" fillId="51" borderId="0" xfId="0" applyFont="1" applyFill="1"/>
    <xf numFmtId="49" fontId="17" fillId="51" borderId="0" xfId="0" applyNumberFormat="1" applyFont="1" applyFill="1"/>
    <xf numFmtId="1" fontId="17" fillId="51" borderId="0" xfId="0" applyNumberFormat="1" applyFont="1" applyFill="1"/>
    <xf numFmtId="0" fontId="0" fillId="37" borderId="0" xfId="0" applyFill="1"/>
    <xf numFmtId="0" fontId="0" fillId="50" borderId="0" xfId="0" applyFill="1"/>
    <xf numFmtId="0" fontId="0" fillId="40" borderId="0" xfId="0" applyFill="1"/>
    <xf numFmtId="0" fontId="0" fillId="34" borderId="0" xfId="0" applyFill="1"/>
    <xf numFmtId="0" fontId="0" fillId="35" borderId="0" xfId="0" applyFill="1"/>
    <xf numFmtId="0" fontId="0" fillId="33" borderId="0" xfId="0" applyFill="1"/>
    <xf numFmtId="0" fontId="0" fillId="36" borderId="0" xfId="0" applyFill="1"/>
    <xf numFmtId="0" fontId="0" fillId="38" borderId="0" xfId="0" applyFill="1"/>
    <xf numFmtId="0" fontId="0" fillId="39" borderId="0" xfId="0" applyFill="1"/>
    <xf numFmtId="0" fontId="0" fillId="41" borderId="0" xfId="0" applyFill="1"/>
    <xf numFmtId="0" fontId="0" fillId="42" borderId="0" xfId="0" applyFill="1"/>
    <xf numFmtId="0" fontId="0" fillId="43" borderId="0" xfId="0" applyFill="1"/>
    <xf numFmtId="0" fontId="0" fillId="44" borderId="0" xfId="0" applyFill="1"/>
    <xf numFmtId="0" fontId="0" fillId="45" borderId="0" xfId="0" applyFill="1"/>
    <xf numFmtId="0" fontId="0" fillId="46" borderId="0" xfId="0" applyFill="1"/>
    <xf numFmtId="0" fontId="0" fillId="47" borderId="0" xfId="0" applyFill="1"/>
    <xf numFmtId="0" fontId="0" fillId="48" borderId="0" xfId="0" applyFill="1"/>
    <xf numFmtId="0" fontId="0" fillId="49" borderId="0" xfId="0" applyFill="1"/>
    <xf numFmtId="0" fontId="17" fillId="51" borderId="0" xfId="0" applyFont="1" applyFill="1" applyAlignment="1">
      <alignment wrapText="1"/>
    </xf>
    <xf numFmtId="0" fontId="0" fillId="0" borderId="0" xfId="0" applyAlignment="1">
      <alignment wrapText="1"/>
    </xf>
    <xf numFmtId="2" fontId="0" fillId="0" borderId="0" xfId="0" applyNumberFormat="1"/>
    <xf numFmtId="0" fontId="0" fillId="52" borderId="0" xfId="0" applyFill="1" applyAlignment="1">
      <alignment wrapText="1"/>
    </xf>
    <xf numFmtId="0" fontId="0" fillId="5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fill>
        <patternFill>
          <bgColor rgb="FFFAFAE1"/>
        </patternFill>
      </fill>
    </dxf>
    <dxf>
      <fill>
        <patternFill>
          <bgColor rgb="FF92D050"/>
        </patternFill>
      </fill>
    </dxf>
    <dxf>
      <font>
        <b/>
        <i val="0"/>
      </font>
      <fill>
        <patternFill>
          <bgColor rgb="FFFAFAE1"/>
        </patternFill>
      </fill>
    </dxf>
    <dxf>
      <font>
        <b val="0"/>
        <i/>
        <color rgb="FFE1E1E1"/>
      </font>
    </dxf>
    <dxf>
      <font>
        <b/>
        <i val="0"/>
      </font>
      <fill>
        <patternFill>
          <bgColor rgb="FFFAE1FA"/>
        </patternFill>
      </fill>
    </dxf>
    <dxf>
      <font>
        <b val="0"/>
        <i/>
        <color rgb="FFE1E1E1"/>
      </font>
    </dxf>
    <dxf>
      <font>
        <b/>
        <i val="0"/>
        <color auto="1"/>
      </font>
      <fill>
        <patternFill>
          <bgColor rgb="FFE1FAE1"/>
        </patternFill>
      </fill>
    </dxf>
    <dxf>
      <font>
        <b/>
        <i val="0"/>
        <color auto="1"/>
      </font>
      <fill>
        <patternFill>
          <bgColor rgb="FFFAE1E1"/>
        </patternFill>
      </fill>
    </dxf>
    <dxf>
      <fill>
        <patternFill>
          <bgColor rgb="FFFAFAE1"/>
        </patternFill>
      </fill>
    </dxf>
  </dxfs>
  <tableStyles count="0" defaultTableStyle="TableStyleMedium2" defaultPivotStyle="PivotStyleLight16"/>
  <colors>
    <mruColors>
      <color rgb="FFFA6464"/>
      <color rgb="FFFAC864"/>
      <color rgb="FFFAFAE1"/>
      <color rgb="FFFAE1FA"/>
      <color rgb="FFE1E1E1"/>
      <color rgb="FFFAE1C8"/>
      <color rgb="FFE1FAE1"/>
      <color rgb="FFFAE1E1"/>
      <color rgb="FFC8FAC8"/>
      <color rgb="FFFAC8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12"/>
  <sheetViews>
    <sheetView tabSelected="1" topLeftCell="N335" zoomScale="85" zoomScaleNormal="85" workbookViewId="0">
      <selection activeCell="AJ364" sqref="AJ364"/>
    </sheetView>
  </sheetViews>
  <sheetFormatPr defaultRowHeight="15" x14ac:dyDescent="0.25"/>
  <cols>
    <col min="1" max="1" width="7.42578125" customWidth="1"/>
    <col min="2" max="2" width="14.85546875" bestFit="1" customWidth="1"/>
    <col min="3" max="3" width="8.42578125" style="1" bestFit="1" customWidth="1"/>
    <col min="4" max="4" width="7.85546875" style="1" customWidth="1"/>
    <col min="5" max="7" width="4" bestFit="1" customWidth="1"/>
    <col min="8" max="8" width="6.7109375" bestFit="1" customWidth="1"/>
    <col min="9" max="9" width="7" customWidth="1"/>
    <col min="10" max="10" width="4.140625" bestFit="1" customWidth="1"/>
    <col min="11" max="11" width="22.42578125" bestFit="1" customWidth="1"/>
    <col min="12" max="12" width="9.5703125" bestFit="1" customWidth="1"/>
    <col min="13" max="13" width="10.7109375" bestFit="1" customWidth="1"/>
    <col min="14" max="14" width="10" customWidth="1"/>
    <col min="15" max="15" width="7.7109375" customWidth="1"/>
    <col min="16" max="16" width="6.5703125" bestFit="1" customWidth="1"/>
    <col min="17" max="17" width="7.140625" bestFit="1" customWidth="1"/>
    <col min="18" max="18" width="9" style="2" bestFit="1" customWidth="1"/>
    <col min="19" max="19" width="6.7109375" style="2" bestFit="1" customWidth="1"/>
    <col min="20" max="20" width="5.140625" style="2" bestFit="1" customWidth="1"/>
    <col min="21" max="23" width="8" bestFit="1" customWidth="1"/>
    <col min="24" max="24" width="8" customWidth="1"/>
    <col min="25" max="25" width="21.28515625" customWidth="1"/>
    <col min="26" max="26" width="3.28515625" style="2" customWidth="1"/>
    <col min="27" max="27" width="21.5703125" bestFit="1" customWidth="1"/>
    <col min="28" max="28" width="22.5703125" bestFit="1" customWidth="1"/>
    <col min="29" max="29" width="22.42578125" bestFit="1" customWidth="1"/>
    <col min="30" max="30" width="9" customWidth="1"/>
    <col min="31" max="31" width="3.5703125" customWidth="1"/>
    <col min="32" max="32" width="16" customWidth="1"/>
    <col min="33" max="33" width="9.28515625" bestFit="1" customWidth="1"/>
    <col min="34" max="34" width="12.28515625" customWidth="1"/>
    <col min="35" max="35" width="14.42578125" bestFit="1" customWidth="1"/>
    <col min="36" max="36" width="13.140625" bestFit="1" customWidth="1"/>
    <col min="37" max="37" width="3.140625" customWidth="1"/>
    <col min="38" max="38" width="3.28515625" customWidth="1"/>
    <col min="39" max="39" width="3" customWidth="1"/>
  </cols>
  <sheetData>
    <row r="1" spans="1:39" x14ac:dyDescent="0.25">
      <c r="A1" s="6" t="s">
        <v>1</v>
      </c>
      <c r="B1" s="6" t="s">
        <v>307</v>
      </c>
      <c r="C1" s="7" t="s">
        <v>305</v>
      </c>
      <c r="D1" s="7" t="s">
        <v>306</v>
      </c>
      <c r="E1" s="6" t="s">
        <v>0</v>
      </c>
      <c r="F1" s="6" t="s">
        <v>308</v>
      </c>
      <c r="G1" s="6" t="s">
        <v>309</v>
      </c>
      <c r="H1" s="6" t="s">
        <v>310</v>
      </c>
      <c r="I1" s="6" t="s">
        <v>311</v>
      </c>
      <c r="J1" s="6" t="s">
        <v>312</v>
      </c>
      <c r="K1" s="6" t="s">
        <v>317</v>
      </c>
      <c r="L1" s="6" t="s">
        <v>470</v>
      </c>
      <c r="M1" s="6" t="s">
        <v>471</v>
      </c>
      <c r="N1" s="6" t="s">
        <v>591</v>
      </c>
      <c r="O1" s="6" t="s">
        <v>592</v>
      </c>
      <c r="P1" s="6" t="s">
        <v>757</v>
      </c>
      <c r="Q1" s="6" t="s">
        <v>758</v>
      </c>
      <c r="R1" s="8" t="s">
        <v>558</v>
      </c>
      <c r="S1" s="8" t="s">
        <v>557</v>
      </c>
      <c r="T1" s="8" t="s">
        <v>559</v>
      </c>
      <c r="U1" s="6" t="s">
        <v>435</v>
      </c>
      <c r="V1" s="6" t="s">
        <v>436</v>
      </c>
      <c r="W1" s="6" t="s">
        <v>437</v>
      </c>
      <c r="X1" s="6" t="s">
        <v>546</v>
      </c>
      <c r="Y1" s="6" t="s">
        <v>444</v>
      </c>
      <c r="Z1" s="8" t="s">
        <v>438</v>
      </c>
      <c r="AA1" s="6" t="s">
        <v>443</v>
      </c>
      <c r="AB1" s="6" t="s">
        <v>314</v>
      </c>
      <c r="AC1" s="6" t="s">
        <v>510</v>
      </c>
      <c r="AD1" s="6" t="s">
        <v>1007</v>
      </c>
      <c r="AE1" s="6" t="s">
        <v>1008</v>
      </c>
      <c r="AF1" s="6" t="s">
        <v>1033</v>
      </c>
      <c r="AG1" s="6" t="s">
        <v>574</v>
      </c>
      <c r="AH1" s="6" t="s">
        <v>458</v>
      </c>
      <c r="AI1" s="6" t="s">
        <v>590</v>
      </c>
      <c r="AJ1" s="6" t="s">
        <v>469</v>
      </c>
      <c r="AK1" s="6" t="s">
        <v>459</v>
      </c>
      <c r="AL1" s="6" t="s">
        <v>801</v>
      </c>
      <c r="AM1" s="6" t="s">
        <v>1006</v>
      </c>
    </row>
    <row r="2" spans="1:39" x14ac:dyDescent="0.25">
      <c r="A2">
        <v>387</v>
      </c>
      <c r="B2" t="s">
        <v>143</v>
      </c>
      <c r="C2" s="1" t="s">
        <v>2</v>
      </c>
      <c r="E2">
        <v>55</v>
      </c>
      <c r="F2">
        <v>68</v>
      </c>
      <c r="G2">
        <v>64</v>
      </c>
      <c r="H2">
        <v>45</v>
      </c>
      <c r="I2">
        <v>55</v>
      </c>
      <c r="J2">
        <v>31</v>
      </c>
      <c r="K2" t="s">
        <v>318</v>
      </c>
      <c r="L2" t="s">
        <v>298</v>
      </c>
      <c r="M2" t="s">
        <v>300</v>
      </c>
      <c r="N2">
        <f>(0.4*J2 + 0.5*MAX(F2,H2) + 0.1*MIN(F2,H2)) / 10</f>
        <v>5.09</v>
      </c>
      <c r="O2">
        <f>(0.4*E2 + 0.3*G2 + 0.3*I2) / 10</f>
        <v>5.7700000000000005</v>
      </c>
      <c r="P2">
        <v>-1</v>
      </c>
      <c r="Q2">
        <v>0</v>
      </c>
      <c r="R2" s="2">
        <f>ROUND(N2,0)+P2</f>
        <v>4</v>
      </c>
      <c r="S2" s="2">
        <f>ROUND(O2,0)+Q2</f>
        <v>6</v>
      </c>
      <c r="T2" s="2">
        <f>SUM(ROUND(R2,0),ROUND(S2,0))</f>
        <v>10</v>
      </c>
      <c r="U2" t="str">
        <f t="shared" ref="U2:U75" si="0">C2</f>
        <v>grass</v>
      </c>
      <c r="V2" t="s">
        <v>13</v>
      </c>
      <c r="W2" t="s">
        <v>9</v>
      </c>
      <c r="X2" t="s">
        <v>8</v>
      </c>
      <c r="Y2" t="str">
        <f>B3</f>
        <v>Grotle</v>
      </c>
      <c r="Z2" s="2">
        <f t="shared" ref="Z2:Z75" si="1">IF(ISBLANK(Y2), "", ROUND(( (T3-6)*(T3-7) - (T2-6)*(T2-7) )/15, 0) + 1)</f>
        <v>4</v>
      </c>
      <c r="AA2" t="str">
        <f t="shared" ref="AA2:AA44" si="2">B2</f>
        <v>Turtwig</v>
      </c>
      <c r="AC2" t="s">
        <v>601</v>
      </c>
      <c r="AD2" t="str">
        <f>VLOOKUP(AC2,moves!A:B,2,FALSE)</f>
        <v>grass</v>
      </c>
      <c r="AE2">
        <f>VLOOKUP(AC2,moves!A:D,4,FALSE)</f>
        <v>3</v>
      </c>
      <c r="AF2">
        <f>VLOOKUP(AC2,moves!A:F,5,FALSE)</f>
        <v>0</v>
      </c>
      <c r="AG2">
        <v>1</v>
      </c>
      <c r="AH2">
        <v>0</v>
      </c>
      <c r="AI2" t="str" cm="1">
        <f t="array" ref="AI2">_xlfn.IFS(AG2=1, "starter", AH2=1, "legendary",T2&lt; 13, "weak",T2&lt; 17, "moderate", TRUE, "strong")</f>
        <v>starter</v>
      </c>
      <c r="AK2">
        <v>1</v>
      </c>
      <c r="AL2">
        <v>0</v>
      </c>
      <c r="AM2">
        <v>0</v>
      </c>
    </row>
    <row r="3" spans="1:39" x14ac:dyDescent="0.25">
      <c r="A3">
        <v>388</v>
      </c>
      <c r="B3" t="s">
        <v>144</v>
      </c>
      <c r="C3" s="1" t="s">
        <v>2</v>
      </c>
      <c r="E3">
        <v>75</v>
      </c>
      <c r="F3">
        <v>89</v>
      </c>
      <c r="G3">
        <v>85</v>
      </c>
      <c r="H3">
        <v>55</v>
      </c>
      <c r="I3">
        <v>65</v>
      </c>
      <c r="J3">
        <v>36</v>
      </c>
      <c r="K3" t="s">
        <v>319</v>
      </c>
      <c r="L3" t="s">
        <v>298</v>
      </c>
      <c r="M3" t="s">
        <v>300</v>
      </c>
      <c r="N3">
        <f t="shared" ref="N3:N76" si="3">(0.4*J3 + 0.5*MAX(F3,H3) + 0.1*MIN(F3,H3)) / 10</f>
        <v>6.44</v>
      </c>
      <c r="O3">
        <f t="shared" ref="O3:O76" si="4">(0.4*E3 + 0.3*G3 + 0.3*I3) / 10</f>
        <v>7.5</v>
      </c>
      <c r="P3">
        <v>0</v>
      </c>
      <c r="Q3">
        <v>0</v>
      </c>
      <c r="R3" s="2">
        <f t="shared" ref="R3:R76" si="5">ROUND(N3,0)+P3</f>
        <v>6</v>
      </c>
      <c r="S3" s="2">
        <f t="shared" ref="S3:S76" si="6">ROUND(O3,0)+Q3</f>
        <v>8</v>
      </c>
      <c r="T3" s="2">
        <f t="shared" ref="T3:T76" si="7">SUM(ROUND(R3,0),ROUND(S3,0))</f>
        <v>14</v>
      </c>
      <c r="U3" t="str">
        <f t="shared" si="0"/>
        <v>grass</v>
      </c>
      <c r="V3" t="s">
        <v>13</v>
      </c>
      <c r="W3" t="s">
        <v>9</v>
      </c>
      <c r="X3" t="s">
        <v>8</v>
      </c>
      <c r="Y3" t="str">
        <f>B4</f>
        <v>Torterra</v>
      </c>
      <c r="Z3" s="2">
        <f t="shared" si="1"/>
        <v>6</v>
      </c>
      <c r="AA3" t="str">
        <f t="shared" si="2"/>
        <v>Grotle</v>
      </c>
      <c r="AC3" t="s">
        <v>528</v>
      </c>
      <c r="AD3" t="str">
        <f>VLOOKUP(AC3,moves!A:B,2,FALSE)</f>
        <v>dark</v>
      </c>
      <c r="AE3">
        <f>VLOOKUP(AC3,moves!A:D,4,FALSE)</f>
        <v>3</v>
      </c>
      <c r="AF3">
        <f>VLOOKUP(AC3,moves!A:F,5,FALSE)</f>
        <v>0</v>
      </c>
      <c r="AG3">
        <v>0</v>
      </c>
      <c r="AH3">
        <v>0</v>
      </c>
      <c r="AI3" t="str" cm="1">
        <f t="array" ref="AI3">_xlfn.IFS(AG3=1, "starter", AH3=1, "legendary",T3&lt; 13, "weak",T3&lt; 17, "moderate", TRUE, "strong")</f>
        <v>moderate</v>
      </c>
      <c r="AK3">
        <v>2</v>
      </c>
      <c r="AL3">
        <v>0</v>
      </c>
      <c r="AM3">
        <v>0</v>
      </c>
    </row>
    <row r="4" spans="1:39" x14ac:dyDescent="0.25">
      <c r="A4">
        <v>389</v>
      </c>
      <c r="B4" t="s">
        <v>145</v>
      </c>
      <c r="C4" s="1" t="s">
        <v>2</v>
      </c>
      <c r="D4" s="1" t="s">
        <v>13</v>
      </c>
      <c r="E4">
        <v>95</v>
      </c>
      <c r="F4">
        <v>109</v>
      </c>
      <c r="G4">
        <v>105</v>
      </c>
      <c r="H4">
        <v>75</v>
      </c>
      <c r="I4">
        <v>85</v>
      </c>
      <c r="J4">
        <v>56</v>
      </c>
      <c r="K4" t="s">
        <v>320</v>
      </c>
      <c r="L4" t="s">
        <v>298</v>
      </c>
      <c r="M4" t="s">
        <v>300</v>
      </c>
      <c r="N4">
        <f t="shared" si="3"/>
        <v>8.4400000000000013</v>
      </c>
      <c r="O4">
        <f t="shared" si="4"/>
        <v>9.5</v>
      </c>
      <c r="P4">
        <v>0</v>
      </c>
      <c r="Q4">
        <v>0</v>
      </c>
      <c r="R4" s="2">
        <f t="shared" si="5"/>
        <v>8</v>
      </c>
      <c r="S4" s="2">
        <f t="shared" si="6"/>
        <v>10</v>
      </c>
      <c r="T4" s="2">
        <f t="shared" si="7"/>
        <v>18</v>
      </c>
      <c r="U4" t="str">
        <f t="shared" si="0"/>
        <v>grass</v>
      </c>
      <c r="V4" t="str">
        <f>IF(D4 = 0, "", D4)</f>
        <v>ground</v>
      </c>
      <c r="W4" t="s">
        <v>9</v>
      </c>
      <c r="X4" t="s">
        <v>8</v>
      </c>
      <c r="Z4" s="2" t="str">
        <f>IF(ISBLANK(Y4), "", ROUND(( (T6-6)*(T6-7) - (T4-6)*(T4-7) )/15, 0) + 1)</f>
        <v/>
      </c>
      <c r="AA4" t="str">
        <f t="shared" si="2"/>
        <v>Torterra</v>
      </c>
      <c r="AC4" t="s">
        <v>729</v>
      </c>
      <c r="AD4" t="str">
        <f>VLOOKUP(AC4,moves!A:B,2,FALSE)</f>
        <v>ground</v>
      </c>
      <c r="AE4">
        <f>VLOOKUP(AC4,moves!A:D,4,FALSE)</f>
        <v>5</v>
      </c>
      <c r="AF4">
        <f>VLOOKUP(AC4,moves!A:F,5,FALSE)</f>
        <v>0</v>
      </c>
      <c r="AG4">
        <v>0</v>
      </c>
      <c r="AH4">
        <v>0</v>
      </c>
      <c r="AI4" t="str" cm="1">
        <f t="array" ref="AI4">_xlfn.IFS(AG4=1, "starter", AH4=1, "legendary",T4&lt; 13, "weak",T4&lt; 17, "moderate", TRUE, "strong")</f>
        <v>strong</v>
      </c>
      <c r="AK4">
        <v>3</v>
      </c>
      <c r="AL4">
        <v>0</v>
      </c>
      <c r="AM4">
        <v>1</v>
      </c>
    </row>
    <row r="5" spans="1:39" x14ac:dyDescent="0.25">
      <c r="A5" s="31" t="s">
        <v>1043</v>
      </c>
      <c r="B5" t="s">
        <v>145</v>
      </c>
      <c r="C5" s="1" t="s">
        <v>2</v>
      </c>
      <c r="D5" s="1" t="s">
        <v>13</v>
      </c>
      <c r="E5">
        <v>95</v>
      </c>
      <c r="F5">
        <v>109</v>
      </c>
      <c r="G5">
        <v>105</v>
      </c>
      <c r="H5">
        <v>75</v>
      </c>
      <c r="I5">
        <v>85</v>
      </c>
      <c r="J5">
        <v>56</v>
      </c>
      <c r="K5" t="s">
        <v>320</v>
      </c>
      <c r="M5" t="s">
        <v>797</v>
      </c>
      <c r="N5">
        <f>(0.4*J5 + 0.5*MAX(F5,H5) + 0.1*MIN(F5,H5)) / 10</f>
        <v>8.4400000000000013</v>
      </c>
      <c r="O5">
        <f>(0.4*E5 + 0.3*G5 + 0.3*I5) / 10</f>
        <v>9.5</v>
      </c>
      <c r="P5">
        <v>2</v>
      </c>
      <c r="Q5">
        <v>2</v>
      </c>
      <c r="R5" s="2">
        <f>ROUND(N5,0)+P5</f>
        <v>10</v>
      </c>
      <c r="S5" s="2">
        <f>ROUND(O5,0)+Q5</f>
        <v>12</v>
      </c>
      <c r="T5" s="2">
        <f>SUM(ROUND(R5,0),ROUND(S5,0))</f>
        <v>22</v>
      </c>
      <c r="U5" t="str">
        <f>C5</f>
        <v>grass</v>
      </c>
      <c r="V5" t="str">
        <f>IF(D5 = 0, "", D5)</f>
        <v>ground</v>
      </c>
      <c r="W5" t="s">
        <v>9</v>
      </c>
      <c r="X5" t="s">
        <v>8</v>
      </c>
      <c r="AA5" t="str">
        <f>B5</f>
        <v>Torterra</v>
      </c>
      <c r="AB5" t="s">
        <v>1070</v>
      </c>
      <c r="AC5" t="s">
        <v>729</v>
      </c>
      <c r="AD5" t="str">
        <f>VLOOKUP(AC5,moves!A:B,2,FALSE)</f>
        <v>ground</v>
      </c>
      <c r="AE5">
        <f>VLOOKUP(AC5,moves!A:D,4,FALSE)</f>
        <v>5</v>
      </c>
      <c r="AF5">
        <f>VLOOKUP(AC5,moves!A:F,5,FALSE)</f>
        <v>0</v>
      </c>
      <c r="AG5">
        <v>0</v>
      </c>
      <c r="AH5">
        <v>1</v>
      </c>
      <c r="AI5" t="str" cm="1">
        <f t="array" ref="AI5">_xlfn.IFS(AG5=1, "starter", AH5=1, "legendary",T5&lt; 13, "weak",T5&lt; 17, "moderate", TRUE, "strong")</f>
        <v>legendary</v>
      </c>
      <c r="AK5">
        <v>3</v>
      </c>
      <c r="AL5">
        <v>0</v>
      </c>
      <c r="AM5">
        <v>2</v>
      </c>
    </row>
    <row r="6" spans="1:39" x14ac:dyDescent="0.25">
      <c r="A6">
        <v>390</v>
      </c>
      <c r="B6" t="s">
        <v>146</v>
      </c>
      <c r="C6" s="1" t="s">
        <v>4</v>
      </c>
      <c r="E6">
        <v>44</v>
      </c>
      <c r="F6">
        <v>58</v>
      </c>
      <c r="G6">
        <v>44</v>
      </c>
      <c r="H6">
        <v>58</v>
      </c>
      <c r="I6">
        <v>44</v>
      </c>
      <c r="J6">
        <v>61</v>
      </c>
      <c r="K6" t="s">
        <v>321</v>
      </c>
      <c r="L6" t="s">
        <v>298</v>
      </c>
      <c r="M6" t="s">
        <v>302</v>
      </c>
      <c r="N6">
        <f t="shared" si="3"/>
        <v>5.92</v>
      </c>
      <c r="O6">
        <f t="shared" si="4"/>
        <v>4.4000000000000004</v>
      </c>
      <c r="P6">
        <v>0</v>
      </c>
      <c r="Q6">
        <v>0</v>
      </c>
      <c r="R6" s="2">
        <f t="shared" si="5"/>
        <v>6</v>
      </c>
      <c r="S6" s="2">
        <f t="shared" si="6"/>
        <v>4</v>
      </c>
      <c r="T6" s="2">
        <f t="shared" si="7"/>
        <v>10</v>
      </c>
      <c r="U6" t="str">
        <f t="shared" si="0"/>
        <v>fire</v>
      </c>
      <c r="V6" t="s">
        <v>22</v>
      </c>
      <c r="W6" t="s">
        <v>33</v>
      </c>
      <c r="X6" t="s">
        <v>5</v>
      </c>
      <c r="Y6" t="str">
        <f>B7</f>
        <v>Monferno</v>
      </c>
      <c r="Z6" s="2">
        <f t="shared" si="1"/>
        <v>4</v>
      </c>
      <c r="AA6" t="str">
        <f t="shared" si="2"/>
        <v>Chimchar</v>
      </c>
      <c r="AC6" t="s">
        <v>824</v>
      </c>
      <c r="AD6" t="str">
        <f>VLOOKUP(AC6,moves!A:B,2,FALSE)</f>
        <v>fire</v>
      </c>
      <c r="AE6">
        <f>VLOOKUP(AC6,moves!A:D,4,FALSE)</f>
        <v>2</v>
      </c>
      <c r="AF6">
        <f>VLOOKUP(AC6,moves!A:F,5,FALSE)</f>
        <v>0</v>
      </c>
      <c r="AG6">
        <v>1</v>
      </c>
      <c r="AH6">
        <v>0</v>
      </c>
      <c r="AI6" t="str" cm="1">
        <f t="array" ref="AI6">_xlfn.IFS(AG6=1, "starter", AH6=1, "legendary",T6&lt; 13, "weak",T6&lt; 17, "moderate", TRUE, "strong")</f>
        <v>starter</v>
      </c>
      <c r="AK6">
        <v>1</v>
      </c>
      <c r="AL6">
        <v>0</v>
      </c>
      <c r="AM6">
        <v>0</v>
      </c>
    </row>
    <row r="7" spans="1:39" x14ac:dyDescent="0.25">
      <c r="A7">
        <v>391</v>
      </c>
      <c r="B7" t="s">
        <v>147</v>
      </c>
      <c r="C7" s="1" t="s">
        <v>4</v>
      </c>
      <c r="D7" s="1" t="s">
        <v>22</v>
      </c>
      <c r="E7">
        <v>64</v>
      </c>
      <c r="F7">
        <v>78</v>
      </c>
      <c r="G7">
        <v>52</v>
      </c>
      <c r="H7">
        <v>78</v>
      </c>
      <c r="I7">
        <v>52</v>
      </c>
      <c r="J7">
        <v>81</v>
      </c>
      <c r="K7" t="s">
        <v>322</v>
      </c>
      <c r="L7" t="s">
        <v>298</v>
      </c>
      <c r="M7" t="s">
        <v>302</v>
      </c>
      <c r="N7">
        <f t="shared" si="3"/>
        <v>7.92</v>
      </c>
      <c r="O7">
        <f t="shared" si="4"/>
        <v>5.6800000000000006</v>
      </c>
      <c r="P7">
        <v>0</v>
      </c>
      <c r="Q7">
        <v>0</v>
      </c>
      <c r="R7" s="2">
        <f t="shared" si="5"/>
        <v>8</v>
      </c>
      <c r="S7" s="2">
        <f t="shared" si="6"/>
        <v>6</v>
      </c>
      <c r="T7" s="2">
        <f t="shared" si="7"/>
        <v>14</v>
      </c>
      <c r="U7" t="str">
        <f t="shared" si="0"/>
        <v>fire</v>
      </c>
      <c r="V7" t="str">
        <f>IF(D7 = 0, "", D7)</f>
        <v>fighting</v>
      </c>
      <c r="W7" t="s">
        <v>33</v>
      </c>
      <c r="X7" t="s">
        <v>5</v>
      </c>
      <c r="Y7" t="str">
        <f>B8</f>
        <v>Infernape</v>
      </c>
      <c r="Z7" s="2">
        <f t="shared" si="1"/>
        <v>6</v>
      </c>
      <c r="AA7" t="str">
        <f t="shared" si="2"/>
        <v>Monferno</v>
      </c>
      <c r="AC7" t="s">
        <v>730</v>
      </c>
      <c r="AD7" t="str">
        <f>VLOOKUP(AC7,moves!A:B,2,FALSE)</f>
        <v>fighting</v>
      </c>
      <c r="AE7">
        <f>VLOOKUP(AC7,moves!A:D,4,FALSE)</f>
        <v>2</v>
      </c>
      <c r="AF7" t="str">
        <f>VLOOKUP(AC7,moves!A:F,5,FALSE)</f>
        <v>agile</v>
      </c>
      <c r="AG7">
        <v>0</v>
      </c>
      <c r="AH7">
        <v>0</v>
      </c>
      <c r="AI7" t="str" cm="1">
        <f t="array" ref="AI7">_xlfn.IFS(AG7=1, "starter", AH7=1, "legendary",T7&lt; 13, "weak",T7&lt; 17, "moderate", TRUE, "strong")</f>
        <v>moderate</v>
      </c>
      <c r="AK7">
        <v>2</v>
      </c>
      <c r="AL7">
        <v>0</v>
      </c>
      <c r="AM7">
        <v>0</v>
      </c>
    </row>
    <row r="8" spans="1:39" x14ac:dyDescent="0.25">
      <c r="A8">
        <v>392</v>
      </c>
      <c r="B8" t="s">
        <v>148</v>
      </c>
      <c r="C8" s="1" t="s">
        <v>4</v>
      </c>
      <c r="D8" s="1" t="s">
        <v>22</v>
      </c>
      <c r="E8">
        <v>76</v>
      </c>
      <c r="F8">
        <v>104</v>
      </c>
      <c r="G8">
        <v>71</v>
      </c>
      <c r="H8">
        <v>104</v>
      </c>
      <c r="I8">
        <v>71</v>
      </c>
      <c r="J8">
        <v>108</v>
      </c>
      <c r="K8" t="s">
        <v>323</v>
      </c>
      <c r="L8" t="s">
        <v>298</v>
      </c>
      <c r="M8" t="s">
        <v>302</v>
      </c>
      <c r="N8">
        <f t="shared" si="3"/>
        <v>10.56</v>
      </c>
      <c r="O8">
        <f t="shared" si="4"/>
        <v>7.3</v>
      </c>
      <c r="P8">
        <v>0</v>
      </c>
      <c r="Q8">
        <v>0</v>
      </c>
      <c r="R8" s="2">
        <f t="shared" si="5"/>
        <v>11</v>
      </c>
      <c r="S8" s="2">
        <f t="shared" si="6"/>
        <v>7</v>
      </c>
      <c r="T8" s="2">
        <f t="shared" si="7"/>
        <v>18</v>
      </c>
      <c r="U8" t="str">
        <f t="shared" si="0"/>
        <v>fire</v>
      </c>
      <c r="V8" t="str">
        <f>IF(D8 = 0, "", D8)</f>
        <v>fighting</v>
      </c>
      <c r="W8" t="s">
        <v>33</v>
      </c>
      <c r="X8" t="s">
        <v>5</v>
      </c>
      <c r="Z8" s="2" t="str">
        <f>IF(ISBLANK(Y8), "", ROUND(( (T10-6)*(T10-7) - (T8-6)*(T8-7) )/15, 0) + 1)</f>
        <v/>
      </c>
      <c r="AA8" t="str">
        <f t="shared" si="2"/>
        <v>Infernape</v>
      </c>
      <c r="AC8" t="s">
        <v>784</v>
      </c>
      <c r="AD8" t="str">
        <f>VLOOKUP(AC8,moves!A:B,2,FALSE)</f>
        <v>fire</v>
      </c>
      <c r="AE8">
        <f>VLOOKUP(AC8,moves!A:D,4,FALSE)</f>
        <v>5</v>
      </c>
      <c r="AF8">
        <f>VLOOKUP(AC8,moves!A:F,5,FALSE)</f>
        <v>0</v>
      </c>
      <c r="AG8">
        <v>0</v>
      </c>
      <c r="AH8">
        <v>0</v>
      </c>
      <c r="AI8" t="str" cm="1">
        <f t="array" ref="AI8">_xlfn.IFS(AG8=1, "starter", AH8=1, "legendary",T8&lt; 13, "weak",T8&lt; 17, "moderate", TRUE, "strong")</f>
        <v>strong</v>
      </c>
      <c r="AK8">
        <v>3</v>
      </c>
      <c r="AL8">
        <v>0</v>
      </c>
      <c r="AM8">
        <v>1</v>
      </c>
    </row>
    <row r="9" spans="1:39" x14ac:dyDescent="0.25">
      <c r="A9" s="31" t="s">
        <v>1044</v>
      </c>
      <c r="B9" t="s">
        <v>148</v>
      </c>
      <c r="C9" s="1" t="s">
        <v>4</v>
      </c>
      <c r="D9" s="1" t="s">
        <v>22</v>
      </c>
      <c r="E9">
        <v>76</v>
      </c>
      <c r="F9">
        <v>104</v>
      </c>
      <c r="G9">
        <v>71</v>
      </c>
      <c r="H9">
        <v>104</v>
      </c>
      <c r="I9">
        <v>71</v>
      </c>
      <c r="J9">
        <v>108</v>
      </c>
      <c r="K9" t="s">
        <v>323</v>
      </c>
      <c r="M9" t="s">
        <v>797</v>
      </c>
      <c r="N9">
        <f t="shared" ref="N9" si="8">(0.4*J9 + 0.5*MAX(F9,H9) + 0.1*MIN(F9,H9)) / 10</f>
        <v>10.56</v>
      </c>
      <c r="O9">
        <f t="shared" ref="O9" si="9">(0.4*E9 + 0.3*G9 + 0.3*I9) / 10</f>
        <v>7.3</v>
      </c>
      <c r="P9">
        <v>2</v>
      </c>
      <c r="Q9">
        <v>2</v>
      </c>
      <c r="R9" s="2">
        <f t="shared" ref="R9" si="10">ROUND(N9,0)+P9</f>
        <v>13</v>
      </c>
      <c r="S9" s="2">
        <f t="shared" ref="S9" si="11">ROUND(O9,0)+Q9</f>
        <v>9</v>
      </c>
      <c r="T9" s="2">
        <f t="shared" ref="T9" si="12">SUM(ROUND(R9,0),ROUND(S9,0))</f>
        <v>22</v>
      </c>
      <c r="U9" t="str">
        <f t="shared" ref="U9" si="13">C9</f>
        <v>fire</v>
      </c>
      <c r="V9" t="str">
        <f>IF(D9 = 0, "", D9)</f>
        <v>fighting</v>
      </c>
      <c r="W9" t="s">
        <v>33</v>
      </c>
      <c r="X9" t="s">
        <v>5</v>
      </c>
      <c r="Z9" s="2" t="str">
        <f>IF(ISBLANK(Y9), "", ROUND(( (T11-6)*(T11-7) - (T9-6)*(T9-7) )/15, 0) + 1)</f>
        <v/>
      </c>
      <c r="AA9" t="str">
        <f t="shared" ref="AA9" si="14">B9</f>
        <v>Infernape</v>
      </c>
      <c r="AB9" t="s">
        <v>1070</v>
      </c>
      <c r="AC9" t="s">
        <v>784</v>
      </c>
      <c r="AD9" t="str">
        <f>VLOOKUP(AC9,moves!A:B,2,FALSE)</f>
        <v>fire</v>
      </c>
      <c r="AE9">
        <f>VLOOKUP(AC9,moves!A:D,4,FALSE)</f>
        <v>5</v>
      </c>
      <c r="AF9">
        <f>VLOOKUP(AC9,moves!A:F,5,FALSE)</f>
        <v>0</v>
      </c>
      <c r="AG9">
        <v>0</v>
      </c>
      <c r="AH9">
        <v>1</v>
      </c>
      <c r="AI9" t="str" cm="1">
        <f t="array" ref="AI9">_xlfn.IFS(AG9=1, "starter", AH9=1, "legendary",T9&lt; 13, "weak",T9&lt; 17, "moderate", TRUE, "strong")</f>
        <v>legendary</v>
      </c>
      <c r="AK9">
        <v>3</v>
      </c>
      <c r="AL9">
        <v>0</v>
      </c>
      <c r="AM9">
        <v>2</v>
      </c>
    </row>
    <row r="10" spans="1:39" x14ac:dyDescent="0.25">
      <c r="A10">
        <v>393</v>
      </c>
      <c r="B10" t="s">
        <v>149</v>
      </c>
      <c r="C10" s="1" t="s">
        <v>6</v>
      </c>
      <c r="E10">
        <v>53</v>
      </c>
      <c r="F10">
        <v>51</v>
      </c>
      <c r="G10">
        <v>53</v>
      </c>
      <c r="H10">
        <v>61</v>
      </c>
      <c r="I10">
        <v>56</v>
      </c>
      <c r="J10">
        <v>40</v>
      </c>
      <c r="K10" t="s">
        <v>324</v>
      </c>
      <c r="L10" t="s">
        <v>303</v>
      </c>
      <c r="M10" t="s">
        <v>299</v>
      </c>
      <c r="N10">
        <f t="shared" si="3"/>
        <v>5.16</v>
      </c>
      <c r="O10">
        <f t="shared" si="4"/>
        <v>5.3900000000000006</v>
      </c>
      <c r="P10">
        <v>0</v>
      </c>
      <c r="Q10">
        <v>0</v>
      </c>
      <c r="R10" s="2">
        <f t="shared" si="5"/>
        <v>5</v>
      </c>
      <c r="S10" s="2">
        <f t="shared" si="6"/>
        <v>5</v>
      </c>
      <c r="T10" s="2">
        <f t="shared" si="7"/>
        <v>10</v>
      </c>
      <c r="U10" t="str">
        <f t="shared" si="0"/>
        <v>water</v>
      </c>
      <c r="V10" t="s">
        <v>39</v>
      </c>
      <c r="W10" t="s">
        <v>5</v>
      </c>
      <c r="X10" t="s">
        <v>14</v>
      </c>
      <c r="Y10" t="str">
        <f>B11</f>
        <v>Prinplup</v>
      </c>
      <c r="Z10" s="2">
        <f t="shared" si="1"/>
        <v>4</v>
      </c>
      <c r="AA10" t="str">
        <f t="shared" si="2"/>
        <v>Piplup</v>
      </c>
      <c r="AC10" t="s">
        <v>966</v>
      </c>
      <c r="AD10" t="str">
        <f>VLOOKUP(AC10,moves!A:B,2,FALSE)</f>
        <v>water</v>
      </c>
      <c r="AE10">
        <f>VLOOKUP(AC10,moves!A:D,4,FALSE)</f>
        <v>3</v>
      </c>
      <c r="AF10">
        <f>VLOOKUP(AC10,moves!A:F,5,FALSE)</f>
        <v>0</v>
      </c>
      <c r="AG10">
        <v>1</v>
      </c>
      <c r="AH10">
        <v>0</v>
      </c>
      <c r="AI10" t="str" cm="1">
        <f t="array" ref="AI10">_xlfn.IFS(AG10=1, "starter", AH10=1, "legendary",T10&lt; 13, "weak",T10&lt; 17, "moderate", TRUE, "strong")</f>
        <v>starter</v>
      </c>
      <c r="AK10">
        <v>1</v>
      </c>
      <c r="AL10">
        <v>0</v>
      </c>
      <c r="AM10">
        <v>0</v>
      </c>
    </row>
    <row r="11" spans="1:39" x14ac:dyDescent="0.25">
      <c r="A11">
        <v>394</v>
      </c>
      <c r="B11" t="s">
        <v>150</v>
      </c>
      <c r="C11" s="1" t="s">
        <v>6</v>
      </c>
      <c r="E11">
        <v>64</v>
      </c>
      <c r="F11">
        <v>66</v>
      </c>
      <c r="G11">
        <v>68</v>
      </c>
      <c r="H11">
        <v>81</v>
      </c>
      <c r="I11">
        <v>76</v>
      </c>
      <c r="J11">
        <v>50</v>
      </c>
      <c r="K11" t="s">
        <v>324</v>
      </c>
      <c r="L11" t="s">
        <v>303</v>
      </c>
      <c r="M11" t="s">
        <v>299</v>
      </c>
      <c r="N11">
        <f t="shared" si="3"/>
        <v>6.7099999999999991</v>
      </c>
      <c r="O11">
        <f t="shared" si="4"/>
        <v>6.88</v>
      </c>
      <c r="P11">
        <v>0</v>
      </c>
      <c r="Q11">
        <v>0</v>
      </c>
      <c r="R11" s="2">
        <f t="shared" si="5"/>
        <v>7</v>
      </c>
      <c r="S11" s="2">
        <f t="shared" si="6"/>
        <v>7</v>
      </c>
      <c r="T11" s="2">
        <f t="shared" si="7"/>
        <v>14</v>
      </c>
      <c r="U11" s="1" t="str">
        <f t="shared" si="0"/>
        <v>water</v>
      </c>
      <c r="V11" t="s">
        <v>39</v>
      </c>
      <c r="W11" t="s">
        <v>5</v>
      </c>
      <c r="X11" t="s">
        <v>14</v>
      </c>
      <c r="Y11" t="str">
        <f>B12</f>
        <v>Empoleon</v>
      </c>
      <c r="Z11" s="2">
        <f t="shared" si="1"/>
        <v>6</v>
      </c>
      <c r="AA11" t="str">
        <f t="shared" si="2"/>
        <v>Prinplup</v>
      </c>
      <c r="AC11" t="s">
        <v>597</v>
      </c>
      <c r="AD11" t="str">
        <f>VLOOKUP(AC11,moves!A:B,2,FALSE)</f>
        <v>steel</v>
      </c>
      <c r="AE11">
        <f>VLOOKUP(AC11,moves!A:D,4,FALSE)</f>
        <v>3</v>
      </c>
      <c r="AF11">
        <f>VLOOKUP(AC11,moves!A:F,5,FALSE)</f>
        <v>0</v>
      </c>
      <c r="AG11">
        <v>0</v>
      </c>
      <c r="AH11">
        <v>0</v>
      </c>
      <c r="AI11" t="str" cm="1">
        <f t="array" ref="AI11">_xlfn.IFS(AG11=1, "starter", AH11=1, "legendary",T11&lt; 13, "weak",T11&lt; 17, "moderate", TRUE, "strong")</f>
        <v>moderate</v>
      </c>
      <c r="AK11">
        <v>2</v>
      </c>
      <c r="AL11">
        <v>0</v>
      </c>
      <c r="AM11">
        <v>0</v>
      </c>
    </row>
    <row r="12" spans="1:39" x14ac:dyDescent="0.25">
      <c r="A12">
        <v>395</v>
      </c>
      <c r="B12" t="s">
        <v>151</v>
      </c>
      <c r="C12" s="1" t="s">
        <v>6</v>
      </c>
      <c r="D12" s="1" t="s">
        <v>39</v>
      </c>
      <c r="E12">
        <v>84</v>
      </c>
      <c r="F12">
        <v>86</v>
      </c>
      <c r="G12">
        <v>88</v>
      </c>
      <c r="H12">
        <v>111</v>
      </c>
      <c r="I12">
        <v>101</v>
      </c>
      <c r="J12">
        <v>60</v>
      </c>
      <c r="K12" t="s">
        <v>325</v>
      </c>
      <c r="L12" t="s">
        <v>303</v>
      </c>
      <c r="M12" t="s">
        <v>299</v>
      </c>
      <c r="N12">
        <f t="shared" si="3"/>
        <v>8.8099999999999987</v>
      </c>
      <c r="O12">
        <f t="shared" si="4"/>
        <v>9.0299999999999994</v>
      </c>
      <c r="P12">
        <v>0</v>
      </c>
      <c r="Q12">
        <v>0</v>
      </c>
      <c r="R12" s="2">
        <f t="shared" si="5"/>
        <v>9</v>
      </c>
      <c r="S12" s="2">
        <f t="shared" si="6"/>
        <v>9</v>
      </c>
      <c r="T12" s="2">
        <f t="shared" si="7"/>
        <v>18</v>
      </c>
      <c r="U12" t="str">
        <f t="shared" si="0"/>
        <v>water</v>
      </c>
      <c r="V12" t="s">
        <v>39</v>
      </c>
      <c r="W12" t="s">
        <v>5</v>
      </c>
      <c r="X12" t="s">
        <v>14</v>
      </c>
      <c r="Z12" s="2" t="str">
        <f>IF(ISBLANK(Y12), "", ROUND(( (T14-6)*(T14-7) - (T12-6)*(T12-7) )/15, 0) + 1)</f>
        <v/>
      </c>
      <c r="AA12" t="str">
        <f t="shared" si="2"/>
        <v>Empoleon</v>
      </c>
      <c r="AC12" t="s">
        <v>783</v>
      </c>
      <c r="AD12" t="str">
        <f>VLOOKUP(AC12,moves!A:B,2,FALSE)</f>
        <v>water</v>
      </c>
      <c r="AE12">
        <f>VLOOKUP(AC12,moves!A:D,4,FALSE)</f>
        <v>5</v>
      </c>
      <c r="AF12">
        <f>VLOOKUP(AC12,moves!A:F,5,FALSE)</f>
        <v>0</v>
      </c>
      <c r="AG12">
        <v>0</v>
      </c>
      <c r="AH12">
        <v>0</v>
      </c>
      <c r="AI12" t="str" cm="1">
        <f t="array" ref="AI12">_xlfn.IFS(AG12=1, "starter", AH12=1, "legendary",T12&lt; 13, "weak",T12&lt; 17, "moderate", TRUE, "strong")</f>
        <v>strong</v>
      </c>
      <c r="AK12">
        <v>3</v>
      </c>
      <c r="AL12">
        <v>0</v>
      </c>
      <c r="AM12">
        <v>1</v>
      </c>
    </row>
    <row r="13" spans="1:39" x14ac:dyDescent="0.25">
      <c r="A13" s="31" t="s">
        <v>1045</v>
      </c>
      <c r="B13" t="s">
        <v>151</v>
      </c>
      <c r="C13" s="1" t="s">
        <v>6</v>
      </c>
      <c r="D13" s="1" t="s">
        <v>39</v>
      </c>
      <c r="E13">
        <v>84</v>
      </c>
      <c r="F13">
        <v>86</v>
      </c>
      <c r="G13">
        <v>88</v>
      </c>
      <c r="H13">
        <v>111</v>
      </c>
      <c r="I13">
        <v>101</v>
      </c>
      <c r="J13">
        <v>60</v>
      </c>
      <c r="K13" t="s">
        <v>325</v>
      </c>
      <c r="M13" t="s">
        <v>797</v>
      </c>
      <c r="N13">
        <f t="shared" ref="N13" si="15">(0.4*J13 + 0.5*MAX(F13,H13) + 0.1*MIN(F13,H13)) / 10</f>
        <v>8.8099999999999987</v>
      </c>
      <c r="O13">
        <f t="shared" ref="O13" si="16">(0.4*E13 + 0.3*G13 + 0.3*I13) / 10</f>
        <v>9.0299999999999994</v>
      </c>
      <c r="P13">
        <v>2</v>
      </c>
      <c r="Q13">
        <v>2</v>
      </c>
      <c r="R13" s="2">
        <f t="shared" ref="R13" si="17">ROUND(N13,0)+P13</f>
        <v>11</v>
      </c>
      <c r="S13" s="2">
        <f t="shared" ref="S13" si="18">ROUND(O13,0)+Q13</f>
        <v>11</v>
      </c>
      <c r="T13" s="2">
        <f t="shared" ref="T13" si="19">SUM(ROUND(R13,0),ROUND(S13,0))</f>
        <v>22</v>
      </c>
      <c r="U13" t="str">
        <f t="shared" ref="U13" si="20">C13</f>
        <v>water</v>
      </c>
      <c r="V13" t="s">
        <v>39</v>
      </c>
      <c r="W13" t="s">
        <v>5</v>
      </c>
      <c r="X13" t="s">
        <v>14</v>
      </c>
      <c r="Z13" s="2" t="str">
        <f>IF(ISBLANK(Y13), "", ROUND(( (T15-6)*(T15-7) - (T13-6)*(T13-7) )/15, 0) + 1)</f>
        <v/>
      </c>
      <c r="AA13" t="str">
        <f t="shared" ref="AA13" si="21">B13</f>
        <v>Empoleon</v>
      </c>
      <c r="AB13" t="s">
        <v>1070</v>
      </c>
      <c r="AC13" t="s">
        <v>783</v>
      </c>
      <c r="AD13" t="str">
        <f>VLOOKUP(AC13,moves!A:B,2,FALSE)</f>
        <v>water</v>
      </c>
      <c r="AE13">
        <f>VLOOKUP(AC13,moves!A:D,4,FALSE)</f>
        <v>5</v>
      </c>
      <c r="AF13">
        <f>VLOOKUP(AC13,moves!A:F,5,FALSE)</f>
        <v>0</v>
      </c>
      <c r="AG13">
        <v>0</v>
      </c>
      <c r="AH13">
        <v>1</v>
      </c>
      <c r="AI13" t="str" cm="1">
        <f t="array" ref="AI13">_xlfn.IFS(AG13=1, "starter", AH13=1, "legendary",T13&lt; 13, "weak",T13&lt; 17, "moderate", TRUE, "strong")</f>
        <v>legendary</v>
      </c>
      <c r="AK13">
        <v>3</v>
      </c>
      <c r="AL13">
        <v>0</v>
      </c>
      <c r="AM13">
        <v>2</v>
      </c>
    </row>
    <row r="14" spans="1:39" x14ac:dyDescent="0.25">
      <c r="A14">
        <v>396</v>
      </c>
      <c r="B14" t="s">
        <v>152</v>
      </c>
      <c r="C14" s="1" t="s">
        <v>8</v>
      </c>
      <c r="D14" s="1" t="s">
        <v>5</v>
      </c>
      <c r="E14">
        <v>40</v>
      </c>
      <c r="F14">
        <v>55</v>
      </c>
      <c r="G14">
        <v>30</v>
      </c>
      <c r="H14">
        <v>30</v>
      </c>
      <c r="I14">
        <v>30</v>
      </c>
      <c r="J14">
        <v>60</v>
      </c>
      <c r="K14" t="s">
        <v>326</v>
      </c>
      <c r="L14" t="s">
        <v>304</v>
      </c>
      <c r="M14" t="s">
        <v>300</v>
      </c>
      <c r="N14">
        <f t="shared" si="3"/>
        <v>5.45</v>
      </c>
      <c r="O14">
        <f t="shared" si="4"/>
        <v>3.4</v>
      </c>
      <c r="P14">
        <v>1</v>
      </c>
      <c r="Q14">
        <v>1</v>
      </c>
      <c r="R14" s="2">
        <f t="shared" si="5"/>
        <v>6</v>
      </c>
      <c r="S14" s="2">
        <f t="shared" si="6"/>
        <v>4</v>
      </c>
      <c r="T14" s="2">
        <f t="shared" si="7"/>
        <v>10</v>
      </c>
      <c r="U14" t="str">
        <f t="shared" si="0"/>
        <v>normal</v>
      </c>
      <c r="V14" t="str">
        <f>IF(D14 = 0, "", D14)</f>
        <v>flying</v>
      </c>
      <c r="W14" t="s">
        <v>22</v>
      </c>
      <c r="X14" t="s">
        <v>39</v>
      </c>
      <c r="Y14" t="str">
        <f>B15</f>
        <v>Staravia</v>
      </c>
      <c r="Z14" s="2">
        <f t="shared" si="1"/>
        <v>3</v>
      </c>
      <c r="AA14" t="str">
        <f t="shared" si="2"/>
        <v>Starly</v>
      </c>
      <c r="AC14" t="s">
        <v>495</v>
      </c>
      <c r="AD14" t="str">
        <f>VLOOKUP(AC14,moves!A:B,2,FALSE)</f>
        <v>flying</v>
      </c>
      <c r="AE14">
        <f>VLOOKUP(AC14,moves!A:D,4,FALSE)</f>
        <v>3</v>
      </c>
      <c r="AF14">
        <f>VLOOKUP(AC14,moves!A:F,5,FALSE)</f>
        <v>0</v>
      </c>
      <c r="AG14">
        <v>1</v>
      </c>
      <c r="AH14">
        <v>0</v>
      </c>
      <c r="AI14" t="str" cm="1">
        <f t="array" ref="AI14">_xlfn.IFS(AG14=1, "starter", AH14=1, "legendary",T14&lt; 13, "weak",T14&lt; 17, "moderate", TRUE, "strong")</f>
        <v>starter</v>
      </c>
      <c r="AK14">
        <v>1</v>
      </c>
      <c r="AL14">
        <v>0</v>
      </c>
      <c r="AM14">
        <v>0</v>
      </c>
    </row>
    <row r="15" spans="1:39" x14ac:dyDescent="0.25">
      <c r="A15">
        <v>397</v>
      </c>
      <c r="B15" t="s">
        <v>153</v>
      </c>
      <c r="C15" s="1" t="s">
        <v>8</v>
      </c>
      <c r="D15" s="1" t="s">
        <v>5</v>
      </c>
      <c r="E15">
        <v>55</v>
      </c>
      <c r="F15">
        <v>75</v>
      </c>
      <c r="G15">
        <v>50</v>
      </c>
      <c r="H15">
        <v>40</v>
      </c>
      <c r="I15">
        <v>40</v>
      </c>
      <c r="J15">
        <v>80</v>
      </c>
      <c r="K15" t="s">
        <v>326</v>
      </c>
      <c r="L15" t="s">
        <v>304</v>
      </c>
      <c r="M15" t="s">
        <v>300</v>
      </c>
      <c r="N15">
        <f t="shared" si="3"/>
        <v>7.35</v>
      </c>
      <c r="O15">
        <f t="shared" si="4"/>
        <v>4.9000000000000004</v>
      </c>
      <c r="P15">
        <v>0</v>
      </c>
      <c r="Q15">
        <v>1</v>
      </c>
      <c r="R15" s="2">
        <f t="shared" si="5"/>
        <v>7</v>
      </c>
      <c r="S15" s="2">
        <f t="shared" si="6"/>
        <v>6</v>
      </c>
      <c r="T15" s="2">
        <f t="shared" si="7"/>
        <v>13</v>
      </c>
      <c r="U15" t="str">
        <f t="shared" si="0"/>
        <v>normal</v>
      </c>
      <c r="V15" t="str">
        <f>IF(D15 = 0, "", D15)</f>
        <v>flying</v>
      </c>
      <c r="W15" t="s">
        <v>22</v>
      </c>
      <c r="X15" t="s">
        <v>39</v>
      </c>
      <c r="Y15" t="str">
        <f>B16</f>
        <v>Staraptor</v>
      </c>
      <c r="Z15" s="2">
        <f t="shared" si="1"/>
        <v>7</v>
      </c>
      <c r="AA15" t="str">
        <f t="shared" si="2"/>
        <v>Staravia</v>
      </c>
      <c r="AC15" t="s">
        <v>830</v>
      </c>
      <c r="AD15" t="str">
        <f>VLOOKUP(AC15,moves!A:B,2,FALSE)</f>
        <v>steel</v>
      </c>
      <c r="AE15">
        <f>VLOOKUP(AC15,moves!A:D,4,FALSE)</f>
        <v>3</v>
      </c>
      <c r="AF15">
        <f>VLOOKUP(AC15,moves!A:F,5,FALSE)</f>
        <v>0</v>
      </c>
      <c r="AG15">
        <v>0</v>
      </c>
      <c r="AH15">
        <v>0</v>
      </c>
      <c r="AI15" t="str" cm="1">
        <f t="array" ref="AI15">_xlfn.IFS(AG15=1, "starter", AH15=1, "legendary",T15&lt; 13, "weak",T15&lt; 17, "moderate", TRUE, "strong")</f>
        <v>moderate</v>
      </c>
      <c r="AK15">
        <v>2</v>
      </c>
      <c r="AL15">
        <v>0</v>
      </c>
      <c r="AM15">
        <v>0</v>
      </c>
    </row>
    <row r="16" spans="1:39" x14ac:dyDescent="0.25">
      <c r="A16">
        <v>398</v>
      </c>
      <c r="B16" t="s">
        <v>154</v>
      </c>
      <c r="C16" s="1" t="s">
        <v>8</v>
      </c>
      <c r="D16" s="1" t="s">
        <v>5</v>
      </c>
      <c r="E16">
        <v>85</v>
      </c>
      <c r="F16">
        <v>120</v>
      </c>
      <c r="G16">
        <v>70</v>
      </c>
      <c r="H16">
        <v>50</v>
      </c>
      <c r="I16">
        <v>60</v>
      </c>
      <c r="J16">
        <v>100</v>
      </c>
      <c r="K16" t="s">
        <v>327</v>
      </c>
      <c r="L16" t="s">
        <v>304</v>
      </c>
      <c r="M16" t="s">
        <v>300</v>
      </c>
      <c r="N16">
        <f t="shared" si="3"/>
        <v>10.5</v>
      </c>
      <c r="O16">
        <f t="shared" si="4"/>
        <v>7.3</v>
      </c>
      <c r="P16">
        <v>0</v>
      </c>
      <c r="Q16">
        <v>0</v>
      </c>
      <c r="R16" s="2">
        <f t="shared" si="5"/>
        <v>11</v>
      </c>
      <c r="S16" s="2">
        <f t="shared" si="6"/>
        <v>7</v>
      </c>
      <c r="T16" s="2">
        <f t="shared" si="7"/>
        <v>18</v>
      </c>
      <c r="U16" t="str">
        <f t="shared" si="0"/>
        <v>normal</v>
      </c>
      <c r="V16" t="str">
        <f>IF(D16 = 0, "", D16)</f>
        <v>flying</v>
      </c>
      <c r="W16" t="s">
        <v>22</v>
      </c>
      <c r="X16" t="s">
        <v>39</v>
      </c>
      <c r="Z16" s="2" t="str">
        <f>IF(ISBLANK(Y16), "", ROUND(( (T18-6)*(T18-7) - (T16-6)*(T16-7) )/15, 0) + 1)</f>
        <v/>
      </c>
      <c r="AA16" t="str">
        <f t="shared" si="2"/>
        <v>Staraptor</v>
      </c>
      <c r="AC16" t="s">
        <v>493</v>
      </c>
      <c r="AD16" t="str">
        <f>VLOOKUP(AC16,moves!A:B,2,FALSE)</f>
        <v>fighting</v>
      </c>
      <c r="AE16">
        <f>VLOOKUP(AC16,moves!A:D,4,FALSE)</f>
        <v>5</v>
      </c>
      <c r="AF16">
        <f>VLOOKUP(AC16,moves!A:F,5,FALSE)</f>
        <v>0</v>
      </c>
      <c r="AG16">
        <v>0</v>
      </c>
      <c r="AH16">
        <v>0</v>
      </c>
      <c r="AI16" t="str" cm="1">
        <f t="array" ref="AI16">_xlfn.IFS(AG16=1, "starter", AH16=1, "legendary",T16&lt; 13, "weak",T16&lt; 17, "moderate", TRUE, "strong")</f>
        <v>strong</v>
      </c>
      <c r="AK16">
        <v>3</v>
      </c>
      <c r="AL16">
        <v>0</v>
      </c>
      <c r="AM16">
        <v>1</v>
      </c>
    </row>
    <row r="17" spans="1:39" x14ac:dyDescent="0.25">
      <c r="A17" s="31" t="s">
        <v>1046</v>
      </c>
      <c r="B17" t="s">
        <v>154</v>
      </c>
      <c r="C17" s="1" t="s">
        <v>8</v>
      </c>
      <c r="D17" s="1" t="s">
        <v>5</v>
      </c>
      <c r="E17">
        <v>85</v>
      </c>
      <c r="F17">
        <v>120</v>
      </c>
      <c r="G17">
        <v>70</v>
      </c>
      <c r="H17">
        <v>50</v>
      </c>
      <c r="I17">
        <v>60</v>
      </c>
      <c r="J17">
        <v>100</v>
      </c>
      <c r="K17" t="s">
        <v>327</v>
      </c>
      <c r="M17" t="s">
        <v>797</v>
      </c>
      <c r="N17">
        <f t="shared" ref="N17" si="22">(0.4*J17 + 0.5*MAX(F17,H17) + 0.1*MIN(F17,H17)) / 10</f>
        <v>10.5</v>
      </c>
      <c r="O17">
        <f t="shared" ref="O17" si="23">(0.4*E17 + 0.3*G17 + 0.3*I17) / 10</f>
        <v>7.3</v>
      </c>
      <c r="P17">
        <v>2</v>
      </c>
      <c r="Q17">
        <v>2</v>
      </c>
      <c r="R17" s="2">
        <f t="shared" ref="R17" si="24">ROUND(N17,0)+P17</f>
        <v>13</v>
      </c>
      <c r="S17" s="2">
        <f t="shared" ref="S17" si="25">ROUND(O17,0)+Q17</f>
        <v>9</v>
      </c>
      <c r="T17" s="2">
        <f t="shared" ref="T17" si="26">SUM(ROUND(R17,0),ROUND(S17,0))</f>
        <v>22</v>
      </c>
      <c r="U17" t="str">
        <f t="shared" ref="U17" si="27">C17</f>
        <v>normal</v>
      </c>
      <c r="V17" t="str">
        <f>IF(D17 = 0, "", D17)</f>
        <v>flying</v>
      </c>
      <c r="W17" t="s">
        <v>22</v>
      </c>
      <c r="X17" t="s">
        <v>39</v>
      </c>
      <c r="Z17" s="2" t="str">
        <f>IF(ISBLANK(Y17), "", ROUND(( (T19-6)*(T19-7) - (T17-6)*(T17-7) )/15, 0) + 1)</f>
        <v/>
      </c>
      <c r="AA17" t="str">
        <f t="shared" ref="AA17" si="28">B17</f>
        <v>Staraptor</v>
      </c>
      <c r="AB17" t="s">
        <v>1070</v>
      </c>
      <c r="AC17" t="s">
        <v>493</v>
      </c>
      <c r="AD17" t="str">
        <f>VLOOKUP(AC17,moves!A:B,2,FALSE)</f>
        <v>fighting</v>
      </c>
      <c r="AE17">
        <f>VLOOKUP(AC17,moves!A:D,4,FALSE)</f>
        <v>5</v>
      </c>
      <c r="AF17">
        <f>VLOOKUP(AC17,moves!A:F,5,FALSE)</f>
        <v>0</v>
      </c>
      <c r="AG17">
        <v>0</v>
      </c>
      <c r="AH17">
        <v>1</v>
      </c>
      <c r="AI17" t="str" cm="1">
        <f t="array" ref="AI17">_xlfn.IFS(AG17=1, "starter", AH17=1, "legendary",T17&lt; 13, "weak",T17&lt; 17, "moderate", TRUE, "strong")</f>
        <v>legendary</v>
      </c>
      <c r="AK17">
        <v>3</v>
      </c>
      <c r="AL17">
        <v>0</v>
      </c>
      <c r="AM17">
        <v>2</v>
      </c>
    </row>
    <row r="18" spans="1:39" x14ac:dyDescent="0.25">
      <c r="A18">
        <v>399</v>
      </c>
      <c r="B18" t="s">
        <v>155</v>
      </c>
      <c r="C18" s="1" t="s">
        <v>8</v>
      </c>
      <c r="E18">
        <v>59</v>
      </c>
      <c r="F18">
        <v>45</v>
      </c>
      <c r="G18">
        <v>40</v>
      </c>
      <c r="H18">
        <v>35</v>
      </c>
      <c r="I18">
        <v>40</v>
      </c>
      <c r="J18">
        <v>31</v>
      </c>
      <c r="K18" t="s">
        <v>328</v>
      </c>
      <c r="L18" t="s">
        <v>301</v>
      </c>
      <c r="M18" t="s">
        <v>300</v>
      </c>
      <c r="N18">
        <f t="shared" si="3"/>
        <v>3.84</v>
      </c>
      <c r="O18">
        <f t="shared" si="4"/>
        <v>4.76</v>
      </c>
      <c r="P18">
        <v>0</v>
      </c>
      <c r="Q18">
        <v>0</v>
      </c>
      <c r="R18" s="2">
        <f t="shared" si="5"/>
        <v>4</v>
      </c>
      <c r="S18" s="2">
        <f t="shared" si="6"/>
        <v>5</v>
      </c>
      <c r="T18" s="2">
        <f t="shared" si="7"/>
        <v>9</v>
      </c>
      <c r="U18" t="str">
        <f t="shared" si="0"/>
        <v>normal</v>
      </c>
      <c r="V18" t="s">
        <v>6</v>
      </c>
      <c r="W18" t="s">
        <v>22</v>
      </c>
      <c r="X18" t="s">
        <v>11</v>
      </c>
      <c r="Y18" t="str">
        <f>B19</f>
        <v>Bibarel</v>
      </c>
      <c r="Z18" s="2">
        <f t="shared" si="1"/>
        <v>5</v>
      </c>
      <c r="AA18" t="str">
        <f t="shared" si="2"/>
        <v>Bidoof</v>
      </c>
      <c r="AC18" t="s">
        <v>511</v>
      </c>
      <c r="AD18" t="str">
        <f>VLOOKUP(AC18,moves!A:B,2,FALSE)</f>
        <v>normal</v>
      </c>
      <c r="AE18">
        <f>VLOOKUP(AC18,moves!A:D,4,FALSE)</f>
        <v>2</v>
      </c>
      <c r="AF18">
        <f>VLOOKUP(AC18,moves!A:F,5,FALSE)</f>
        <v>0</v>
      </c>
      <c r="AG18">
        <v>0</v>
      </c>
      <c r="AH18">
        <v>0</v>
      </c>
      <c r="AI18" t="str" cm="1">
        <f t="array" ref="AI18">_xlfn.IFS(AG18=1, "starter", AH18=1, "legendary",T18&lt; 13, "weak",T18&lt; 17, "moderate", TRUE, "strong")</f>
        <v>weak</v>
      </c>
      <c r="AK18">
        <v>1</v>
      </c>
      <c r="AL18">
        <v>0</v>
      </c>
      <c r="AM18">
        <v>0</v>
      </c>
    </row>
    <row r="19" spans="1:39" x14ac:dyDescent="0.25">
      <c r="A19">
        <v>400</v>
      </c>
      <c r="B19" t="s">
        <v>156</v>
      </c>
      <c r="C19" s="1" t="s">
        <v>8</v>
      </c>
      <c r="D19" s="1" t="s">
        <v>6</v>
      </c>
      <c r="E19">
        <v>79</v>
      </c>
      <c r="F19">
        <v>85</v>
      </c>
      <c r="G19">
        <v>60</v>
      </c>
      <c r="H19">
        <v>55</v>
      </c>
      <c r="I19">
        <v>60</v>
      </c>
      <c r="J19">
        <v>71</v>
      </c>
      <c r="K19" t="s">
        <v>329</v>
      </c>
      <c r="L19" t="s">
        <v>301</v>
      </c>
      <c r="M19" t="s">
        <v>300</v>
      </c>
      <c r="N19">
        <f t="shared" si="3"/>
        <v>7.6400000000000006</v>
      </c>
      <c r="O19">
        <f t="shared" si="4"/>
        <v>6.76</v>
      </c>
      <c r="P19">
        <v>0</v>
      </c>
      <c r="Q19">
        <v>0</v>
      </c>
      <c r="R19" s="2">
        <f t="shared" si="5"/>
        <v>8</v>
      </c>
      <c r="S19" s="2">
        <f t="shared" si="6"/>
        <v>7</v>
      </c>
      <c r="T19" s="2">
        <f t="shared" si="7"/>
        <v>15</v>
      </c>
      <c r="U19" t="str">
        <f t="shared" si="0"/>
        <v>normal</v>
      </c>
      <c r="V19" t="str">
        <f>IF(D19 = 0, "", D19)</f>
        <v>water</v>
      </c>
      <c r="W19" t="s">
        <v>22</v>
      </c>
      <c r="X19" t="s">
        <v>11</v>
      </c>
      <c r="Z19" s="2" t="str">
        <f t="shared" si="1"/>
        <v/>
      </c>
      <c r="AA19" t="str">
        <f t="shared" si="2"/>
        <v>Bibarel</v>
      </c>
      <c r="AC19" t="s">
        <v>580</v>
      </c>
      <c r="AD19" t="str">
        <f>VLOOKUP(AC19,moves!A:B,2,FALSE)</f>
        <v>water</v>
      </c>
      <c r="AE19">
        <f>VLOOKUP(AC19,moves!A:D,4,FALSE)</f>
        <v>4</v>
      </c>
      <c r="AF19">
        <f>VLOOKUP(AC19,moves!A:F,5,FALSE)</f>
        <v>0</v>
      </c>
      <c r="AG19">
        <v>0</v>
      </c>
      <c r="AH19">
        <v>0</v>
      </c>
      <c r="AI19" t="str" cm="1">
        <f t="array" ref="AI19">_xlfn.IFS(AG19=1, "starter", AH19=1, "legendary",T19&lt; 13, "weak",T19&lt; 17, "moderate", TRUE, "strong")</f>
        <v>moderate</v>
      </c>
      <c r="AK19">
        <v>2</v>
      </c>
      <c r="AL19">
        <v>0</v>
      </c>
      <c r="AM19">
        <v>0</v>
      </c>
    </row>
    <row r="20" spans="1:39" x14ac:dyDescent="0.25">
      <c r="A20">
        <v>401</v>
      </c>
      <c r="B20" t="s">
        <v>157</v>
      </c>
      <c r="C20" s="1" t="s">
        <v>7</v>
      </c>
      <c r="E20">
        <v>37</v>
      </c>
      <c r="F20">
        <v>25</v>
      </c>
      <c r="G20">
        <v>41</v>
      </c>
      <c r="H20">
        <v>25</v>
      </c>
      <c r="I20">
        <v>41</v>
      </c>
      <c r="J20">
        <v>25</v>
      </c>
      <c r="K20" t="s">
        <v>330</v>
      </c>
      <c r="L20" t="s">
        <v>301</v>
      </c>
      <c r="M20" t="s">
        <v>302</v>
      </c>
      <c r="N20">
        <f t="shared" si="3"/>
        <v>2.5</v>
      </c>
      <c r="O20">
        <f t="shared" si="4"/>
        <v>3.94</v>
      </c>
      <c r="P20">
        <v>0</v>
      </c>
      <c r="Q20">
        <v>0</v>
      </c>
      <c r="R20" s="2">
        <f t="shared" si="5"/>
        <v>3</v>
      </c>
      <c r="S20" s="2">
        <f t="shared" si="6"/>
        <v>4</v>
      </c>
      <c r="T20" s="2">
        <f t="shared" si="7"/>
        <v>7</v>
      </c>
      <c r="U20" t="str">
        <f t="shared" si="0"/>
        <v>bug</v>
      </c>
      <c r="V20" t="s">
        <v>8</v>
      </c>
      <c r="W20" t="s">
        <v>9</v>
      </c>
      <c r="X20" t="s">
        <v>2</v>
      </c>
      <c r="Y20" t="str">
        <f>B21</f>
        <v>Kricketune</v>
      </c>
      <c r="Z20" s="2">
        <f t="shared" si="1"/>
        <v>4</v>
      </c>
      <c r="AA20" t="str">
        <f t="shared" si="2"/>
        <v>Kricketot</v>
      </c>
      <c r="AC20" t="s">
        <v>858</v>
      </c>
      <c r="AD20" t="str">
        <f>VLOOKUP(AC20,moves!A:B,2,FALSE)</f>
        <v>bug</v>
      </c>
      <c r="AE20">
        <f>VLOOKUP(AC20,moves!A:D,4,FALSE)</f>
        <v>2</v>
      </c>
      <c r="AF20">
        <f>VLOOKUP(AC20,moves!A:F,5,FALSE)</f>
        <v>0</v>
      </c>
      <c r="AG20">
        <v>0</v>
      </c>
      <c r="AH20">
        <v>0</v>
      </c>
      <c r="AI20" t="str" cm="1">
        <f t="array" ref="AI20">_xlfn.IFS(AG20=1, "starter", AH20=1, "legendary",T20&lt; 13, "weak",T20&lt; 17, "moderate", TRUE, "strong")</f>
        <v>weak</v>
      </c>
      <c r="AK20">
        <v>1</v>
      </c>
      <c r="AL20">
        <v>0</v>
      </c>
      <c r="AM20">
        <v>0</v>
      </c>
    </row>
    <row r="21" spans="1:39" x14ac:dyDescent="0.25">
      <c r="A21">
        <v>402</v>
      </c>
      <c r="B21" t="s">
        <v>158</v>
      </c>
      <c r="C21" s="1" t="s">
        <v>7</v>
      </c>
      <c r="E21">
        <v>77</v>
      </c>
      <c r="F21">
        <v>85</v>
      </c>
      <c r="G21">
        <v>51</v>
      </c>
      <c r="H21">
        <v>55</v>
      </c>
      <c r="I21">
        <v>51</v>
      </c>
      <c r="J21">
        <v>65</v>
      </c>
      <c r="K21" t="s">
        <v>330</v>
      </c>
      <c r="L21" t="s">
        <v>301</v>
      </c>
      <c r="M21" t="s">
        <v>302</v>
      </c>
      <c r="N21">
        <f t="shared" si="3"/>
        <v>7.4</v>
      </c>
      <c r="O21">
        <f t="shared" si="4"/>
        <v>6.14</v>
      </c>
      <c r="P21">
        <v>0</v>
      </c>
      <c r="Q21">
        <v>0</v>
      </c>
      <c r="R21" s="2">
        <f t="shared" si="5"/>
        <v>7</v>
      </c>
      <c r="S21" s="2">
        <f t="shared" si="6"/>
        <v>6</v>
      </c>
      <c r="T21" s="2">
        <f t="shared" si="7"/>
        <v>13</v>
      </c>
      <c r="U21" t="str">
        <f t="shared" si="0"/>
        <v>bug</v>
      </c>
      <c r="V21" t="s">
        <v>8</v>
      </c>
      <c r="W21" t="s">
        <v>9</v>
      </c>
      <c r="X21" t="s">
        <v>2</v>
      </c>
      <c r="Z21" s="2" t="str">
        <f t="shared" si="1"/>
        <v/>
      </c>
      <c r="AA21" t="str">
        <f t="shared" si="2"/>
        <v>Kricketune</v>
      </c>
      <c r="AC21" t="s">
        <v>545</v>
      </c>
      <c r="AD21" t="str">
        <f>VLOOKUP(AC21,moves!A:B,2,FALSE)</f>
        <v>normal</v>
      </c>
      <c r="AE21">
        <f>VLOOKUP(AC21,moves!A:D,4,FALSE)</f>
        <v>1</v>
      </c>
      <c r="AF21">
        <f>VLOOKUP(AC21,moves!A:F,5,FALSE)</f>
        <v>0</v>
      </c>
      <c r="AG21">
        <v>0</v>
      </c>
      <c r="AH21">
        <v>0</v>
      </c>
      <c r="AI21" t="str" cm="1">
        <f t="array" ref="AI21">_xlfn.IFS(AG21=1, "starter", AH21=1, "legendary",T21&lt; 13, "weak",T21&lt; 17, "moderate", TRUE, "strong")</f>
        <v>moderate</v>
      </c>
      <c r="AK21">
        <v>2</v>
      </c>
      <c r="AL21">
        <v>0</v>
      </c>
      <c r="AM21">
        <v>0</v>
      </c>
    </row>
    <row r="22" spans="1:39" x14ac:dyDescent="0.25">
      <c r="A22">
        <v>403</v>
      </c>
      <c r="B22" t="s">
        <v>159</v>
      </c>
      <c r="C22" s="1" t="s">
        <v>11</v>
      </c>
      <c r="E22">
        <v>45</v>
      </c>
      <c r="F22">
        <v>65</v>
      </c>
      <c r="G22">
        <v>34</v>
      </c>
      <c r="H22">
        <v>40</v>
      </c>
      <c r="I22">
        <v>34</v>
      </c>
      <c r="J22">
        <v>45</v>
      </c>
      <c r="K22" t="s">
        <v>331</v>
      </c>
      <c r="L22" t="s">
        <v>301</v>
      </c>
      <c r="M22" t="s">
        <v>302</v>
      </c>
      <c r="N22">
        <f t="shared" si="3"/>
        <v>5.45</v>
      </c>
      <c r="O22">
        <f t="shared" si="4"/>
        <v>3.84</v>
      </c>
      <c r="P22">
        <v>1</v>
      </c>
      <c r="Q22">
        <v>0</v>
      </c>
      <c r="R22" s="2">
        <f t="shared" si="5"/>
        <v>6</v>
      </c>
      <c r="S22" s="2">
        <f t="shared" si="6"/>
        <v>4</v>
      </c>
      <c r="T22" s="2">
        <f t="shared" si="7"/>
        <v>10</v>
      </c>
      <c r="U22" t="str">
        <f t="shared" si="0"/>
        <v>electric</v>
      </c>
      <c r="V22" t="s">
        <v>9</v>
      </c>
      <c r="W22" t="s">
        <v>8</v>
      </c>
      <c r="X22" t="s">
        <v>22</v>
      </c>
      <c r="Y22" t="str">
        <f>B23</f>
        <v>Luxio</v>
      </c>
      <c r="Z22" s="2">
        <f t="shared" si="1"/>
        <v>3</v>
      </c>
      <c r="AA22" t="str">
        <f t="shared" si="2"/>
        <v>Shinx</v>
      </c>
      <c r="AC22" t="s">
        <v>482</v>
      </c>
      <c r="AD22" t="str">
        <f>VLOOKUP(AC22,moves!A:B,2,FALSE)</f>
        <v>electric</v>
      </c>
      <c r="AE22">
        <f>VLOOKUP(AC22,moves!A:D,4,FALSE)</f>
        <v>3</v>
      </c>
      <c r="AF22" t="str">
        <f>VLOOKUP(AC22,moves!A:F,5,FALSE)</f>
        <v>switch</v>
      </c>
      <c r="AG22">
        <v>1</v>
      </c>
      <c r="AH22">
        <v>0</v>
      </c>
      <c r="AI22" t="str" cm="1">
        <f t="array" ref="AI22">_xlfn.IFS(AG22=1, "starter", AH22=1, "legendary",T22&lt; 13, "weak",T22&lt; 17, "moderate", TRUE, "strong")</f>
        <v>starter</v>
      </c>
      <c r="AK22">
        <v>1</v>
      </c>
      <c r="AL22">
        <v>0</v>
      </c>
      <c r="AM22">
        <v>0</v>
      </c>
    </row>
    <row r="23" spans="1:39" x14ac:dyDescent="0.25">
      <c r="A23">
        <v>404</v>
      </c>
      <c r="B23" t="s">
        <v>160</v>
      </c>
      <c r="C23" s="1" t="s">
        <v>11</v>
      </c>
      <c r="E23">
        <v>60</v>
      </c>
      <c r="F23">
        <v>85</v>
      </c>
      <c r="G23">
        <v>49</v>
      </c>
      <c r="H23">
        <v>60</v>
      </c>
      <c r="I23">
        <v>49</v>
      </c>
      <c r="J23">
        <v>60</v>
      </c>
      <c r="K23" t="s">
        <v>332</v>
      </c>
      <c r="L23" t="s">
        <v>301</v>
      </c>
      <c r="M23" t="s">
        <v>302</v>
      </c>
      <c r="N23">
        <f t="shared" si="3"/>
        <v>7.25</v>
      </c>
      <c r="O23">
        <f t="shared" si="4"/>
        <v>5.3400000000000007</v>
      </c>
      <c r="P23">
        <v>0</v>
      </c>
      <c r="Q23">
        <v>1</v>
      </c>
      <c r="R23" s="2">
        <f t="shared" si="5"/>
        <v>7</v>
      </c>
      <c r="S23" s="2">
        <f t="shared" si="6"/>
        <v>6</v>
      </c>
      <c r="T23" s="2">
        <f t="shared" si="7"/>
        <v>13</v>
      </c>
      <c r="U23" t="str">
        <f t="shared" si="0"/>
        <v>electric</v>
      </c>
      <c r="V23" t="s">
        <v>9</v>
      </c>
      <c r="W23" t="s">
        <v>8</v>
      </c>
      <c r="X23" t="s">
        <v>22</v>
      </c>
      <c r="Y23" t="str">
        <f>B24</f>
        <v>Luxray</v>
      </c>
      <c r="Z23" s="2">
        <f t="shared" si="1"/>
        <v>7</v>
      </c>
      <c r="AA23" t="str">
        <f t="shared" si="2"/>
        <v>Luxio</v>
      </c>
      <c r="AC23" t="s">
        <v>528</v>
      </c>
      <c r="AD23" t="str">
        <f>VLOOKUP(AC23,moves!A:B,2,FALSE)</f>
        <v>dark</v>
      </c>
      <c r="AE23">
        <f>VLOOKUP(AC23,moves!A:D,4,FALSE)</f>
        <v>3</v>
      </c>
      <c r="AF23">
        <f>VLOOKUP(AC23,moves!A:F,5,FALSE)</f>
        <v>0</v>
      </c>
      <c r="AG23">
        <v>0</v>
      </c>
      <c r="AH23">
        <v>0</v>
      </c>
      <c r="AI23" t="str" cm="1">
        <f t="array" ref="AI23">_xlfn.IFS(AG23=1, "starter", AH23=1, "legendary",T23&lt; 13, "weak",T23&lt; 17, "moderate", TRUE, "strong")</f>
        <v>moderate</v>
      </c>
      <c r="AK23">
        <v>2</v>
      </c>
      <c r="AL23">
        <v>0</v>
      </c>
      <c r="AM23">
        <v>0</v>
      </c>
    </row>
    <row r="24" spans="1:39" x14ac:dyDescent="0.25">
      <c r="A24">
        <v>405</v>
      </c>
      <c r="B24" t="s">
        <v>161</v>
      </c>
      <c r="C24" s="1" t="s">
        <v>11</v>
      </c>
      <c r="E24">
        <v>80</v>
      </c>
      <c r="F24">
        <v>120</v>
      </c>
      <c r="G24">
        <v>79</v>
      </c>
      <c r="H24">
        <v>95</v>
      </c>
      <c r="I24">
        <v>79</v>
      </c>
      <c r="J24">
        <v>70</v>
      </c>
      <c r="K24" t="s">
        <v>333</v>
      </c>
      <c r="L24" t="s">
        <v>301</v>
      </c>
      <c r="M24" t="s">
        <v>302</v>
      </c>
      <c r="N24">
        <f t="shared" si="3"/>
        <v>9.75</v>
      </c>
      <c r="O24">
        <f t="shared" si="4"/>
        <v>7.94</v>
      </c>
      <c r="P24">
        <v>0</v>
      </c>
      <c r="Q24">
        <v>0</v>
      </c>
      <c r="R24" s="2">
        <f t="shared" si="5"/>
        <v>10</v>
      </c>
      <c r="S24" s="2">
        <f t="shared" si="6"/>
        <v>8</v>
      </c>
      <c r="T24" s="2">
        <f t="shared" si="7"/>
        <v>18</v>
      </c>
      <c r="U24" t="str">
        <f t="shared" si="0"/>
        <v>electric</v>
      </c>
      <c r="V24" t="s">
        <v>9</v>
      </c>
      <c r="W24" t="s">
        <v>8</v>
      </c>
      <c r="X24" t="s">
        <v>22</v>
      </c>
      <c r="Z24" s="2" t="str">
        <f>IF(ISBLANK(Y24), "", ROUND(( (T26-6)*(T26-7) - (T24-6)*(T24-7) )/15, 0) + 1)</f>
        <v/>
      </c>
      <c r="AA24" t="str">
        <f t="shared" si="2"/>
        <v>Luxray</v>
      </c>
      <c r="AC24" t="s">
        <v>672</v>
      </c>
      <c r="AD24" t="str">
        <f>VLOOKUP(AC24,moves!A:B,2,FALSE)</f>
        <v>electric</v>
      </c>
      <c r="AE24">
        <f>VLOOKUP(AC24,moves!A:D,4,FALSE)</f>
        <v>4</v>
      </c>
      <c r="AF24">
        <f>VLOOKUP(AC24,moves!A:F,5,FALSE)</f>
        <v>0</v>
      </c>
      <c r="AG24">
        <v>0</v>
      </c>
      <c r="AH24">
        <v>0</v>
      </c>
      <c r="AI24" t="str" cm="1">
        <f t="array" ref="AI24">_xlfn.IFS(AG24=1, "starter", AH24=1, "legendary",T24&lt; 13, "weak",T24&lt; 17, "moderate", TRUE, "strong")</f>
        <v>strong</v>
      </c>
      <c r="AK24">
        <v>3</v>
      </c>
      <c r="AL24">
        <v>0</v>
      </c>
      <c r="AM24">
        <v>1</v>
      </c>
    </row>
    <row r="25" spans="1:39" x14ac:dyDescent="0.25">
      <c r="A25" s="31" t="s">
        <v>1047</v>
      </c>
      <c r="B25" t="s">
        <v>161</v>
      </c>
      <c r="C25" s="1" t="s">
        <v>11</v>
      </c>
      <c r="E25">
        <v>80</v>
      </c>
      <c r="F25">
        <v>120</v>
      </c>
      <c r="G25">
        <v>79</v>
      </c>
      <c r="H25">
        <v>95</v>
      </c>
      <c r="I25">
        <v>79</v>
      </c>
      <c r="J25">
        <v>70</v>
      </c>
      <c r="K25" t="s">
        <v>333</v>
      </c>
      <c r="M25" t="s">
        <v>797</v>
      </c>
      <c r="N25">
        <f t="shared" ref="N25" si="29">(0.4*J25 + 0.5*MAX(F25,H25) + 0.1*MIN(F25,H25)) / 10</f>
        <v>9.75</v>
      </c>
      <c r="O25">
        <f t="shared" ref="O25" si="30">(0.4*E25 + 0.3*G25 + 0.3*I25) / 10</f>
        <v>7.94</v>
      </c>
      <c r="P25">
        <v>2</v>
      </c>
      <c r="Q25">
        <v>2</v>
      </c>
      <c r="R25" s="2">
        <f t="shared" ref="R25" si="31">ROUND(N25,0)+P25</f>
        <v>12</v>
      </c>
      <c r="S25" s="2">
        <f t="shared" ref="S25" si="32">ROUND(O25,0)+Q25</f>
        <v>10</v>
      </c>
      <c r="T25" s="2">
        <f t="shared" ref="T25" si="33">SUM(ROUND(R25,0),ROUND(S25,0))</f>
        <v>22</v>
      </c>
      <c r="U25" t="str">
        <f t="shared" ref="U25" si="34">C25</f>
        <v>electric</v>
      </c>
      <c r="V25" t="s">
        <v>9</v>
      </c>
      <c r="W25" t="s">
        <v>8</v>
      </c>
      <c r="X25" t="s">
        <v>22</v>
      </c>
      <c r="Z25" s="2" t="str">
        <f>IF(ISBLANK(Y25), "", ROUND(( (T27-6)*(T27-7) - (T25-6)*(T25-7) )/15, 0) + 1)</f>
        <v/>
      </c>
      <c r="AA25" t="str">
        <f t="shared" ref="AA25" si="35">B25</f>
        <v>Luxray</v>
      </c>
      <c r="AB25" t="s">
        <v>1070</v>
      </c>
      <c r="AC25" t="s">
        <v>672</v>
      </c>
      <c r="AD25" t="str">
        <f>VLOOKUP(AC25,moves!A:B,2,FALSE)</f>
        <v>electric</v>
      </c>
      <c r="AE25">
        <f>VLOOKUP(AC25,moves!A:D,4,FALSE)</f>
        <v>4</v>
      </c>
      <c r="AF25">
        <f>VLOOKUP(AC25,moves!A:F,5,FALSE)</f>
        <v>0</v>
      </c>
      <c r="AG25">
        <v>0</v>
      </c>
      <c r="AH25">
        <v>1</v>
      </c>
      <c r="AI25" t="str" cm="1">
        <f t="array" ref="AI25">_xlfn.IFS(AG25=1, "starter", AH25=1, "legendary",T25&lt; 13, "weak",T25&lt; 17, "moderate", TRUE, "strong")</f>
        <v>legendary</v>
      </c>
      <c r="AK25">
        <v>3</v>
      </c>
      <c r="AL25">
        <v>0</v>
      </c>
      <c r="AM25">
        <v>2</v>
      </c>
    </row>
    <row r="26" spans="1:39" x14ac:dyDescent="0.25">
      <c r="A26">
        <v>406</v>
      </c>
      <c r="B26" t="s">
        <v>162</v>
      </c>
      <c r="C26" s="1" t="s">
        <v>2</v>
      </c>
      <c r="D26" s="1" t="s">
        <v>3</v>
      </c>
      <c r="E26">
        <v>40</v>
      </c>
      <c r="F26">
        <v>30</v>
      </c>
      <c r="G26">
        <v>35</v>
      </c>
      <c r="H26">
        <v>50</v>
      </c>
      <c r="I26">
        <v>70</v>
      </c>
      <c r="J26">
        <v>55</v>
      </c>
      <c r="K26" t="s">
        <v>334</v>
      </c>
      <c r="L26" t="s">
        <v>301</v>
      </c>
      <c r="M26" t="s">
        <v>302</v>
      </c>
      <c r="N26">
        <f t="shared" si="3"/>
        <v>5</v>
      </c>
      <c r="O26">
        <f t="shared" si="4"/>
        <v>4.75</v>
      </c>
      <c r="P26">
        <v>0</v>
      </c>
      <c r="Q26">
        <v>0</v>
      </c>
      <c r="R26" s="2">
        <f t="shared" si="5"/>
        <v>5</v>
      </c>
      <c r="S26" s="2">
        <f t="shared" si="6"/>
        <v>5</v>
      </c>
      <c r="T26" s="2">
        <f t="shared" si="7"/>
        <v>10</v>
      </c>
      <c r="U26" t="str">
        <f t="shared" si="0"/>
        <v>grass</v>
      </c>
      <c r="V26" t="str">
        <f>IF(D26 = 0, "", D26)</f>
        <v>poison</v>
      </c>
      <c r="W26" t="s">
        <v>8</v>
      </c>
      <c r="X26" t="s">
        <v>16</v>
      </c>
      <c r="Y26" t="str">
        <f>B27</f>
        <v>Roselia</v>
      </c>
      <c r="Z26" s="2">
        <f t="shared" si="1"/>
        <v>4</v>
      </c>
      <c r="AA26" t="str">
        <f t="shared" si="2"/>
        <v>Budew</v>
      </c>
      <c r="AC26" t="s">
        <v>521</v>
      </c>
      <c r="AD26" t="str">
        <f>VLOOKUP(AC26,moves!A:B,2,FALSE)</f>
        <v>grass</v>
      </c>
      <c r="AE26">
        <f>VLOOKUP(AC26,moves!A:D,4,FALSE)</f>
        <v>1</v>
      </c>
      <c r="AF26" t="str">
        <f>VLOOKUP(AC26,moves!A:F,5,FALSE)</f>
        <v>agile</v>
      </c>
      <c r="AG26">
        <v>1</v>
      </c>
      <c r="AH26">
        <v>0</v>
      </c>
      <c r="AI26" t="str" cm="1">
        <f t="array" ref="AI26">_xlfn.IFS(AG26=1, "starter", AH26=1, "legendary",T26&lt; 13, "weak",T26&lt; 17, "moderate", TRUE, "strong")</f>
        <v>starter</v>
      </c>
      <c r="AK26">
        <v>1</v>
      </c>
      <c r="AL26">
        <v>0</v>
      </c>
      <c r="AM26">
        <v>0</v>
      </c>
    </row>
    <row r="27" spans="1:39" x14ac:dyDescent="0.25">
      <c r="A27">
        <v>315</v>
      </c>
      <c r="B27" t="s">
        <v>123</v>
      </c>
      <c r="C27" s="1" t="s">
        <v>2</v>
      </c>
      <c r="D27" s="1" t="s">
        <v>3</v>
      </c>
      <c r="E27">
        <v>50</v>
      </c>
      <c r="F27">
        <v>60</v>
      </c>
      <c r="G27">
        <v>45</v>
      </c>
      <c r="H27">
        <v>100</v>
      </c>
      <c r="I27">
        <v>80</v>
      </c>
      <c r="J27">
        <v>65</v>
      </c>
      <c r="K27" t="s">
        <v>335</v>
      </c>
      <c r="L27" t="s">
        <v>301</v>
      </c>
      <c r="M27" t="s">
        <v>302</v>
      </c>
      <c r="N27">
        <f t="shared" si="3"/>
        <v>8.1999999999999993</v>
      </c>
      <c r="O27">
        <f t="shared" si="4"/>
        <v>5.75</v>
      </c>
      <c r="P27">
        <v>0</v>
      </c>
      <c r="Q27">
        <v>0</v>
      </c>
      <c r="R27" s="2">
        <f t="shared" si="5"/>
        <v>8</v>
      </c>
      <c r="S27" s="2">
        <f t="shared" si="6"/>
        <v>6</v>
      </c>
      <c r="T27" s="2">
        <f t="shared" si="7"/>
        <v>14</v>
      </c>
      <c r="U27" t="str">
        <f t="shared" si="0"/>
        <v>grass</v>
      </c>
      <c r="V27" t="str">
        <f>IF(D27 = 0, "", D27)</f>
        <v>poison</v>
      </c>
      <c r="W27" t="s">
        <v>8</v>
      </c>
      <c r="X27" t="s">
        <v>16</v>
      </c>
      <c r="Y27" t="str">
        <f>B28</f>
        <v>Roserade</v>
      </c>
      <c r="Z27" s="2">
        <f t="shared" si="1"/>
        <v>8</v>
      </c>
      <c r="AA27" t="str">
        <f t="shared" si="2"/>
        <v>Roselia</v>
      </c>
      <c r="AC27" t="s">
        <v>756</v>
      </c>
      <c r="AD27" t="str">
        <f>VLOOKUP(AC27,moves!A:B,2,FALSE)</f>
        <v>poison</v>
      </c>
      <c r="AE27">
        <f>VLOOKUP(AC27,moves!A:D,4,FALSE)</f>
        <v>3</v>
      </c>
      <c r="AF27">
        <f>VLOOKUP(AC27,moves!A:F,5,FALSE)</f>
        <v>0</v>
      </c>
      <c r="AG27">
        <v>0</v>
      </c>
      <c r="AH27">
        <v>0</v>
      </c>
      <c r="AI27" t="str" cm="1">
        <f t="array" ref="AI27">_xlfn.IFS(AG27=1, "starter", AH27=1, "legendary",T27&lt; 13, "weak",T27&lt; 17, "moderate", TRUE, "strong")</f>
        <v>moderate</v>
      </c>
      <c r="AK27">
        <v>2</v>
      </c>
      <c r="AL27">
        <v>0</v>
      </c>
      <c r="AM27">
        <v>0</v>
      </c>
    </row>
    <row r="28" spans="1:39" x14ac:dyDescent="0.25">
      <c r="A28">
        <v>407</v>
      </c>
      <c r="B28" t="s">
        <v>163</v>
      </c>
      <c r="C28" s="1" t="s">
        <v>2</v>
      </c>
      <c r="D28" s="1" t="s">
        <v>3</v>
      </c>
      <c r="E28">
        <v>60</v>
      </c>
      <c r="F28">
        <v>70</v>
      </c>
      <c r="G28">
        <v>65</v>
      </c>
      <c r="H28">
        <v>125</v>
      </c>
      <c r="I28">
        <v>105</v>
      </c>
      <c r="J28">
        <v>90</v>
      </c>
      <c r="K28" t="s">
        <v>336</v>
      </c>
      <c r="L28" t="s">
        <v>301</v>
      </c>
      <c r="M28" t="s">
        <v>302</v>
      </c>
      <c r="N28">
        <f t="shared" si="3"/>
        <v>10.55</v>
      </c>
      <c r="O28">
        <f t="shared" si="4"/>
        <v>7.5</v>
      </c>
      <c r="P28">
        <v>0</v>
      </c>
      <c r="Q28">
        <v>0</v>
      </c>
      <c r="R28" s="2">
        <f t="shared" si="5"/>
        <v>11</v>
      </c>
      <c r="S28" s="2">
        <f t="shared" si="6"/>
        <v>8</v>
      </c>
      <c r="T28" s="2">
        <f t="shared" si="7"/>
        <v>19</v>
      </c>
      <c r="U28" t="str">
        <f t="shared" si="0"/>
        <v>grass</v>
      </c>
      <c r="V28" t="str">
        <f>IF(D28 = 0, "", D28)</f>
        <v>poison</v>
      </c>
      <c r="W28" t="s">
        <v>8</v>
      </c>
      <c r="X28" t="s">
        <v>16</v>
      </c>
      <c r="Z28" s="2" t="str">
        <f>IF(ISBLANK(Y28), "", ROUND(( (T30-6)*(T30-7) - (T28-6)*(T28-7) )/15, 0) + 1)</f>
        <v/>
      </c>
      <c r="AA28" t="str">
        <f t="shared" si="2"/>
        <v>Roserade</v>
      </c>
      <c r="AC28" t="s">
        <v>1205</v>
      </c>
      <c r="AD28" t="str">
        <f>VLOOKUP(AC28,moves!A:B,2,FALSE)</f>
        <v>grass</v>
      </c>
      <c r="AE28">
        <f>VLOOKUP(AC28,moves!A:D,4,FALSE)</f>
        <v>5</v>
      </c>
      <c r="AF28">
        <f>VLOOKUP(AC28,moves!A:F,5,FALSE)</f>
        <v>0</v>
      </c>
      <c r="AG28">
        <v>0</v>
      </c>
      <c r="AH28">
        <v>0</v>
      </c>
      <c r="AI28" t="str" cm="1">
        <f t="array" ref="AI28">_xlfn.IFS(AG28=1, "starter", AH28=1, "legendary",T28&lt; 13, "weak",T28&lt; 17, "moderate", TRUE, "strong")</f>
        <v>strong</v>
      </c>
      <c r="AK28">
        <v>3</v>
      </c>
      <c r="AL28">
        <v>0</v>
      </c>
      <c r="AM28">
        <v>1</v>
      </c>
    </row>
    <row r="29" spans="1:39" x14ac:dyDescent="0.25">
      <c r="A29" s="31" t="s">
        <v>1071</v>
      </c>
      <c r="B29" t="s">
        <v>163</v>
      </c>
      <c r="C29" s="1" t="s">
        <v>2</v>
      </c>
      <c r="D29" s="1" t="s">
        <v>3</v>
      </c>
      <c r="E29">
        <v>60</v>
      </c>
      <c r="F29">
        <v>70</v>
      </c>
      <c r="G29">
        <v>65</v>
      </c>
      <c r="H29">
        <v>125</v>
      </c>
      <c r="I29">
        <v>105</v>
      </c>
      <c r="J29">
        <v>90</v>
      </c>
      <c r="K29" t="s">
        <v>336</v>
      </c>
      <c r="M29" t="s">
        <v>797</v>
      </c>
      <c r="N29">
        <f t="shared" ref="N29" si="36">(0.4*J29 + 0.5*MAX(F29,H29) + 0.1*MIN(F29,H29)) / 10</f>
        <v>10.55</v>
      </c>
      <c r="O29">
        <f t="shared" ref="O29" si="37">(0.4*E29 + 0.3*G29 + 0.3*I29) / 10</f>
        <v>7.5</v>
      </c>
      <c r="P29">
        <v>2</v>
      </c>
      <c r="Q29">
        <v>2</v>
      </c>
      <c r="R29" s="2">
        <f t="shared" ref="R29" si="38">ROUND(N29,0)+P29</f>
        <v>13</v>
      </c>
      <c r="S29" s="2">
        <f t="shared" ref="S29" si="39">ROUND(O29,0)+Q29</f>
        <v>10</v>
      </c>
      <c r="T29" s="2">
        <f t="shared" ref="T29" si="40">SUM(ROUND(R29,0),ROUND(S29,0))</f>
        <v>23</v>
      </c>
      <c r="U29" t="str">
        <f t="shared" ref="U29" si="41">C29</f>
        <v>grass</v>
      </c>
      <c r="V29" t="str">
        <f>IF(D29 = 0, "", D29)</f>
        <v>poison</v>
      </c>
      <c r="W29" t="s">
        <v>8</v>
      </c>
      <c r="X29" t="s">
        <v>16</v>
      </c>
      <c r="Z29" s="2" t="str">
        <f>IF(ISBLANK(Y29), "", ROUND(( (T31-6)*(T31-7) - (T29-6)*(T29-7) )/15, 0) + 1)</f>
        <v/>
      </c>
      <c r="AA29" t="str">
        <f t="shared" ref="AA29" si="42">B29</f>
        <v>Roserade</v>
      </c>
      <c r="AB29" t="s">
        <v>1070</v>
      </c>
      <c r="AC29" t="s">
        <v>1205</v>
      </c>
      <c r="AD29" t="str">
        <f>VLOOKUP(AC29,moves!A:B,2,FALSE)</f>
        <v>grass</v>
      </c>
      <c r="AE29">
        <f>VLOOKUP(AC29,moves!A:D,4,FALSE)</f>
        <v>5</v>
      </c>
      <c r="AF29">
        <f>VLOOKUP(AC29,moves!A:F,5,FALSE)</f>
        <v>0</v>
      </c>
      <c r="AG29">
        <v>0</v>
      </c>
      <c r="AH29">
        <v>1</v>
      </c>
      <c r="AI29" t="str" cm="1">
        <f t="array" ref="AI29">_xlfn.IFS(AG29=1, "starter", AH29=1, "legendary",T29&lt; 13, "weak",T29&lt; 17, "moderate", TRUE, "strong")</f>
        <v>legendary</v>
      </c>
      <c r="AK29">
        <v>3</v>
      </c>
      <c r="AL29">
        <v>0</v>
      </c>
      <c r="AM29">
        <v>2</v>
      </c>
    </row>
    <row r="30" spans="1:39" x14ac:dyDescent="0.25">
      <c r="A30">
        <v>408</v>
      </c>
      <c r="B30" t="s">
        <v>164</v>
      </c>
      <c r="C30" s="1" t="s">
        <v>33</v>
      </c>
      <c r="E30">
        <v>67</v>
      </c>
      <c r="F30">
        <v>125</v>
      </c>
      <c r="G30">
        <v>40</v>
      </c>
      <c r="H30">
        <v>30</v>
      </c>
      <c r="I30">
        <v>30</v>
      </c>
      <c r="J30">
        <v>58</v>
      </c>
      <c r="K30" t="s">
        <v>337</v>
      </c>
      <c r="L30" t="s">
        <v>301</v>
      </c>
      <c r="M30" t="s">
        <v>300</v>
      </c>
      <c r="N30">
        <f t="shared" si="3"/>
        <v>8.870000000000001</v>
      </c>
      <c r="O30">
        <f t="shared" si="4"/>
        <v>4.7799999999999994</v>
      </c>
      <c r="P30">
        <v>0</v>
      </c>
      <c r="Q30">
        <v>0</v>
      </c>
      <c r="R30" s="2">
        <f t="shared" si="5"/>
        <v>9</v>
      </c>
      <c r="S30" s="2">
        <f t="shared" si="6"/>
        <v>5</v>
      </c>
      <c r="T30" s="2">
        <f t="shared" si="7"/>
        <v>14</v>
      </c>
      <c r="U30" t="str">
        <f t="shared" si="0"/>
        <v>rock</v>
      </c>
      <c r="V30" t="s">
        <v>8</v>
      </c>
      <c r="W30" t="s">
        <v>9</v>
      </c>
      <c r="X30" t="s">
        <v>13</v>
      </c>
      <c r="Y30" t="str">
        <f>B31</f>
        <v>Rampardos</v>
      </c>
      <c r="Z30" s="2">
        <f t="shared" si="1"/>
        <v>6</v>
      </c>
      <c r="AA30" t="str">
        <f t="shared" si="2"/>
        <v>Cranidos</v>
      </c>
      <c r="AC30" t="s">
        <v>586</v>
      </c>
      <c r="AD30" t="str">
        <f>VLOOKUP(AC30,moves!A:B,2,FALSE)</f>
        <v>normal</v>
      </c>
      <c r="AE30">
        <f>VLOOKUP(AC30,moves!A:D,4,FALSE)</f>
        <v>3</v>
      </c>
      <c r="AF30">
        <f>VLOOKUP(AC30,moves!A:F,5,FALSE)</f>
        <v>0</v>
      </c>
      <c r="AG30">
        <v>0</v>
      </c>
      <c r="AH30">
        <v>0</v>
      </c>
      <c r="AI30" t="str" cm="1">
        <f t="array" ref="AI30">_xlfn.IFS(AG30=1, "starter", AH30=1, "legendary",T30&lt; 13, "weak",T30&lt; 17, "moderate", TRUE, "strong")</f>
        <v>moderate</v>
      </c>
      <c r="AK30">
        <v>1</v>
      </c>
      <c r="AL30">
        <v>0</v>
      </c>
      <c r="AM30">
        <v>0</v>
      </c>
    </row>
    <row r="31" spans="1:39" x14ac:dyDescent="0.25">
      <c r="A31">
        <v>409</v>
      </c>
      <c r="B31" t="s">
        <v>165</v>
      </c>
      <c r="C31" s="1" t="s">
        <v>33</v>
      </c>
      <c r="E31">
        <v>97</v>
      </c>
      <c r="F31">
        <v>165</v>
      </c>
      <c r="G31">
        <v>60</v>
      </c>
      <c r="H31">
        <v>65</v>
      </c>
      <c r="I31">
        <v>50</v>
      </c>
      <c r="J31">
        <v>58</v>
      </c>
      <c r="K31" t="s">
        <v>337</v>
      </c>
      <c r="L31" t="s">
        <v>301</v>
      </c>
      <c r="M31" t="s">
        <v>300</v>
      </c>
      <c r="N31">
        <f t="shared" si="3"/>
        <v>11.22</v>
      </c>
      <c r="O31">
        <f t="shared" si="4"/>
        <v>7.1800000000000015</v>
      </c>
      <c r="P31">
        <v>0</v>
      </c>
      <c r="Q31">
        <v>0</v>
      </c>
      <c r="R31" s="2">
        <f t="shared" si="5"/>
        <v>11</v>
      </c>
      <c r="S31" s="2">
        <f t="shared" si="6"/>
        <v>7</v>
      </c>
      <c r="T31" s="2">
        <f t="shared" si="7"/>
        <v>18</v>
      </c>
      <c r="U31" t="str">
        <f t="shared" si="0"/>
        <v>rock</v>
      </c>
      <c r="V31" t="s">
        <v>8</v>
      </c>
      <c r="W31" t="s">
        <v>9</v>
      </c>
      <c r="X31" t="s">
        <v>13</v>
      </c>
      <c r="Z31" s="2" t="str">
        <f t="shared" si="1"/>
        <v/>
      </c>
      <c r="AA31" t="str">
        <f t="shared" si="2"/>
        <v>Rampardos</v>
      </c>
      <c r="AC31" t="s">
        <v>514</v>
      </c>
      <c r="AD31" t="str">
        <f>VLOOKUP(AC31,moves!A:B,2,FALSE)</f>
        <v>rock</v>
      </c>
      <c r="AE31">
        <f>VLOOKUP(AC31,moves!A:D,4,FALSE)</f>
        <v>8</v>
      </c>
      <c r="AF31" t="str">
        <f>VLOOKUP(AC31,moves!A:F,5,FALSE)</f>
        <v>decisive</v>
      </c>
      <c r="AG31">
        <v>0</v>
      </c>
      <c r="AH31">
        <v>0</v>
      </c>
      <c r="AI31" t="str" cm="1">
        <f t="array" ref="AI31">_xlfn.IFS(AG31=1, "starter", AH31=1, "legendary",T31&lt; 13, "weak",T31&lt; 17, "moderate", TRUE, "strong")</f>
        <v>strong</v>
      </c>
      <c r="AK31">
        <v>2</v>
      </c>
      <c r="AL31">
        <v>0</v>
      </c>
      <c r="AM31">
        <v>0</v>
      </c>
    </row>
    <row r="32" spans="1:39" x14ac:dyDescent="0.25">
      <c r="A32">
        <v>410</v>
      </c>
      <c r="B32" t="s">
        <v>166</v>
      </c>
      <c r="C32" s="1" t="s">
        <v>33</v>
      </c>
      <c r="D32" s="1" t="s">
        <v>39</v>
      </c>
      <c r="E32">
        <v>30</v>
      </c>
      <c r="F32">
        <v>42</v>
      </c>
      <c r="G32">
        <v>118</v>
      </c>
      <c r="H32">
        <v>42</v>
      </c>
      <c r="I32">
        <v>88</v>
      </c>
      <c r="J32">
        <v>30</v>
      </c>
      <c r="K32" t="s">
        <v>338</v>
      </c>
      <c r="L32" t="s">
        <v>301</v>
      </c>
      <c r="M32" t="s">
        <v>300</v>
      </c>
      <c r="N32">
        <f t="shared" si="3"/>
        <v>3.72</v>
      </c>
      <c r="O32">
        <f t="shared" si="4"/>
        <v>7.38</v>
      </c>
      <c r="P32">
        <v>0</v>
      </c>
      <c r="Q32">
        <v>0</v>
      </c>
      <c r="R32" s="2">
        <f t="shared" si="5"/>
        <v>4</v>
      </c>
      <c r="S32" s="2">
        <f t="shared" si="6"/>
        <v>7</v>
      </c>
      <c r="T32" s="2">
        <f t="shared" si="7"/>
        <v>11</v>
      </c>
      <c r="U32" t="str">
        <f t="shared" si="0"/>
        <v>rock</v>
      </c>
      <c r="V32" t="s">
        <v>39</v>
      </c>
      <c r="W32" t="s">
        <v>8</v>
      </c>
      <c r="X32" t="s">
        <v>14</v>
      </c>
      <c r="Y32" t="str">
        <f>B33</f>
        <v>Bastiodon</v>
      </c>
      <c r="Z32" s="2">
        <f t="shared" si="1"/>
        <v>6</v>
      </c>
      <c r="AA32" t="str">
        <f t="shared" si="2"/>
        <v>Shieldon</v>
      </c>
      <c r="AC32" t="s">
        <v>535</v>
      </c>
      <c r="AD32" t="str">
        <f>VLOOKUP(AC32,moves!A:B,2,FALSE)</f>
        <v>rock</v>
      </c>
      <c r="AE32">
        <f>VLOOKUP(AC32,moves!A:D,4,FALSE)</f>
        <v>2</v>
      </c>
      <c r="AF32" t="str">
        <f>VLOOKUP(AC32,moves!A:F,5,FALSE)</f>
        <v>boost</v>
      </c>
      <c r="AG32">
        <v>0</v>
      </c>
      <c r="AH32">
        <v>0</v>
      </c>
      <c r="AI32" t="str" cm="1">
        <f t="array" ref="AI32">_xlfn.IFS(AG32=1, "starter", AH32=1, "legendary",T32&lt; 13, "weak",T32&lt; 17, "moderate", TRUE, "strong")</f>
        <v>weak</v>
      </c>
      <c r="AK32">
        <v>1</v>
      </c>
      <c r="AL32">
        <v>0</v>
      </c>
      <c r="AM32">
        <v>0</v>
      </c>
    </row>
    <row r="33" spans="1:39" x14ac:dyDescent="0.25">
      <c r="A33">
        <v>411</v>
      </c>
      <c r="B33" t="s">
        <v>167</v>
      </c>
      <c r="C33" s="1" t="s">
        <v>33</v>
      </c>
      <c r="D33" s="1" t="s">
        <v>39</v>
      </c>
      <c r="E33">
        <v>60</v>
      </c>
      <c r="F33">
        <v>52</v>
      </c>
      <c r="G33">
        <v>168</v>
      </c>
      <c r="H33">
        <v>47</v>
      </c>
      <c r="I33">
        <v>138</v>
      </c>
      <c r="J33">
        <v>30</v>
      </c>
      <c r="K33" t="s">
        <v>338</v>
      </c>
      <c r="L33" t="s">
        <v>301</v>
      </c>
      <c r="M33" t="s">
        <v>300</v>
      </c>
      <c r="N33">
        <f t="shared" si="3"/>
        <v>4.2700000000000005</v>
      </c>
      <c r="O33">
        <f t="shared" si="4"/>
        <v>11.580000000000002</v>
      </c>
      <c r="P33">
        <v>0</v>
      </c>
      <c r="Q33">
        <v>0</v>
      </c>
      <c r="R33" s="2">
        <f t="shared" si="5"/>
        <v>4</v>
      </c>
      <c r="S33" s="2">
        <f t="shared" si="6"/>
        <v>12</v>
      </c>
      <c r="T33" s="2">
        <f t="shared" si="7"/>
        <v>16</v>
      </c>
      <c r="U33" t="str">
        <f t="shared" si="0"/>
        <v>rock</v>
      </c>
      <c r="V33" t="s">
        <v>39</v>
      </c>
      <c r="W33" t="s">
        <v>8</v>
      </c>
      <c r="X33" t="s">
        <v>14</v>
      </c>
      <c r="Z33" s="2" t="str">
        <f t="shared" si="1"/>
        <v/>
      </c>
      <c r="AA33" t="str">
        <f t="shared" si="2"/>
        <v>Bastiodon</v>
      </c>
      <c r="AC33" t="s">
        <v>563</v>
      </c>
      <c r="AD33" t="str">
        <f>VLOOKUP(AC33,moves!A:B,2,FALSE)</f>
        <v>steel</v>
      </c>
      <c r="AE33" t="str">
        <f>VLOOKUP(AC33,moves!A:D,4,FALSE)</f>
        <v>?</v>
      </c>
      <c r="AF33">
        <f>VLOOKUP(AC33,moves!A:F,5,FALSE)</f>
        <v>0</v>
      </c>
      <c r="AG33">
        <v>0</v>
      </c>
      <c r="AH33">
        <v>0</v>
      </c>
      <c r="AI33" t="str" cm="1">
        <f t="array" ref="AI33">_xlfn.IFS(AG33=1, "starter", AH33=1, "legendary",T33&lt; 13, "weak",T33&lt; 17, "moderate", TRUE, "strong")</f>
        <v>moderate</v>
      </c>
      <c r="AK33">
        <v>2</v>
      </c>
      <c r="AL33">
        <v>0</v>
      </c>
      <c r="AM33">
        <v>0</v>
      </c>
    </row>
    <row r="34" spans="1:39" x14ac:dyDescent="0.25">
      <c r="A34" t="s">
        <v>1158</v>
      </c>
      <c r="B34" t="s">
        <v>168</v>
      </c>
      <c r="C34" s="1" t="s">
        <v>7</v>
      </c>
      <c r="E34">
        <v>40</v>
      </c>
      <c r="F34">
        <v>29</v>
      </c>
      <c r="G34">
        <v>45</v>
      </c>
      <c r="H34">
        <v>29</v>
      </c>
      <c r="I34">
        <v>45</v>
      </c>
      <c r="J34">
        <v>36</v>
      </c>
      <c r="K34" t="s">
        <v>339</v>
      </c>
      <c r="L34" t="s">
        <v>298</v>
      </c>
      <c r="M34" t="s">
        <v>300</v>
      </c>
      <c r="N34">
        <f t="shared" si="3"/>
        <v>3.1799999999999997</v>
      </c>
      <c r="O34">
        <f t="shared" si="4"/>
        <v>4.3</v>
      </c>
      <c r="P34">
        <v>0</v>
      </c>
      <c r="Q34">
        <v>0</v>
      </c>
      <c r="R34" s="2">
        <f t="shared" si="5"/>
        <v>3</v>
      </c>
      <c r="S34" s="2">
        <f t="shared" si="6"/>
        <v>4</v>
      </c>
      <c r="T34" s="2">
        <f t="shared" si="7"/>
        <v>7</v>
      </c>
      <c r="U34" t="str">
        <f t="shared" si="0"/>
        <v>bug</v>
      </c>
      <c r="V34" t="s">
        <v>2</v>
      </c>
      <c r="W34" t="s">
        <v>13</v>
      </c>
      <c r="X34" t="s">
        <v>39</v>
      </c>
      <c r="Y34" t="s">
        <v>462</v>
      </c>
      <c r="Z34" s="2">
        <f>IF(ISBLANK(Y34), "", ROUND(( (T35-6)*(T35-7) - (T34-6)*(T34-7) )/15, 0) + 1)</f>
        <v>5</v>
      </c>
      <c r="AA34" t="str">
        <f t="shared" si="2"/>
        <v>Burmy</v>
      </c>
      <c r="AC34" t="s">
        <v>515</v>
      </c>
      <c r="AD34" t="str">
        <f>VLOOKUP(AC34,moves!A:B,2,FALSE)</f>
        <v>bug</v>
      </c>
      <c r="AE34">
        <f>VLOOKUP(AC34,moves!A:D,4,FALSE)</f>
        <v>3</v>
      </c>
      <c r="AF34">
        <f>VLOOKUP(AC34,moves!A:F,5,FALSE)</f>
        <v>0</v>
      </c>
      <c r="AG34">
        <v>0</v>
      </c>
      <c r="AH34">
        <v>0</v>
      </c>
      <c r="AI34" t="str" cm="1">
        <f t="array" ref="AI34">_xlfn.IFS(AG34=1, "starter", AH34=1, "legendary",T34&lt; 13, "weak",T34&lt; 17, "moderate", TRUE, "strong")</f>
        <v>weak</v>
      </c>
      <c r="AK34">
        <v>1</v>
      </c>
      <c r="AL34">
        <v>0</v>
      </c>
      <c r="AM34">
        <v>0</v>
      </c>
    </row>
    <row r="35" spans="1:39" x14ac:dyDescent="0.25">
      <c r="A35">
        <v>413</v>
      </c>
      <c r="B35" t="s">
        <v>169</v>
      </c>
      <c r="C35" s="1" t="s">
        <v>7</v>
      </c>
      <c r="D35" s="1" t="s">
        <v>2</v>
      </c>
      <c r="E35">
        <v>60</v>
      </c>
      <c r="F35">
        <v>69</v>
      </c>
      <c r="G35">
        <v>95</v>
      </c>
      <c r="H35">
        <v>69</v>
      </c>
      <c r="I35">
        <v>95</v>
      </c>
      <c r="J35">
        <v>36</v>
      </c>
      <c r="K35" t="s">
        <v>339</v>
      </c>
      <c r="L35" t="s">
        <v>298</v>
      </c>
      <c r="M35" t="s">
        <v>300</v>
      </c>
      <c r="N35">
        <f t="shared" si="3"/>
        <v>5.58</v>
      </c>
      <c r="O35">
        <f t="shared" si="4"/>
        <v>8.1</v>
      </c>
      <c r="P35">
        <v>0</v>
      </c>
      <c r="Q35">
        <v>0</v>
      </c>
      <c r="R35" s="2">
        <f t="shared" si="5"/>
        <v>6</v>
      </c>
      <c r="S35" s="2">
        <f t="shared" si="6"/>
        <v>8</v>
      </c>
      <c r="T35" s="2">
        <f t="shared" si="7"/>
        <v>14</v>
      </c>
      <c r="U35" t="str">
        <f t="shared" si="0"/>
        <v>bug</v>
      </c>
      <c r="V35" t="s">
        <v>2</v>
      </c>
      <c r="W35" t="s">
        <v>13</v>
      </c>
      <c r="X35" t="s">
        <v>39</v>
      </c>
      <c r="Z35" s="2" t="str">
        <f>IF(ISBLANK(Y35), "", ROUND(( (T38-6)*(T38-7) - (T35-6)*(T35-7) )/15, 0) + 1)</f>
        <v/>
      </c>
      <c r="AA35" t="str">
        <f t="shared" si="2"/>
        <v>Wormadam</v>
      </c>
      <c r="AB35" t="s">
        <v>1069</v>
      </c>
      <c r="AC35" t="s">
        <v>1039</v>
      </c>
      <c r="AD35" t="str">
        <f>VLOOKUP(AC35,moves!A:B,2,FALSE)</f>
        <v>typeless</v>
      </c>
      <c r="AE35">
        <f>VLOOKUP(AC35,moves!A:D,4,FALSE)</f>
        <v>4</v>
      </c>
      <c r="AF35" t="str">
        <f>VLOOKUP(AC35,moves!A:F,5,FALSE)</f>
        <v>transform</v>
      </c>
      <c r="AG35">
        <v>0</v>
      </c>
      <c r="AH35">
        <v>0</v>
      </c>
      <c r="AI35" t="str" cm="1">
        <f t="array" ref="AI35">_xlfn.IFS(AG35=1, "starter", AH35=1, "legendary",T35&lt; 13, "weak",T35&lt; 17, "moderate", TRUE, "strong")</f>
        <v>moderate</v>
      </c>
      <c r="AK35">
        <v>2</v>
      </c>
      <c r="AL35">
        <v>0</v>
      </c>
      <c r="AM35">
        <v>1</v>
      </c>
    </row>
    <row r="36" spans="1:39" x14ac:dyDescent="0.25">
      <c r="A36" t="s">
        <v>1037</v>
      </c>
      <c r="B36" t="s">
        <v>169</v>
      </c>
      <c r="C36" s="1" t="s">
        <v>7</v>
      </c>
      <c r="D36" s="1" t="s">
        <v>13</v>
      </c>
      <c r="E36">
        <v>60</v>
      </c>
      <c r="F36">
        <v>69</v>
      </c>
      <c r="G36">
        <v>95</v>
      </c>
      <c r="H36">
        <v>69</v>
      </c>
      <c r="I36">
        <v>95</v>
      </c>
      <c r="J36">
        <v>36</v>
      </c>
      <c r="K36" t="s">
        <v>339</v>
      </c>
      <c r="L36" t="s">
        <v>298</v>
      </c>
      <c r="M36" t="s">
        <v>300</v>
      </c>
      <c r="N36">
        <f t="shared" ref="N36" si="43">(0.4*J36 + 0.5*MAX(F36,H36) + 0.1*MIN(F36,H36)) / 10</f>
        <v>5.58</v>
      </c>
      <c r="O36">
        <f t="shared" ref="O36" si="44">(0.4*E36 + 0.3*G36 + 0.3*I36) / 10</f>
        <v>8.1</v>
      </c>
      <c r="P36">
        <v>0</v>
      </c>
      <c r="Q36">
        <v>0</v>
      </c>
      <c r="R36" s="2">
        <f t="shared" ref="R36" si="45">ROUND(N36,0)+P36</f>
        <v>6</v>
      </c>
      <c r="S36" s="2">
        <f t="shared" ref="S36" si="46">ROUND(O36,0)+Q36</f>
        <v>8</v>
      </c>
      <c r="T36" s="2">
        <f t="shared" ref="T36" si="47">SUM(ROUND(R36,0),ROUND(S36,0))</f>
        <v>14</v>
      </c>
      <c r="U36" t="str">
        <f t="shared" ref="U36" si="48">C36</f>
        <v>bug</v>
      </c>
      <c r="V36" t="s">
        <v>2</v>
      </c>
      <c r="W36" t="s">
        <v>13</v>
      </c>
      <c r="X36" t="s">
        <v>39</v>
      </c>
      <c r="Z36" s="2" t="str">
        <f>IF(ISBLANK(Y36), "", ROUND(( (T39-6)*(T39-7) - (T36-6)*(T36-7) )/15, 0) + 1)</f>
        <v/>
      </c>
      <c r="AA36" t="s">
        <v>1035</v>
      </c>
      <c r="AB36" t="s">
        <v>1066</v>
      </c>
      <c r="AC36" t="s">
        <v>1039</v>
      </c>
      <c r="AD36" t="str">
        <f>VLOOKUP(AC36,moves!A:B,2,FALSE)</f>
        <v>typeless</v>
      </c>
      <c r="AE36">
        <f>VLOOKUP(AC36,moves!A:D,4,FALSE)</f>
        <v>4</v>
      </c>
      <c r="AF36" t="str">
        <f>VLOOKUP(AC36,moves!A:F,5,FALSE)</f>
        <v>transform</v>
      </c>
      <c r="AG36">
        <v>0</v>
      </c>
      <c r="AH36">
        <v>0</v>
      </c>
      <c r="AI36" t="str" cm="1">
        <f t="array" ref="AI36">_xlfn.IFS(AG36=1, "starter", AH36=1, "legendary",T36&lt; 13, "weak",T36&lt; 17, "moderate", TRUE, "strong")</f>
        <v>moderate</v>
      </c>
      <c r="AK36">
        <v>2</v>
      </c>
      <c r="AL36">
        <v>0</v>
      </c>
      <c r="AM36">
        <v>2</v>
      </c>
    </row>
    <row r="37" spans="1:39" x14ac:dyDescent="0.25">
      <c r="A37" t="s">
        <v>1038</v>
      </c>
      <c r="B37" t="s">
        <v>169</v>
      </c>
      <c r="C37" s="1" t="s">
        <v>7</v>
      </c>
      <c r="D37" s="1" t="s">
        <v>39</v>
      </c>
      <c r="E37">
        <v>60</v>
      </c>
      <c r="F37">
        <v>69</v>
      </c>
      <c r="G37">
        <v>95</v>
      </c>
      <c r="H37">
        <v>69</v>
      </c>
      <c r="I37">
        <v>95</v>
      </c>
      <c r="J37">
        <v>36</v>
      </c>
      <c r="K37" t="s">
        <v>339</v>
      </c>
      <c r="L37" t="s">
        <v>298</v>
      </c>
      <c r="M37" t="s">
        <v>300</v>
      </c>
      <c r="N37">
        <f t="shared" ref="N37" si="49">(0.4*J37 + 0.5*MAX(F37,H37) + 0.1*MIN(F37,H37)) / 10</f>
        <v>5.58</v>
      </c>
      <c r="O37">
        <f t="shared" ref="O37" si="50">(0.4*E37 + 0.3*G37 + 0.3*I37) / 10</f>
        <v>8.1</v>
      </c>
      <c r="P37">
        <v>0</v>
      </c>
      <c r="Q37">
        <v>0</v>
      </c>
      <c r="R37" s="2">
        <f t="shared" ref="R37" si="51">ROUND(N37,0)+P37</f>
        <v>6</v>
      </c>
      <c r="S37" s="2">
        <f t="shared" ref="S37" si="52">ROUND(O37,0)+Q37</f>
        <v>8</v>
      </c>
      <c r="T37" s="2">
        <f t="shared" ref="T37" si="53">SUM(ROUND(R37,0),ROUND(S37,0))</f>
        <v>14</v>
      </c>
      <c r="U37" t="str">
        <f t="shared" ref="U37" si="54">C37</f>
        <v>bug</v>
      </c>
      <c r="V37" t="s">
        <v>2</v>
      </c>
      <c r="W37" t="s">
        <v>13</v>
      </c>
      <c r="X37" t="s">
        <v>39</v>
      </c>
      <c r="Z37" s="2" t="str">
        <f>IF(ISBLANK(Y37), "", ROUND(( (T40-6)*(T40-7) - (T37-6)*(T37-7) )/15, 0) + 1)</f>
        <v/>
      </c>
      <c r="AA37" t="s">
        <v>1036</v>
      </c>
      <c r="AB37" t="s">
        <v>1067</v>
      </c>
      <c r="AC37" t="s">
        <v>1039</v>
      </c>
      <c r="AD37" t="str">
        <f>VLOOKUP(AC37,moves!A:B,2,FALSE)</f>
        <v>typeless</v>
      </c>
      <c r="AE37">
        <f>VLOOKUP(AC37,moves!A:D,4,FALSE)</f>
        <v>4</v>
      </c>
      <c r="AF37" t="str">
        <f>VLOOKUP(AC37,moves!A:F,5,FALSE)</f>
        <v>transform</v>
      </c>
      <c r="AG37">
        <v>0</v>
      </c>
      <c r="AH37">
        <v>0</v>
      </c>
      <c r="AI37" t="str" cm="1">
        <f t="array" ref="AI37">_xlfn.IFS(AG37=1, "starter", AH37=1, "legendary",T37&lt; 13, "weak",T37&lt; 17, "moderate", TRUE, "strong")</f>
        <v>moderate</v>
      </c>
      <c r="AK37">
        <v>2</v>
      </c>
      <c r="AL37">
        <v>0</v>
      </c>
      <c r="AM37">
        <v>3</v>
      </c>
    </row>
    <row r="38" spans="1:39" x14ac:dyDescent="0.25">
      <c r="A38">
        <v>414</v>
      </c>
      <c r="B38" t="s">
        <v>170</v>
      </c>
      <c r="C38" s="1" t="s">
        <v>7</v>
      </c>
      <c r="D38" s="1" t="s">
        <v>5</v>
      </c>
      <c r="E38">
        <v>70</v>
      </c>
      <c r="F38">
        <v>94</v>
      </c>
      <c r="G38">
        <v>50</v>
      </c>
      <c r="H38">
        <v>94</v>
      </c>
      <c r="I38">
        <v>50</v>
      </c>
      <c r="J38">
        <v>66</v>
      </c>
      <c r="K38" t="s">
        <v>340</v>
      </c>
      <c r="L38" t="s">
        <v>298</v>
      </c>
      <c r="M38" t="s">
        <v>300</v>
      </c>
      <c r="N38">
        <f t="shared" si="3"/>
        <v>8.2800000000000011</v>
      </c>
      <c r="O38">
        <f t="shared" si="4"/>
        <v>5.8</v>
      </c>
      <c r="P38">
        <v>0</v>
      </c>
      <c r="Q38">
        <v>0</v>
      </c>
      <c r="R38" s="2">
        <f t="shared" si="5"/>
        <v>8</v>
      </c>
      <c r="S38" s="2">
        <f t="shared" si="6"/>
        <v>6</v>
      </c>
      <c r="T38" s="2">
        <f t="shared" si="7"/>
        <v>14</v>
      </c>
      <c r="U38" t="str">
        <f t="shared" si="0"/>
        <v>bug</v>
      </c>
      <c r="V38" t="str">
        <f>IF(D38 = 0, "", D38)</f>
        <v>flying</v>
      </c>
      <c r="W38" t="s">
        <v>26</v>
      </c>
      <c r="X38" t="s">
        <v>42</v>
      </c>
      <c r="Z38" s="2" t="str">
        <f t="shared" si="1"/>
        <v/>
      </c>
      <c r="AA38" t="str">
        <f t="shared" si="2"/>
        <v>Mothim</v>
      </c>
      <c r="AC38" t="s">
        <v>1202</v>
      </c>
      <c r="AD38" t="str">
        <f>VLOOKUP(AC38,moves!A:B,2,FALSE)</f>
        <v>bug</v>
      </c>
      <c r="AE38">
        <f>VLOOKUP(AC38,moves!A:D,4,FALSE)</f>
        <v>3</v>
      </c>
      <c r="AF38" t="str">
        <f>VLOOKUP(AC38,moves!A:F,5,FALSE)</f>
        <v>switch</v>
      </c>
      <c r="AG38">
        <v>0</v>
      </c>
      <c r="AH38">
        <v>0</v>
      </c>
      <c r="AI38" t="str" cm="1">
        <f t="array" ref="AI38">_xlfn.IFS(AG38=1, "starter", AH38=1, "legendary",T38&lt; 13, "weak",T38&lt; 17, "moderate", TRUE, "strong")</f>
        <v>moderate</v>
      </c>
      <c r="AK38">
        <v>2</v>
      </c>
      <c r="AL38">
        <v>0</v>
      </c>
      <c r="AM38">
        <v>0</v>
      </c>
    </row>
    <row r="39" spans="1:39" x14ac:dyDescent="0.25">
      <c r="A39">
        <v>415</v>
      </c>
      <c r="B39" t="s">
        <v>171</v>
      </c>
      <c r="C39" s="1" t="s">
        <v>7</v>
      </c>
      <c r="D39" s="1" t="s">
        <v>5</v>
      </c>
      <c r="E39">
        <v>30</v>
      </c>
      <c r="F39">
        <v>30</v>
      </c>
      <c r="G39">
        <v>42</v>
      </c>
      <c r="H39">
        <v>30</v>
      </c>
      <c r="I39">
        <v>42</v>
      </c>
      <c r="J39">
        <v>70</v>
      </c>
      <c r="K39" t="s">
        <v>341</v>
      </c>
      <c r="L39" t="s">
        <v>298</v>
      </c>
      <c r="M39" t="s">
        <v>300</v>
      </c>
      <c r="N39">
        <f t="shared" si="3"/>
        <v>4.5999999999999996</v>
      </c>
      <c r="O39">
        <f t="shared" si="4"/>
        <v>3.72</v>
      </c>
      <c r="P39">
        <v>0</v>
      </c>
      <c r="Q39">
        <v>0</v>
      </c>
      <c r="R39" s="2">
        <f t="shared" si="5"/>
        <v>5</v>
      </c>
      <c r="S39" s="2">
        <f t="shared" si="6"/>
        <v>4</v>
      </c>
      <c r="T39" s="2">
        <f t="shared" si="7"/>
        <v>9</v>
      </c>
      <c r="U39" t="str">
        <f t="shared" si="0"/>
        <v>bug</v>
      </c>
      <c r="V39" t="str">
        <f>IF(D39 = 0, "", D39)</f>
        <v>flying</v>
      </c>
      <c r="W39" t="s">
        <v>3</v>
      </c>
      <c r="X39" t="s">
        <v>8</v>
      </c>
      <c r="Y39" t="str">
        <f>B40</f>
        <v>Vespiquen</v>
      </c>
      <c r="Z39" s="2">
        <f t="shared" si="1"/>
        <v>5</v>
      </c>
      <c r="AA39" t="str">
        <f t="shared" si="2"/>
        <v>Combee</v>
      </c>
      <c r="AC39" t="s">
        <v>859</v>
      </c>
      <c r="AD39" t="str">
        <f>VLOOKUP(AC39,moves!A:B,2,FALSE)</f>
        <v>normal</v>
      </c>
      <c r="AE39">
        <f>VLOOKUP(AC39,moves!A:D,4,FALSE)</f>
        <v>2</v>
      </c>
      <c r="AF39">
        <f>VLOOKUP(AC39,moves!A:F,5,FALSE)</f>
        <v>0</v>
      </c>
      <c r="AG39">
        <v>0</v>
      </c>
      <c r="AH39">
        <v>0</v>
      </c>
      <c r="AI39" t="str" cm="1">
        <f t="array" ref="AI39">_xlfn.IFS(AG39=1, "starter", AH39=1, "legendary",T39&lt; 13, "weak",T39&lt; 17, "moderate", TRUE, "strong")</f>
        <v>weak</v>
      </c>
      <c r="AK39">
        <v>1</v>
      </c>
      <c r="AL39">
        <v>0</v>
      </c>
      <c r="AM39">
        <v>0</v>
      </c>
    </row>
    <row r="40" spans="1:39" x14ac:dyDescent="0.25">
      <c r="A40">
        <v>416</v>
      </c>
      <c r="B40" t="s">
        <v>172</v>
      </c>
      <c r="C40" s="1" t="s">
        <v>7</v>
      </c>
      <c r="D40" s="1" t="s">
        <v>5</v>
      </c>
      <c r="E40">
        <v>70</v>
      </c>
      <c r="F40">
        <v>80</v>
      </c>
      <c r="G40">
        <v>102</v>
      </c>
      <c r="H40">
        <v>80</v>
      </c>
      <c r="I40">
        <v>102</v>
      </c>
      <c r="J40">
        <v>40</v>
      </c>
      <c r="K40" t="s">
        <v>342</v>
      </c>
      <c r="L40" t="s">
        <v>298</v>
      </c>
      <c r="M40" t="s">
        <v>300</v>
      </c>
      <c r="N40">
        <f t="shared" si="3"/>
        <v>6.4</v>
      </c>
      <c r="O40">
        <f t="shared" si="4"/>
        <v>8.9199999999999982</v>
      </c>
      <c r="P40">
        <v>0</v>
      </c>
      <c r="Q40">
        <v>0</v>
      </c>
      <c r="R40" s="2">
        <f t="shared" si="5"/>
        <v>6</v>
      </c>
      <c r="S40" s="2">
        <f t="shared" si="6"/>
        <v>9</v>
      </c>
      <c r="T40" s="2">
        <f t="shared" si="7"/>
        <v>15</v>
      </c>
      <c r="U40" t="str">
        <f t="shared" si="0"/>
        <v>bug</v>
      </c>
      <c r="V40" t="str">
        <f>IF(D40 = 0, "", D40)</f>
        <v>flying</v>
      </c>
      <c r="W40" t="s">
        <v>3</v>
      </c>
      <c r="X40" t="s">
        <v>33</v>
      </c>
      <c r="Z40" s="2" t="str">
        <f t="shared" si="1"/>
        <v/>
      </c>
      <c r="AA40" t="str">
        <f t="shared" si="2"/>
        <v>Vespiquen</v>
      </c>
      <c r="AC40" t="s">
        <v>517</v>
      </c>
      <c r="AD40" t="str">
        <f>VLOOKUP(AC40,moves!A:B,2,FALSE)</f>
        <v>bug</v>
      </c>
      <c r="AE40">
        <f>VLOOKUP(AC40,moves!A:D,4,FALSE)</f>
        <v>4</v>
      </c>
      <c r="AF40">
        <f>VLOOKUP(AC40,moves!A:F,5,FALSE)</f>
        <v>0</v>
      </c>
      <c r="AG40">
        <v>0</v>
      </c>
      <c r="AH40">
        <v>0</v>
      </c>
      <c r="AI40" t="str" cm="1">
        <f t="array" ref="AI40">_xlfn.IFS(AG40=1, "starter", AH40=1, "legendary",T40&lt; 13, "weak",T40&lt; 17, "moderate", TRUE, "strong")</f>
        <v>moderate</v>
      </c>
      <c r="AK40">
        <v>2</v>
      </c>
      <c r="AL40">
        <v>0</v>
      </c>
      <c r="AM40">
        <v>0</v>
      </c>
    </row>
    <row r="41" spans="1:39" x14ac:dyDescent="0.25">
      <c r="A41">
        <v>417</v>
      </c>
      <c r="B41" t="s">
        <v>173</v>
      </c>
      <c r="C41" s="1" t="s">
        <v>11</v>
      </c>
      <c r="E41">
        <v>60</v>
      </c>
      <c r="F41">
        <v>45</v>
      </c>
      <c r="G41">
        <v>70</v>
      </c>
      <c r="H41">
        <v>45</v>
      </c>
      <c r="I41">
        <v>90</v>
      </c>
      <c r="J41">
        <v>95</v>
      </c>
      <c r="K41" t="s">
        <v>343</v>
      </c>
      <c r="L41" t="s">
        <v>298</v>
      </c>
      <c r="M41" t="s">
        <v>300</v>
      </c>
      <c r="N41">
        <f t="shared" si="3"/>
        <v>6.5</v>
      </c>
      <c r="O41">
        <f t="shared" si="4"/>
        <v>7.2</v>
      </c>
      <c r="P41">
        <v>0</v>
      </c>
      <c r="Q41">
        <v>0</v>
      </c>
      <c r="R41" s="2">
        <f t="shared" si="5"/>
        <v>7</v>
      </c>
      <c r="S41" s="2">
        <f t="shared" si="6"/>
        <v>7</v>
      </c>
      <c r="T41" s="2">
        <f t="shared" si="7"/>
        <v>14</v>
      </c>
      <c r="U41" t="str">
        <f t="shared" si="0"/>
        <v>electric</v>
      </c>
      <c r="V41" t="s">
        <v>8</v>
      </c>
      <c r="W41" t="s">
        <v>7</v>
      </c>
      <c r="X41" t="s">
        <v>16</v>
      </c>
      <c r="Z41" s="2" t="str">
        <f t="shared" si="1"/>
        <v/>
      </c>
      <c r="AA41" t="str">
        <f t="shared" si="2"/>
        <v>Pachirisu</v>
      </c>
      <c r="AC41" t="s">
        <v>633</v>
      </c>
      <c r="AD41" t="str">
        <f>VLOOKUP(AC41,moves!A:B,2,FALSE)</f>
        <v>electric</v>
      </c>
      <c r="AE41">
        <f>VLOOKUP(AC41,moves!A:D,4,FALSE)</f>
        <v>1</v>
      </c>
      <c r="AF41" t="str">
        <f>VLOOKUP(AC41,moves!A:F,5,FALSE)</f>
        <v>agile</v>
      </c>
      <c r="AG41">
        <v>0</v>
      </c>
      <c r="AH41">
        <v>0</v>
      </c>
      <c r="AI41" t="str" cm="1">
        <f t="array" ref="AI41">_xlfn.IFS(AG41=1, "starter", AH41=1, "legendary",T41&lt; 13, "weak",T41&lt; 17, "moderate", TRUE, "strong")</f>
        <v>moderate</v>
      </c>
      <c r="AK41">
        <v>1</v>
      </c>
      <c r="AL41">
        <v>0</v>
      </c>
      <c r="AM41">
        <v>0</v>
      </c>
    </row>
    <row r="42" spans="1:39" x14ac:dyDescent="0.25">
      <c r="A42">
        <v>418</v>
      </c>
      <c r="B42" t="s">
        <v>174</v>
      </c>
      <c r="C42" s="1" t="s">
        <v>6</v>
      </c>
      <c r="E42">
        <v>55</v>
      </c>
      <c r="F42">
        <v>65</v>
      </c>
      <c r="G42">
        <v>35</v>
      </c>
      <c r="H42">
        <v>60</v>
      </c>
      <c r="I42">
        <v>30</v>
      </c>
      <c r="J42">
        <v>85</v>
      </c>
      <c r="K42" t="s">
        <v>344</v>
      </c>
      <c r="L42" t="s">
        <v>303</v>
      </c>
      <c r="M42" t="s">
        <v>302</v>
      </c>
      <c r="N42">
        <f t="shared" si="3"/>
        <v>7.25</v>
      </c>
      <c r="O42">
        <f t="shared" si="4"/>
        <v>4.1500000000000004</v>
      </c>
      <c r="P42">
        <v>0</v>
      </c>
      <c r="Q42">
        <v>0</v>
      </c>
      <c r="R42" s="2">
        <f t="shared" si="5"/>
        <v>7</v>
      </c>
      <c r="S42" s="2">
        <f t="shared" si="6"/>
        <v>4</v>
      </c>
      <c r="T42" s="2">
        <f t="shared" si="7"/>
        <v>11</v>
      </c>
      <c r="U42" t="str">
        <f t="shared" si="0"/>
        <v>water</v>
      </c>
      <c r="V42" t="s">
        <v>8</v>
      </c>
      <c r="W42" t="s">
        <v>9</v>
      </c>
      <c r="X42" t="s">
        <v>14</v>
      </c>
      <c r="Y42" t="str">
        <f>B43</f>
        <v>Floatzel</v>
      </c>
      <c r="Z42" s="2">
        <f t="shared" si="1"/>
        <v>8</v>
      </c>
      <c r="AA42" t="str">
        <f t="shared" si="2"/>
        <v>Buizel</v>
      </c>
      <c r="AC42" t="s">
        <v>635</v>
      </c>
      <c r="AD42" t="str">
        <f>VLOOKUP(AC42,moves!A:B,2,FALSE)</f>
        <v>water</v>
      </c>
      <c r="AE42">
        <f>VLOOKUP(AC42,moves!A:D,4,FALSE)</f>
        <v>3</v>
      </c>
      <c r="AF42" t="str">
        <f>VLOOKUP(AC42,moves!A:F,5,FALSE)</f>
        <v>switch</v>
      </c>
      <c r="AG42">
        <v>0</v>
      </c>
      <c r="AH42">
        <v>0</v>
      </c>
      <c r="AI42" t="str" cm="1">
        <f t="array" ref="AI42">_xlfn.IFS(AG42=1, "starter", AH42=1, "legendary",T42&lt; 13, "weak",T42&lt; 17, "moderate", TRUE, "strong")</f>
        <v>weak</v>
      </c>
      <c r="AK42">
        <v>1</v>
      </c>
      <c r="AL42">
        <v>0</v>
      </c>
      <c r="AM42">
        <v>0</v>
      </c>
    </row>
    <row r="43" spans="1:39" x14ac:dyDescent="0.25">
      <c r="A43">
        <v>419</v>
      </c>
      <c r="B43" t="s">
        <v>175</v>
      </c>
      <c r="C43" s="1" t="s">
        <v>6</v>
      </c>
      <c r="E43">
        <v>85</v>
      </c>
      <c r="F43">
        <v>105</v>
      </c>
      <c r="G43">
        <v>55</v>
      </c>
      <c r="H43">
        <v>85</v>
      </c>
      <c r="I43">
        <v>50</v>
      </c>
      <c r="J43">
        <v>115</v>
      </c>
      <c r="K43" t="s">
        <v>344</v>
      </c>
      <c r="L43" t="s">
        <v>303</v>
      </c>
      <c r="M43" t="s">
        <v>302</v>
      </c>
      <c r="N43">
        <f t="shared" si="3"/>
        <v>10.7</v>
      </c>
      <c r="O43">
        <f t="shared" si="4"/>
        <v>6.55</v>
      </c>
      <c r="P43">
        <v>0</v>
      </c>
      <c r="Q43">
        <v>0</v>
      </c>
      <c r="R43" s="2">
        <f t="shared" si="5"/>
        <v>11</v>
      </c>
      <c r="S43" s="2">
        <f t="shared" si="6"/>
        <v>7</v>
      </c>
      <c r="T43" s="2">
        <f t="shared" si="7"/>
        <v>18</v>
      </c>
      <c r="U43" t="str">
        <f t="shared" si="0"/>
        <v>water</v>
      </c>
      <c r="V43" t="s">
        <v>8</v>
      </c>
      <c r="W43" t="s">
        <v>9</v>
      </c>
      <c r="X43" t="s">
        <v>14</v>
      </c>
      <c r="Z43" s="2" t="str">
        <f t="shared" si="1"/>
        <v/>
      </c>
      <c r="AA43" t="str">
        <f t="shared" si="2"/>
        <v>Floatzel</v>
      </c>
      <c r="AC43" t="s">
        <v>643</v>
      </c>
      <c r="AD43" t="str">
        <f>VLOOKUP(AC43,moves!A:B,2,FALSE)</f>
        <v>water</v>
      </c>
      <c r="AE43">
        <f>VLOOKUP(AC43,moves!A:D,4,FALSE)</f>
        <v>2</v>
      </c>
      <c r="AF43" t="str">
        <f>VLOOKUP(AC43,moves!A:F,5,FALSE)</f>
        <v>agile</v>
      </c>
      <c r="AG43">
        <v>0</v>
      </c>
      <c r="AH43">
        <v>0</v>
      </c>
      <c r="AI43" t="str" cm="1">
        <f t="array" ref="AI43">_xlfn.IFS(AG43=1, "starter", AH43=1, "legendary",T43&lt; 13, "weak",T43&lt; 17, "moderate", TRUE, "strong")</f>
        <v>strong</v>
      </c>
      <c r="AK43">
        <v>2</v>
      </c>
      <c r="AL43">
        <v>0</v>
      </c>
      <c r="AM43">
        <v>0</v>
      </c>
    </row>
    <row r="44" spans="1:39" x14ac:dyDescent="0.25">
      <c r="A44">
        <v>420</v>
      </c>
      <c r="B44" t="s">
        <v>176</v>
      </c>
      <c r="C44" s="1" t="s">
        <v>2</v>
      </c>
      <c r="E44">
        <v>45</v>
      </c>
      <c r="F44">
        <v>35</v>
      </c>
      <c r="G44">
        <v>45</v>
      </c>
      <c r="H44">
        <v>62</v>
      </c>
      <c r="I44">
        <v>53</v>
      </c>
      <c r="J44">
        <v>35</v>
      </c>
      <c r="K44" t="s">
        <v>345</v>
      </c>
      <c r="L44" t="s">
        <v>298</v>
      </c>
      <c r="M44" t="s">
        <v>302</v>
      </c>
      <c r="N44">
        <f t="shared" si="3"/>
        <v>4.8499999999999996</v>
      </c>
      <c r="O44">
        <f t="shared" si="4"/>
        <v>4.74</v>
      </c>
      <c r="P44">
        <v>0</v>
      </c>
      <c r="Q44">
        <v>0</v>
      </c>
      <c r="R44" s="2">
        <f t="shared" si="5"/>
        <v>5</v>
      </c>
      <c r="S44" s="2">
        <f t="shared" si="6"/>
        <v>5</v>
      </c>
      <c r="T44" s="2">
        <f t="shared" si="7"/>
        <v>10</v>
      </c>
      <c r="U44" t="str">
        <f t="shared" si="0"/>
        <v>grass</v>
      </c>
      <c r="V44" t="s">
        <v>8</v>
      </c>
      <c r="W44" t="s">
        <v>16</v>
      </c>
      <c r="X44" t="s">
        <v>26</v>
      </c>
      <c r="Y44" t="str">
        <f>B46</f>
        <v>Cherrim</v>
      </c>
      <c r="Z44" s="2">
        <f t="shared" si="1"/>
        <v>5</v>
      </c>
      <c r="AA44" t="str">
        <f t="shared" si="2"/>
        <v>Cherubi</v>
      </c>
      <c r="AC44" t="s">
        <v>861</v>
      </c>
      <c r="AD44" t="str">
        <f>VLOOKUP(AC44,moves!A:B,2,FALSE)</f>
        <v>fairy</v>
      </c>
      <c r="AE44">
        <f>VLOOKUP(AC44,moves!A:D,4,FALSE)</f>
        <v>2</v>
      </c>
      <c r="AF44">
        <f>VLOOKUP(AC44,moves!A:F,5,FALSE)</f>
        <v>0</v>
      </c>
      <c r="AG44">
        <v>0</v>
      </c>
      <c r="AH44">
        <v>0</v>
      </c>
      <c r="AI44" t="str" cm="1">
        <f t="array" ref="AI44">_xlfn.IFS(AG44=1, "starter", AH44=1, "legendary",T44&lt; 13, "weak",T44&lt; 17, "moderate", TRUE, "strong")</f>
        <v>weak</v>
      </c>
      <c r="AK44">
        <v>1</v>
      </c>
      <c r="AL44">
        <v>0</v>
      </c>
      <c r="AM44">
        <v>0</v>
      </c>
    </row>
    <row r="45" spans="1:39" x14ac:dyDescent="0.25">
      <c r="A45">
        <v>421</v>
      </c>
      <c r="B45" t="s">
        <v>177</v>
      </c>
      <c r="C45" s="1" t="s">
        <v>2</v>
      </c>
      <c r="E45">
        <v>70</v>
      </c>
      <c r="F45">
        <v>60</v>
      </c>
      <c r="G45">
        <v>70</v>
      </c>
      <c r="H45">
        <v>87</v>
      </c>
      <c r="I45">
        <v>78</v>
      </c>
      <c r="J45">
        <v>85</v>
      </c>
      <c r="K45" t="s">
        <v>346</v>
      </c>
      <c r="L45" t="s">
        <v>298</v>
      </c>
      <c r="M45" t="s">
        <v>302</v>
      </c>
      <c r="N45">
        <f t="shared" ref="N45" si="55">(0.4*J45 + 0.5*MAX(F45,H45) + 0.1*MIN(F45,H45)) / 10</f>
        <v>8.35</v>
      </c>
      <c r="O45">
        <f t="shared" ref="O45" si="56">(0.4*E45 + 0.3*G45 + 0.3*I45) / 10</f>
        <v>7.24</v>
      </c>
      <c r="P45">
        <v>0</v>
      </c>
      <c r="Q45">
        <v>0</v>
      </c>
      <c r="R45" s="2">
        <f t="shared" ref="R45" si="57">ROUND(N45,0)+P45</f>
        <v>8</v>
      </c>
      <c r="S45" s="2">
        <f t="shared" ref="S45:S46" si="58">ROUND(O45,0)+Q45</f>
        <v>7</v>
      </c>
      <c r="T45" s="2">
        <f t="shared" ref="T45" si="59">SUM(ROUND(R45,0),ROUND(S45,0))</f>
        <v>15</v>
      </c>
      <c r="U45" s="1" t="str">
        <f>C45</f>
        <v>grass</v>
      </c>
      <c r="V45" t="s">
        <v>8</v>
      </c>
      <c r="W45" t="s">
        <v>16</v>
      </c>
      <c r="X45" t="s">
        <v>26</v>
      </c>
      <c r="Z45" s="2" t="str">
        <f t="shared" si="1"/>
        <v/>
      </c>
      <c r="AA45" t="str">
        <f t="shared" ref="AA45" si="60">B45</f>
        <v>Cherrim</v>
      </c>
      <c r="AB45" t="s">
        <v>1068</v>
      </c>
      <c r="AC45" t="s">
        <v>1056</v>
      </c>
      <c r="AD45" t="str">
        <f>VLOOKUP(AC45,moves!A:B,2,FALSE)</f>
        <v>grass</v>
      </c>
      <c r="AE45">
        <f>VLOOKUP(AC45,moves!A:D,4,FALSE)</f>
        <v>2</v>
      </c>
      <c r="AF45" t="str">
        <f>VLOOKUP(AC45,moves!A:F,5,FALSE)</f>
        <v>transform</v>
      </c>
      <c r="AG45">
        <v>0</v>
      </c>
      <c r="AH45">
        <v>0</v>
      </c>
      <c r="AI45" t="str" cm="1">
        <f t="array" ref="AI45">_xlfn.IFS(AG45=1, "starter", AH45=1, "legendary",T45&lt; 13, "weak",T45&lt; 17, "moderate", TRUE, "strong")</f>
        <v>moderate</v>
      </c>
      <c r="AK45">
        <v>2</v>
      </c>
      <c r="AL45">
        <v>0</v>
      </c>
      <c r="AM45">
        <v>1</v>
      </c>
    </row>
    <row r="46" spans="1:39" x14ac:dyDescent="0.25">
      <c r="A46" t="s">
        <v>1040</v>
      </c>
      <c r="B46" t="s">
        <v>177</v>
      </c>
      <c r="C46" s="1" t="s">
        <v>2</v>
      </c>
      <c r="E46">
        <v>70</v>
      </c>
      <c r="F46">
        <v>90</v>
      </c>
      <c r="G46">
        <v>70</v>
      </c>
      <c r="H46">
        <v>87</v>
      </c>
      <c r="I46">
        <v>117</v>
      </c>
      <c r="J46">
        <v>85</v>
      </c>
      <c r="K46" t="s">
        <v>346</v>
      </c>
      <c r="L46" t="s">
        <v>298</v>
      </c>
      <c r="M46" t="s">
        <v>302</v>
      </c>
      <c r="N46">
        <f t="shared" si="3"/>
        <v>8.77</v>
      </c>
      <c r="O46">
        <f t="shared" si="4"/>
        <v>8.41</v>
      </c>
      <c r="P46">
        <v>-1</v>
      </c>
      <c r="Q46">
        <v>-1</v>
      </c>
      <c r="R46" s="2">
        <f t="shared" si="5"/>
        <v>8</v>
      </c>
      <c r="S46" s="2">
        <f t="shared" si="58"/>
        <v>7</v>
      </c>
      <c r="T46" s="2">
        <f t="shared" si="7"/>
        <v>15</v>
      </c>
      <c r="U46" t="str">
        <f t="shared" si="0"/>
        <v>grass</v>
      </c>
      <c r="V46" t="s">
        <v>8</v>
      </c>
      <c r="W46" t="s">
        <v>16</v>
      </c>
      <c r="X46" t="s">
        <v>26</v>
      </c>
      <c r="Z46" s="2" t="str">
        <f t="shared" si="1"/>
        <v/>
      </c>
      <c r="AA46" t="s">
        <v>1055</v>
      </c>
      <c r="AB46" t="s">
        <v>1057</v>
      </c>
      <c r="AC46" t="s">
        <v>860</v>
      </c>
      <c r="AD46" t="str">
        <f>VLOOKUP(AC46,moves!A:B,2,FALSE)</f>
        <v>grass</v>
      </c>
      <c r="AE46">
        <f>VLOOKUP(AC46,moves!A:D,4,FALSE)</f>
        <v>6</v>
      </c>
      <c r="AF46" t="str">
        <f>VLOOKUP(AC46,moves!A:F,5,FALSE)</f>
        <v>decisive</v>
      </c>
      <c r="AG46">
        <v>0</v>
      </c>
      <c r="AH46">
        <v>0</v>
      </c>
      <c r="AI46" t="str" cm="1">
        <f t="array" ref="AI46">_xlfn.IFS(AG46=1, "starter", AH46=1, "legendary",T46&lt; 13, "weak",T46&lt; 17, "moderate", TRUE, "strong")</f>
        <v>moderate</v>
      </c>
      <c r="AK46">
        <v>2</v>
      </c>
      <c r="AL46">
        <v>0</v>
      </c>
      <c r="AM46">
        <v>2</v>
      </c>
    </row>
    <row r="47" spans="1:39" x14ac:dyDescent="0.25">
      <c r="A47">
        <v>422</v>
      </c>
      <c r="B47" t="s">
        <v>315</v>
      </c>
      <c r="C47" s="1" t="s">
        <v>6</v>
      </c>
      <c r="E47">
        <v>76</v>
      </c>
      <c r="F47">
        <v>48</v>
      </c>
      <c r="G47">
        <v>48</v>
      </c>
      <c r="H47">
        <v>57</v>
      </c>
      <c r="I47">
        <v>62</v>
      </c>
      <c r="J47">
        <v>34</v>
      </c>
      <c r="K47" t="s">
        <v>347</v>
      </c>
      <c r="L47" t="s">
        <v>303</v>
      </c>
      <c r="M47" t="s">
        <v>299</v>
      </c>
      <c r="N47">
        <f t="shared" si="3"/>
        <v>4.6900000000000004</v>
      </c>
      <c r="O47">
        <f t="shared" si="4"/>
        <v>6.339999999999999</v>
      </c>
      <c r="P47">
        <v>0</v>
      </c>
      <c r="Q47">
        <v>0</v>
      </c>
      <c r="R47" s="2">
        <f t="shared" si="5"/>
        <v>5</v>
      </c>
      <c r="S47" s="2">
        <f t="shared" si="6"/>
        <v>6</v>
      </c>
      <c r="T47" s="2">
        <f t="shared" si="7"/>
        <v>11</v>
      </c>
      <c r="U47" t="str">
        <f t="shared" si="0"/>
        <v>water</v>
      </c>
      <c r="V47" t="s">
        <v>13</v>
      </c>
      <c r="W47" t="s">
        <v>8</v>
      </c>
      <c r="X47" t="s">
        <v>14</v>
      </c>
      <c r="Y47" t="s">
        <v>440</v>
      </c>
      <c r="Z47" s="2">
        <f t="shared" si="1"/>
        <v>6</v>
      </c>
      <c r="AA47" t="s">
        <v>439</v>
      </c>
      <c r="AB47" t="s">
        <v>1330</v>
      </c>
      <c r="AC47" t="s">
        <v>602</v>
      </c>
      <c r="AD47" t="str">
        <f>VLOOKUP(AC47,moves!A:B,2,FALSE)</f>
        <v>water</v>
      </c>
      <c r="AE47">
        <f>VLOOKUP(AC47,moves!A:D,4,FALSE)</f>
        <v>2</v>
      </c>
      <c r="AF47">
        <f>VLOOKUP(AC47,moves!A:F,5,FALSE)</f>
        <v>0</v>
      </c>
      <c r="AG47">
        <v>0</v>
      </c>
      <c r="AH47">
        <v>0</v>
      </c>
      <c r="AI47" t="str" cm="1">
        <f t="array" ref="AI47">_xlfn.IFS(AG47=1, "starter", AH47=1, "legendary",T47&lt; 13, "weak",T47&lt; 17, "moderate", TRUE, "strong")</f>
        <v>weak</v>
      </c>
      <c r="AK47">
        <v>1</v>
      </c>
      <c r="AL47">
        <v>0</v>
      </c>
      <c r="AM47">
        <v>0</v>
      </c>
    </row>
    <row r="48" spans="1:39" x14ac:dyDescent="0.25">
      <c r="A48">
        <v>423</v>
      </c>
      <c r="B48" t="s">
        <v>316</v>
      </c>
      <c r="C48" s="1" t="s">
        <v>6</v>
      </c>
      <c r="D48" s="1" t="s">
        <v>13</v>
      </c>
      <c r="E48">
        <v>111</v>
      </c>
      <c r="F48">
        <v>83</v>
      </c>
      <c r="G48">
        <v>68</v>
      </c>
      <c r="H48">
        <v>92</v>
      </c>
      <c r="I48">
        <v>82</v>
      </c>
      <c r="J48">
        <v>39</v>
      </c>
      <c r="K48" t="s">
        <v>347</v>
      </c>
      <c r="L48" t="s">
        <v>303</v>
      </c>
      <c r="M48" t="s">
        <v>299</v>
      </c>
      <c r="N48">
        <f t="shared" si="3"/>
        <v>6.99</v>
      </c>
      <c r="O48">
        <f t="shared" si="4"/>
        <v>8.9400000000000013</v>
      </c>
      <c r="P48">
        <v>0</v>
      </c>
      <c r="Q48">
        <v>0</v>
      </c>
      <c r="R48" s="2">
        <f t="shared" si="5"/>
        <v>7</v>
      </c>
      <c r="S48" s="2">
        <f t="shared" si="6"/>
        <v>9</v>
      </c>
      <c r="T48" s="2">
        <f t="shared" si="7"/>
        <v>16</v>
      </c>
      <c r="U48" t="str">
        <f t="shared" si="0"/>
        <v>water</v>
      </c>
      <c r="V48" t="str">
        <f>IF(D48 = 0, "", D48)</f>
        <v>ground</v>
      </c>
      <c r="W48" t="s">
        <v>8</v>
      </c>
      <c r="X48" t="s">
        <v>14</v>
      </c>
      <c r="Z48" s="2" t="str">
        <f t="shared" si="1"/>
        <v/>
      </c>
      <c r="AA48" t="s">
        <v>440</v>
      </c>
      <c r="AB48" t="s">
        <v>1330</v>
      </c>
      <c r="AC48" t="s">
        <v>490</v>
      </c>
      <c r="AD48" t="str">
        <f>VLOOKUP(AC48,moves!A:B,2,FALSE)</f>
        <v>ice</v>
      </c>
      <c r="AE48">
        <f>VLOOKUP(AC48,moves!A:D,4,FALSE)</f>
        <v>4</v>
      </c>
      <c r="AF48">
        <f>VLOOKUP(AC48,moves!A:F,5,FALSE)</f>
        <v>0</v>
      </c>
      <c r="AG48">
        <v>0</v>
      </c>
      <c r="AH48">
        <v>0</v>
      </c>
      <c r="AI48" t="str" cm="1">
        <f t="array" ref="AI48">_xlfn.IFS(AG48=1, "starter", AH48=1, "legendary",T48&lt; 13, "weak",T48&lt; 17, "moderate", TRUE, "strong")</f>
        <v>moderate</v>
      </c>
      <c r="AK48">
        <v>2</v>
      </c>
      <c r="AL48">
        <v>0</v>
      </c>
      <c r="AM48">
        <v>0</v>
      </c>
    </row>
    <row r="49" spans="1:39" x14ac:dyDescent="0.25">
      <c r="A49" t="s">
        <v>1041</v>
      </c>
      <c r="B49" t="s">
        <v>315</v>
      </c>
      <c r="C49" s="1" t="s">
        <v>6</v>
      </c>
      <c r="E49">
        <v>76</v>
      </c>
      <c r="F49">
        <v>48</v>
      </c>
      <c r="G49">
        <v>48</v>
      </c>
      <c r="H49">
        <v>57</v>
      </c>
      <c r="I49">
        <v>62</v>
      </c>
      <c r="J49">
        <v>34</v>
      </c>
      <c r="K49" t="s">
        <v>347</v>
      </c>
      <c r="L49" t="s">
        <v>303</v>
      </c>
      <c r="M49" t="s">
        <v>302</v>
      </c>
      <c r="N49">
        <f t="shared" si="3"/>
        <v>4.6900000000000004</v>
      </c>
      <c r="O49">
        <f t="shared" si="4"/>
        <v>6.339999999999999</v>
      </c>
      <c r="P49">
        <v>0</v>
      </c>
      <c r="Q49">
        <v>0</v>
      </c>
      <c r="R49" s="2">
        <f t="shared" si="5"/>
        <v>5</v>
      </c>
      <c r="S49" s="2">
        <f t="shared" si="6"/>
        <v>6</v>
      </c>
      <c r="T49" s="2">
        <f t="shared" si="7"/>
        <v>11</v>
      </c>
      <c r="U49" t="str">
        <f t="shared" si="0"/>
        <v>water</v>
      </c>
      <c r="V49" t="s">
        <v>13</v>
      </c>
      <c r="W49" t="s">
        <v>8</v>
      </c>
      <c r="X49" t="s">
        <v>4</v>
      </c>
      <c r="Y49" t="s">
        <v>442</v>
      </c>
      <c r="Z49" s="2">
        <f t="shared" si="1"/>
        <v>6</v>
      </c>
      <c r="AA49" t="s">
        <v>441</v>
      </c>
      <c r="AB49" t="s">
        <v>1331</v>
      </c>
      <c r="AC49" t="s">
        <v>728</v>
      </c>
      <c r="AD49" t="str">
        <f>VLOOKUP(AC49,moves!A:B,2,FALSE)</f>
        <v>ground</v>
      </c>
      <c r="AE49">
        <f>VLOOKUP(AC49,moves!A:D,4,FALSE)</f>
        <v>3</v>
      </c>
      <c r="AF49">
        <f>VLOOKUP(AC49,moves!A:F,5,FALSE)</f>
        <v>0</v>
      </c>
      <c r="AG49">
        <v>0</v>
      </c>
      <c r="AH49">
        <v>0</v>
      </c>
      <c r="AI49" t="str" cm="1">
        <f t="array" ref="AI49">_xlfn.IFS(AG49=1, "starter", AH49=1, "legendary",T49&lt; 13, "weak",T49&lt; 17, "moderate", TRUE, "strong")</f>
        <v>weak</v>
      </c>
      <c r="AK49">
        <v>1</v>
      </c>
      <c r="AL49">
        <v>0</v>
      </c>
      <c r="AM49">
        <v>0</v>
      </c>
    </row>
    <row r="50" spans="1:39" x14ac:dyDescent="0.25">
      <c r="A50" t="s">
        <v>1042</v>
      </c>
      <c r="B50" t="s">
        <v>316</v>
      </c>
      <c r="C50" s="1" t="s">
        <v>6</v>
      </c>
      <c r="D50" s="1" t="s">
        <v>13</v>
      </c>
      <c r="E50">
        <v>111</v>
      </c>
      <c r="F50">
        <v>83</v>
      </c>
      <c r="G50">
        <v>68</v>
      </c>
      <c r="H50">
        <v>92</v>
      </c>
      <c r="I50">
        <v>82</v>
      </c>
      <c r="J50">
        <v>39</v>
      </c>
      <c r="K50" t="s">
        <v>347</v>
      </c>
      <c r="L50" t="s">
        <v>303</v>
      </c>
      <c r="M50" t="s">
        <v>302</v>
      </c>
      <c r="N50">
        <f t="shared" si="3"/>
        <v>6.99</v>
      </c>
      <c r="O50">
        <f t="shared" si="4"/>
        <v>8.9400000000000013</v>
      </c>
      <c r="P50">
        <v>0</v>
      </c>
      <c r="Q50">
        <v>0</v>
      </c>
      <c r="R50" s="2">
        <f t="shared" si="5"/>
        <v>7</v>
      </c>
      <c r="S50" s="2">
        <f t="shared" si="6"/>
        <v>9</v>
      </c>
      <c r="T50" s="2">
        <f t="shared" si="7"/>
        <v>16</v>
      </c>
      <c r="U50" t="str">
        <f t="shared" si="0"/>
        <v>water</v>
      </c>
      <c r="V50" t="str">
        <f>IF(D50 = 0, "", D50)</f>
        <v>ground</v>
      </c>
      <c r="W50" t="s">
        <v>8</v>
      </c>
      <c r="X50" t="s">
        <v>4</v>
      </c>
      <c r="Z50" s="2" t="str">
        <f t="shared" si="1"/>
        <v/>
      </c>
      <c r="AA50" t="s">
        <v>442</v>
      </c>
      <c r="AB50" t="s">
        <v>1331</v>
      </c>
      <c r="AC50" t="s">
        <v>484</v>
      </c>
      <c r="AD50" t="str">
        <f>VLOOKUP(AC50,moves!A:B,2,FALSE)</f>
        <v>water</v>
      </c>
      <c r="AE50">
        <f>VLOOKUP(AC50,moves!A:D,4,FALSE)</f>
        <v>4</v>
      </c>
      <c r="AF50">
        <f>VLOOKUP(AC50,moves!A:F,5,FALSE)</f>
        <v>0</v>
      </c>
      <c r="AG50">
        <v>0</v>
      </c>
      <c r="AH50">
        <v>0</v>
      </c>
      <c r="AI50" t="str" cm="1">
        <f t="array" ref="AI50">_xlfn.IFS(AG50=1, "starter", AH50=1, "legendary",T50&lt; 13, "weak",T50&lt; 17, "moderate", TRUE, "strong")</f>
        <v>moderate</v>
      </c>
      <c r="AK50">
        <v>2</v>
      </c>
      <c r="AL50">
        <v>0</v>
      </c>
      <c r="AM50">
        <v>0</v>
      </c>
    </row>
    <row r="51" spans="1:39" x14ac:dyDescent="0.25">
      <c r="A51">
        <v>190</v>
      </c>
      <c r="B51" t="s">
        <v>78</v>
      </c>
      <c r="C51" s="1" t="s">
        <v>8</v>
      </c>
      <c r="E51">
        <v>55</v>
      </c>
      <c r="F51">
        <v>70</v>
      </c>
      <c r="G51">
        <v>55</v>
      </c>
      <c r="H51">
        <v>40</v>
      </c>
      <c r="I51">
        <v>55</v>
      </c>
      <c r="J51">
        <v>85</v>
      </c>
      <c r="K51" t="s">
        <v>348</v>
      </c>
      <c r="L51" t="s">
        <v>298</v>
      </c>
      <c r="M51" t="s">
        <v>300</v>
      </c>
      <c r="N51">
        <f t="shared" si="3"/>
        <v>7.3</v>
      </c>
      <c r="O51">
        <f t="shared" si="4"/>
        <v>5.5</v>
      </c>
      <c r="P51">
        <v>0</v>
      </c>
      <c r="Q51">
        <v>0</v>
      </c>
      <c r="R51" s="2">
        <f t="shared" si="5"/>
        <v>7</v>
      </c>
      <c r="S51" s="2">
        <f t="shared" si="6"/>
        <v>6</v>
      </c>
      <c r="T51" s="2">
        <f t="shared" si="7"/>
        <v>13</v>
      </c>
      <c r="U51" t="str">
        <f t="shared" si="0"/>
        <v>normal</v>
      </c>
      <c r="V51" t="s">
        <v>22</v>
      </c>
      <c r="W51" t="s">
        <v>9</v>
      </c>
      <c r="X51" t="s">
        <v>67</v>
      </c>
      <c r="Y51" t="str">
        <f>B52</f>
        <v>Ambipom</v>
      </c>
      <c r="Z51" s="2">
        <f t="shared" si="1"/>
        <v>6</v>
      </c>
      <c r="AA51" t="str">
        <f t="shared" ref="AA51:AA120" si="61">B51</f>
        <v>Aipom</v>
      </c>
      <c r="AC51" t="s">
        <v>466</v>
      </c>
      <c r="AD51" t="str">
        <f>VLOOKUP(AC51,moves!A:B,2,FALSE)</f>
        <v>normal</v>
      </c>
      <c r="AE51">
        <f>VLOOKUP(AC51,moves!A:D,4,FALSE)</f>
        <v>2</v>
      </c>
      <c r="AF51">
        <f>VLOOKUP(AC51,moves!A:F,5,FALSE)</f>
        <v>0</v>
      </c>
      <c r="AG51">
        <v>0</v>
      </c>
      <c r="AH51">
        <v>0</v>
      </c>
      <c r="AI51" t="str" cm="1">
        <f t="array" ref="AI51">_xlfn.IFS(AG51=1, "starter", AH51=1, "legendary",T51&lt; 13, "weak",T51&lt; 17, "moderate", TRUE, "strong")</f>
        <v>moderate</v>
      </c>
      <c r="AK51">
        <v>1</v>
      </c>
      <c r="AL51">
        <v>0</v>
      </c>
      <c r="AM51">
        <v>0</v>
      </c>
    </row>
    <row r="52" spans="1:39" x14ac:dyDescent="0.25">
      <c r="A52">
        <v>424</v>
      </c>
      <c r="B52" t="s">
        <v>178</v>
      </c>
      <c r="C52" s="1" t="s">
        <v>8</v>
      </c>
      <c r="E52">
        <v>75</v>
      </c>
      <c r="F52">
        <v>100</v>
      </c>
      <c r="G52">
        <v>66</v>
      </c>
      <c r="H52">
        <v>60</v>
      </c>
      <c r="I52">
        <v>66</v>
      </c>
      <c r="J52">
        <v>115</v>
      </c>
      <c r="K52" t="s">
        <v>348</v>
      </c>
      <c r="L52" t="s">
        <v>298</v>
      </c>
      <c r="M52" t="s">
        <v>300</v>
      </c>
      <c r="N52">
        <f t="shared" si="3"/>
        <v>10.199999999999999</v>
      </c>
      <c r="O52">
        <f t="shared" si="4"/>
        <v>6.9599999999999991</v>
      </c>
      <c r="P52">
        <v>0</v>
      </c>
      <c r="Q52">
        <v>0</v>
      </c>
      <c r="R52" s="2">
        <f t="shared" si="5"/>
        <v>10</v>
      </c>
      <c r="S52" s="2">
        <f t="shared" si="6"/>
        <v>7</v>
      </c>
      <c r="T52" s="2">
        <f t="shared" si="7"/>
        <v>17</v>
      </c>
      <c r="U52" t="str">
        <f t="shared" si="0"/>
        <v>normal</v>
      </c>
      <c r="V52" t="s">
        <v>22</v>
      </c>
      <c r="W52" t="s">
        <v>9</v>
      </c>
      <c r="X52" t="s">
        <v>67</v>
      </c>
      <c r="Z52" s="2" t="str">
        <f t="shared" si="1"/>
        <v/>
      </c>
      <c r="AA52" t="str">
        <f t="shared" si="61"/>
        <v>Ambipom</v>
      </c>
      <c r="AC52" t="s">
        <v>584</v>
      </c>
      <c r="AD52" t="str">
        <f>VLOOKUP(AC52,moves!A:B,2,FALSE)</f>
        <v>normal</v>
      </c>
      <c r="AE52">
        <f>VLOOKUP(AC52,moves!A:D,4,FALSE)</f>
        <v>5</v>
      </c>
      <c r="AF52">
        <f>VLOOKUP(AC52,moves!A:F,5,FALSE)</f>
        <v>0</v>
      </c>
      <c r="AG52">
        <v>0</v>
      </c>
      <c r="AH52">
        <v>0</v>
      </c>
      <c r="AI52" t="str" cm="1">
        <f t="array" ref="AI52">_xlfn.IFS(AG52=1, "starter", AH52=1, "legendary",T52&lt; 13, "weak",T52&lt; 17, "moderate", TRUE, "strong")</f>
        <v>strong</v>
      </c>
      <c r="AK52">
        <v>2</v>
      </c>
      <c r="AL52">
        <v>0</v>
      </c>
      <c r="AM52">
        <v>0</v>
      </c>
    </row>
    <row r="53" spans="1:39" x14ac:dyDescent="0.25">
      <c r="A53">
        <v>425</v>
      </c>
      <c r="B53" t="s">
        <v>179</v>
      </c>
      <c r="C53" s="1" t="s">
        <v>42</v>
      </c>
      <c r="D53" s="1" t="s">
        <v>5</v>
      </c>
      <c r="E53">
        <v>90</v>
      </c>
      <c r="F53">
        <v>50</v>
      </c>
      <c r="G53">
        <v>34</v>
      </c>
      <c r="H53">
        <v>60</v>
      </c>
      <c r="I53">
        <v>44</v>
      </c>
      <c r="J53">
        <v>70</v>
      </c>
      <c r="K53" t="s">
        <v>349</v>
      </c>
      <c r="L53" t="s">
        <v>301</v>
      </c>
      <c r="M53" t="s">
        <v>300</v>
      </c>
      <c r="N53">
        <f t="shared" si="3"/>
        <v>6.3</v>
      </c>
      <c r="O53">
        <f t="shared" si="4"/>
        <v>5.94</v>
      </c>
      <c r="P53">
        <v>0</v>
      </c>
      <c r="Q53">
        <v>0</v>
      </c>
      <c r="R53" s="2">
        <f t="shared" si="5"/>
        <v>6</v>
      </c>
      <c r="S53" s="2">
        <f t="shared" si="6"/>
        <v>6</v>
      </c>
      <c r="T53" s="2">
        <f t="shared" si="7"/>
        <v>12</v>
      </c>
      <c r="U53" t="str">
        <f t="shared" si="0"/>
        <v>ghost</v>
      </c>
      <c r="V53" t="s">
        <v>4</v>
      </c>
      <c r="W53" t="s">
        <v>8</v>
      </c>
      <c r="X53" t="s">
        <v>26</v>
      </c>
      <c r="Y53" t="str">
        <f>B54</f>
        <v>Drifblim</v>
      </c>
      <c r="Z53" s="2">
        <f t="shared" si="1"/>
        <v>8</v>
      </c>
      <c r="AA53" t="str">
        <f t="shared" si="61"/>
        <v>Drifloon</v>
      </c>
      <c r="AC53" t="s">
        <v>681</v>
      </c>
      <c r="AD53" t="str">
        <f>VLOOKUP(AC53,moves!A:B,2,FALSE)</f>
        <v>ghost</v>
      </c>
      <c r="AE53">
        <f>VLOOKUP(AC53,moves!A:D,4,FALSE)</f>
        <v>2</v>
      </c>
      <c r="AF53" t="str">
        <f>VLOOKUP(AC53,moves!A:F,5,FALSE)</f>
        <v>boost</v>
      </c>
      <c r="AG53">
        <v>0</v>
      </c>
      <c r="AH53">
        <v>0</v>
      </c>
      <c r="AI53" t="str" cm="1">
        <f t="array" ref="AI53">_xlfn.IFS(AG53=1, "starter", AH53=1, "legendary",T53&lt; 13, "weak",T53&lt; 17, "moderate", TRUE, "strong")</f>
        <v>weak</v>
      </c>
      <c r="AK53">
        <v>1</v>
      </c>
      <c r="AL53">
        <v>0</v>
      </c>
      <c r="AM53">
        <v>0</v>
      </c>
    </row>
    <row r="54" spans="1:39" x14ac:dyDescent="0.25">
      <c r="A54">
        <v>426</v>
      </c>
      <c r="B54" t="s">
        <v>180</v>
      </c>
      <c r="C54" s="1" t="s">
        <v>42</v>
      </c>
      <c r="D54" s="1" t="s">
        <v>5</v>
      </c>
      <c r="E54">
        <v>150</v>
      </c>
      <c r="F54">
        <v>80</v>
      </c>
      <c r="G54">
        <v>44</v>
      </c>
      <c r="H54">
        <v>90</v>
      </c>
      <c r="I54">
        <v>54</v>
      </c>
      <c r="J54">
        <v>80</v>
      </c>
      <c r="K54" t="s">
        <v>350</v>
      </c>
      <c r="L54" t="s">
        <v>301</v>
      </c>
      <c r="M54" t="s">
        <v>300</v>
      </c>
      <c r="N54">
        <f t="shared" si="3"/>
        <v>8.5</v>
      </c>
      <c r="O54">
        <f t="shared" si="4"/>
        <v>8.9400000000000013</v>
      </c>
      <c r="P54">
        <v>0</v>
      </c>
      <c r="Q54">
        <v>0</v>
      </c>
      <c r="R54" s="2">
        <f t="shared" si="5"/>
        <v>9</v>
      </c>
      <c r="S54" s="2">
        <f t="shared" si="6"/>
        <v>9</v>
      </c>
      <c r="T54" s="2">
        <f t="shared" si="7"/>
        <v>18</v>
      </c>
      <c r="U54" t="str">
        <f t="shared" si="0"/>
        <v>ghost</v>
      </c>
      <c r="V54" t="s">
        <v>4</v>
      </c>
      <c r="W54" t="s">
        <v>8</v>
      </c>
      <c r="X54" t="s">
        <v>26</v>
      </c>
      <c r="Z54" s="2" t="str">
        <f t="shared" si="1"/>
        <v/>
      </c>
      <c r="AA54" t="str">
        <f t="shared" si="61"/>
        <v>Drifblim</v>
      </c>
      <c r="AC54" t="s">
        <v>518</v>
      </c>
      <c r="AD54" t="str">
        <f>VLOOKUP(AC54,moves!A:B,2,FALSE)</f>
        <v>normal</v>
      </c>
      <c r="AE54">
        <f>VLOOKUP(AC54,moves!A:D,4,FALSE)</f>
        <v>8</v>
      </c>
      <c r="AF54" t="str">
        <f>VLOOKUP(AC54,moves!A:F,5,FALSE)</f>
        <v>decisive</v>
      </c>
      <c r="AG54">
        <v>0</v>
      </c>
      <c r="AH54">
        <v>0</v>
      </c>
      <c r="AI54" t="str" cm="1">
        <f t="array" ref="AI54">_xlfn.IFS(AG54=1, "starter", AH54=1, "legendary",T54&lt; 13, "weak",T54&lt; 17, "moderate", TRUE, "strong")</f>
        <v>strong</v>
      </c>
      <c r="AK54">
        <v>2</v>
      </c>
      <c r="AL54">
        <v>0</v>
      </c>
      <c r="AM54">
        <v>0</v>
      </c>
    </row>
    <row r="55" spans="1:39" x14ac:dyDescent="0.25">
      <c r="A55">
        <v>427</v>
      </c>
      <c r="B55" t="s">
        <v>181</v>
      </c>
      <c r="C55" s="1" t="s">
        <v>8</v>
      </c>
      <c r="E55">
        <v>55</v>
      </c>
      <c r="F55">
        <v>66</v>
      </c>
      <c r="G55">
        <v>44</v>
      </c>
      <c r="H55">
        <v>44</v>
      </c>
      <c r="I55">
        <v>56</v>
      </c>
      <c r="J55">
        <v>85</v>
      </c>
      <c r="K55" t="s">
        <v>351</v>
      </c>
      <c r="L55" t="s">
        <v>301</v>
      </c>
      <c r="M55" t="s">
        <v>299</v>
      </c>
      <c r="N55">
        <f t="shared" si="3"/>
        <v>7.1400000000000006</v>
      </c>
      <c r="O55">
        <f t="shared" si="4"/>
        <v>5.2</v>
      </c>
      <c r="P55">
        <v>0</v>
      </c>
      <c r="Q55">
        <v>0</v>
      </c>
      <c r="R55" s="2">
        <f t="shared" si="5"/>
        <v>7</v>
      </c>
      <c r="S55" s="2">
        <f t="shared" si="6"/>
        <v>5</v>
      </c>
      <c r="T55" s="2">
        <f t="shared" si="7"/>
        <v>12</v>
      </c>
      <c r="U55" t="str">
        <f t="shared" si="0"/>
        <v>normal</v>
      </c>
      <c r="V55" t="s">
        <v>22</v>
      </c>
      <c r="W55" t="s">
        <v>5</v>
      </c>
      <c r="X55" t="s">
        <v>26</v>
      </c>
      <c r="Y55" t="str">
        <f>B56</f>
        <v>Lopunny</v>
      </c>
      <c r="Z55" s="2">
        <f t="shared" si="1"/>
        <v>6</v>
      </c>
      <c r="AA55" t="str">
        <f t="shared" si="61"/>
        <v>Buneary</v>
      </c>
      <c r="AC55" t="s">
        <v>586</v>
      </c>
      <c r="AD55" t="str">
        <f>VLOOKUP(AC55,moves!A:B,2,FALSE)</f>
        <v>normal</v>
      </c>
      <c r="AE55">
        <f>VLOOKUP(AC55,moves!A:D,4,FALSE)</f>
        <v>3</v>
      </c>
      <c r="AF55">
        <f>VLOOKUP(AC55,moves!A:F,5,FALSE)</f>
        <v>0</v>
      </c>
      <c r="AG55">
        <v>0</v>
      </c>
      <c r="AH55">
        <v>0</v>
      </c>
      <c r="AI55" t="str" cm="1">
        <f t="array" ref="AI55">_xlfn.IFS(AG55=1, "starter", AH55=1, "legendary",T55&lt; 13, "weak",T55&lt; 17, "moderate", TRUE, "strong")</f>
        <v>weak</v>
      </c>
      <c r="AK55">
        <v>1</v>
      </c>
      <c r="AL55">
        <v>0</v>
      </c>
      <c r="AM55">
        <v>0</v>
      </c>
    </row>
    <row r="56" spans="1:39" x14ac:dyDescent="0.25">
      <c r="A56">
        <v>428</v>
      </c>
      <c r="B56" t="s">
        <v>182</v>
      </c>
      <c r="C56" s="1" t="s">
        <v>8</v>
      </c>
      <c r="E56">
        <v>65</v>
      </c>
      <c r="F56">
        <v>76</v>
      </c>
      <c r="G56">
        <v>84</v>
      </c>
      <c r="H56">
        <v>54</v>
      </c>
      <c r="I56">
        <v>96</v>
      </c>
      <c r="J56">
        <v>105</v>
      </c>
      <c r="K56" t="s">
        <v>351</v>
      </c>
      <c r="L56" t="s">
        <v>301</v>
      </c>
      <c r="M56" t="s">
        <v>299</v>
      </c>
      <c r="N56">
        <f t="shared" si="3"/>
        <v>8.5400000000000009</v>
      </c>
      <c r="O56">
        <f t="shared" si="4"/>
        <v>8</v>
      </c>
      <c r="P56">
        <v>0</v>
      </c>
      <c r="Q56">
        <v>0</v>
      </c>
      <c r="R56" s="2">
        <f t="shared" si="5"/>
        <v>9</v>
      </c>
      <c r="S56" s="2">
        <f t="shared" si="6"/>
        <v>8</v>
      </c>
      <c r="T56" s="2">
        <f t="shared" si="7"/>
        <v>17</v>
      </c>
      <c r="U56" t="str">
        <f t="shared" si="0"/>
        <v>normal</v>
      </c>
      <c r="V56" t="s">
        <v>22</v>
      </c>
      <c r="W56" t="s">
        <v>5</v>
      </c>
      <c r="X56" t="s">
        <v>26</v>
      </c>
      <c r="Z56" s="2" t="str">
        <f t="shared" si="1"/>
        <v/>
      </c>
      <c r="AA56" t="str">
        <f t="shared" si="61"/>
        <v>Lopunny</v>
      </c>
      <c r="AC56" t="s">
        <v>565</v>
      </c>
      <c r="AD56" t="str">
        <f>VLOOKUP(AC56,moves!A:B,2,FALSE)</f>
        <v>fighting</v>
      </c>
      <c r="AE56">
        <f>VLOOKUP(AC56,moves!A:D,4,FALSE)</f>
        <v>5</v>
      </c>
      <c r="AF56">
        <f>VLOOKUP(AC56,moves!A:F,5,FALSE)</f>
        <v>0</v>
      </c>
      <c r="AG56">
        <v>0</v>
      </c>
      <c r="AH56">
        <v>0</v>
      </c>
      <c r="AI56" t="str" cm="1">
        <f t="array" ref="AI56">_xlfn.IFS(AG56=1, "starter", AH56=1, "legendary",T56&lt; 13, "weak",T56&lt; 17, "moderate", TRUE, "strong")</f>
        <v>strong</v>
      </c>
      <c r="AK56">
        <v>2</v>
      </c>
      <c r="AL56">
        <v>0</v>
      </c>
      <c r="AM56">
        <v>0</v>
      </c>
    </row>
    <row r="57" spans="1:39" x14ac:dyDescent="0.25">
      <c r="A57">
        <v>200</v>
      </c>
      <c r="B57" t="s">
        <v>85</v>
      </c>
      <c r="C57" s="1" t="s">
        <v>42</v>
      </c>
      <c r="E57">
        <v>60</v>
      </c>
      <c r="F57">
        <v>60</v>
      </c>
      <c r="G57">
        <v>60</v>
      </c>
      <c r="H57">
        <v>85</v>
      </c>
      <c r="I57">
        <v>85</v>
      </c>
      <c r="J57">
        <v>85</v>
      </c>
      <c r="K57" t="s">
        <v>352</v>
      </c>
      <c r="L57" t="s">
        <v>298</v>
      </c>
      <c r="M57" t="s">
        <v>299</v>
      </c>
      <c r="N57">
        <f t="shared" si="3"/>
        <v>8.25</v>
      </c>
      <c r="O57">
        <f t="shared" si="4"/>
        <v>6.75</v>
      </c>
      <c r="P57">
        <v>0</v>
      </c>
      <c r="Q57">
        <v>0</v>
      </c>
      <c r="R57" s="2">
        <f t="shared" si="5"/>
        <v>8</v>
      </c>
      <c r="S57" s="2">
        <f t="shared" si="6"/>
        <v>7</v>
      </c>
      <c r="T57" s="2">
        <f t="shared" si="7"/>
        <v>15</v>
      </c>
      <c r="U57" t="str">
        <f t="shared" si="0"/>
        <v>ghost</v>
      </c>
      <c r="V57" t="s">
        <v>4</v>
      </c>
      <c r="W57" t="s">
        <v>33</v>
      </c>
      <c r="X57" t="s">
        <v>2</v>
      </c>
      <c r="Y57" t="str">
        <f>B58</f>
        <v>Mismagius</v>
      </c>
      <c r="Z57" s="2">
        <f t="shared" si="1"/>
        <v>4</v>
      </c>
      <c r="AA57" t="str">
        <f t="shared" si="61"/>
        <v>Misdreavus</v>
      </c>
      <c r="AC57" t="s">
        <v>832</v>
      </c>
      <c r="AD57" t="str">
        <f>VLOOKUP(AC57,moves!A:B,2,FALSE)</f>
        <v>ghost</v>
      </c>
      <c r="AE57">
        <f>VLOOKUP(AC57,moves!A:D,4,FALSE)</f>
        <v>2</v>
      </c>
      <c r="AF57" t="str">
        <f>VLOOKUP(AC57,moves!A:F,5,FALSE)</f>
        <v>agile</v>
      </c>
      <c r="AG57">
        <v>0</v>
      </c>
      <c r="AH57">
        <v>0</v>
      </c>
      <c r="AI57" t="str" cm="1">
        <f t="array" ref="AI57">_xlfn.IFS(AG57=1, "starter", AH57=1, "legendary",T57&lt; 13, "weak",T57&lt; 17, "moderate", TRUE, "strong")</f>
        <v>moderate</v>
      </c>
      <c r="AK57">
        <v>1</v>
      </c>
      <c r="AL57">
        <v>0</v>
      </c>
      <c r="AM57">
        <v>0</v>
      </c>
    </row>
    <row r="58" spans="1:39" x14ac:dyDescent="0.25">
      <c r="A58">
        <v>429</v>
      </c>
      <c r="B58" t="s">
        <v>183</v>
      </c>
      <c r="C58" s="1" t="s">
        <v>42</v>
      </c>
      <c r="E58">
        <v>60</v>
      </c>
      <c r="F58">
        <v>60</v>
      </c>
      <c r="G58">
        <v>60</v>
      </c>
      <c r="H58">
        <v>105</v>
      </c>
      <c r="I58">
        <v>105</v>
      </c>
      <c r="J58">
        <v>105</v>
      </c>
      <c r="K58" t="s">
        <v>353</v>
      </c>
      <c r="L58" t="s">
        <v>298</v>
      </c>
      <c r="M58" t="s">
        <v>299</v>
      </c>
      <c r="N58">
        <f t="shared" si="3"/>
        <v>10.050000000000001</v>
      </c>
      <c r="O58">
        <f t="shared" si="4"/>
        <v>7.35</v>
      </c>
      <c r="P58">
        <v>0</v>
      </c>
      <c r="Q58">
        <v>0</v>
      </c>
      <c r="R58" s="2">
        <f t="shared" si="5"/>
        <v>10</v>
      </c>
      <c r="S58" s="2">
        <f t="shared" si="6"/>
        <v>7</v>
      </c>
      <c r="T58" s="2">
        <f t="shared" si="7"/>
        <v>17</v>
      </c>
      <c r="U58" t="str">
        <f t="shared" si="0"/>
        <v>ghost</v>
      </c>
      <c r="V58" t="s">
        <v>4</v>
      </c>
      <c r="W58" t="s">
        <v>33</v>
      </c>
      <c r="X58" t="s">
        <v>2</v>
      </c>
      <c r="Z58" s="2" t="str">
        <f>IF(ISBLANK(Y58), "", ROUND(( (T60-6)*(T60-7) - (T58-6)*(T58-7) )/15, 0) + 1)</f>
        <v/>
      </c>
      <c r="AA58" t="str">
        <f>B58</f>
        <v>Mismagius</v>
      </c>
      <c r="AC58" t="s">
        <v>585</v>
      </c>
      <c r="AD58" t="str">
        <f>VLOOKUP(AC58,moves!A:B,2,FALSE)</f>
        <v>fire</v>
      </c>
      <c r="AE58">
        <f>VLOOKUP(AC58,moves!A:D,4,FALSE)</f>
        <v>3</v>
      </c>
      <c r="AF58">
        <f>VLOOKUP(AC58,moves!A:F,5,FALSE)</f>
        <v>0</v>
      </c>
      <c r="AG58">
        <v>0</v>
      </c>
      <c r="AH58">
        <v>0</v>
      </c>
      <c r="AI58" t="str" cm="1">
        <f t="array" ref="AI58">_xlfn.IFS(AG58=1, "starter", AH58=1, "legendary",T58&lt; 13, "weak",T58&lt; 17, "moderate", TRUE, "strong")</f>
        <v>strong</v>
      </c>
      <c r="AK58">
        <v>2</v>
      </c>
      <c r="AL58">
        <v>0</v>
      </c>
      <c r="AM58">
        <v>0</v>
      </c>
    </row>
    <row r="59" spans="1:39" x14ac:dyDescent="0.25">
      <c r="A59" s="9" t="s">
        <v>1356</v>
      </c>
      <c r="B59" t="s">
        <v>1358</v>
      </c>
      <c r="C59" s="1" t="s">
        <v>42</v>
      </c>
      <c r="D59" s="1" t="s">
        <v>26</v>
      </c>
      <c r="E59">
        <v>60</v>
      </c>
      <c r="F59">
        <v>60</v>
      </c>
      <c r="G59">
        <v>60</v>
      </c>
      <c r="H59">
        <v>105</v>
      </c>
      <c r="I59">
        <v>105</v>
      </c>
      <c r="J59">
        <v>105</v>
      </c>
      <c r="K59" t="s">
        <v>595</v>
      </c>
      <c r="M59" t="s">
        <v>1339</v>
      </c>
      <c r="N59">
        <f t="shared" ref="N59" si="62">(0.4*J59 + 0.5*MAX(F59,H59) + 0.1*MIN(F59,H59)) / 10</f>
        <v>10.050000000000001</v>
      </c>
      <c r="O59">
        <f t="shared" ref="O59" si="63">(0.4*E59 + 0.3*G59 + 0.3*I59) / 10</f>
        <v>7.35</v>
      </c>
      <c r="P59">
        <v>1</v>
      </c>
      <c r="Q59">
        <v>3</v>
      </c>
      <c r="R59" s="2">
        <f t="shared" ref="R59" si="64">ROUND(N59,0)+P59</f>
        <v>11</v>
      </c>
      <c r="S59" s="2">
        <f t="shared" ref="S59" si="65">ROUND(O59,0)+Q59</f>
        <v>10</v>
      </c>
      <c r="T59" s="2">
        <f t="shared" ref="T59" si="66">SUM(ROUND(R59,0),ROUND(S59,0))</f>
        <v>21</v>
      </c>
      <c r="U59" t="str">
        <f t="shared" ref="U59" si="67">C59</f>
        <v>ghost</v>
      </c>
      <c r="V59" t="str">
        <f>IF(D59 = 0, "", D59)</f>
        <v>psychic</v>
      </c>
      <c r="W59" t="s">
        <v>33</v>
      </c>
      <c r="X59" t="s">
        <v>2</v>
      </c>
      <c r="Z59" s="2" t="str">
        <f>IF(ISBLANK(Y59), "", ROUND(( (T61-6)*(T61-7) - (T59-6)*(T59-7) )/15, 0) + 1)</f>
        <v/>
      </c>
      <c r="AA59" t="s">
        <v>183</v>
      </c>
      <c r="AB59" t="s">
        <v>1357</v>
      </c>
      <c r="AC59" t="s">
        <v>1369</v>
      </c>
      <c r="AD59" t="str">
        <f>VLOOKUP(AC59,moves!A:B,2,FALSE)</f>
        <v>psychic</v>
      </c>
      <c r="AE59">
        <f>VLOOKUP(AC59,moves!A:D,4,FALSE)</f>
        <v>3</v>
      </c>
      <c r="AF59">
        <f>VLOOKUP(AC59,moves!A:F,5,FALSE)</f>
        <v>0</v>
      </c>
      <c r="AG59">
        <v>0</v>
      </c>
      <c r="AH59">
        <v>1</v>
      </c>
      <c r="AI59" t="str" cm="1">
        <f t="array" ref="AI59">_xlfn.IFS(AG59=1, "starter", AH59=1, "legendary",T59&lt; 13, "weak",T59&lt; 17, "moderate", TRUE, "strong")</f>
        <v>legendary</v>
      </c>
      <c r="AK59">
        <v>1</v>
      </c>
      <c r="AL59">
        <v>0</v>
      </c>
      <c r="AM59">
        <v>0</v>
      </c>
    </row>
    <row r="60" spans="1:39" x14ac:dyDescent="0.25">
      <c r="A60">
        <v>198</v>
      </c>
      <c r="B60" t="s">
        <v>84</v>
      </c>
      <c r="C60" s="1" t="s">
        <v>9</v>
      </c>
      <c r="D60" s="1" t="s">
        <v>5</v>
      </c>
      <c r="E60">
        <v>60</v>
      </c>
      <c r="F60">
        <v>85</v>
      </c>
      <c r="G60">
        <v>42</v>
      </c>
      <c r="H60">
        <v>85</v>
      </c>
      <c r="I60">
        <v>42</v>
      </c>
      <c r="J60">
        <v>91</v>
      </c>
      <c r="K60" t="s">
        <v>354</v>
      </c>
      <c r="L60" t="s">
        <v>298</v>
      </c>
      <c r="M60" t="s">
        <v>299</v>
      </c>
      <c r="N60">
        <f t="shared" si="3"/>
        <v>8.74</v>
      </c>
      <c r="O60">
        <f t="shared" si="4"/>
        <v>4.92</v>
      </c>
      <c r="P60">
        <v>0</v>
      </c>
      <c r="Q60">
        <v>0</v>
      </c>
      <c r="R60" s="2">
        <f t="shared" si="5"/>
        <v>9</v>
      </c>
      <c r="S60" s="2">
        <f t="shared" si="6"/>
        <v>5</v>
      </c>
      <c r="T60" s="2">
        <f t="shared" si="7"/>
        <v>14</v>
      </c>
      <c r="U60" t="str">
        <f t="shared" si="0"/>
        <v>dark</v>
      </c>
      <c r="V60" t="str">
        <f>IF(D60 = 0, "", D60)</f>
        <v>flying</v>
      </c>
      <c r="W60" t="s">
        <v>22</v>
      </c>
      <c r="X60" t="s">
        <v>42</v>
      </c>
      <c r="Y60" t="str">
        <f>B61</f>
        <v>Honchkrow</v>
      </c>
      <c r="Z60" s="2">
        <f t="shared" si="1"/>
        <v>5</v>
      </c>
      <c r="AA60" t="str">
        <f t="shared" si="61"/>
        <v>Murkrow</v>
      </c>
      <c r="AC60" t="s">
        <v>495</v>
      </c>
      <c r="AD60" t="str">
        <f>VLOOKUP(AC60,moves!A:B,2,FALSE)</f>
        <v>flying</v>
      </c>
      <c r="AE60">
        <f>VLOOKUP(AC60,moves!A:D,4,FALSE)</f>
        <v>3</v>
      </c>
      <c r="AF60">
        <f>VLOOKUP(AC60,moves!A:F,5,FALSE)</f>
        <v>0</v>
      </c>
      <c r="AG60">
        <v>0</v>
      </c>
      <c r="AH60">
        <v>0</v>
      </c>
      <c r="AI60" t="str" cm="1">
        <f t="array" ref="AI60">_xlfn.IFS(AG60=1, "starter", AH60=1, "legendary",T60&lt; 13, "weak",T60&lt; 17, "moderate", TRUE, "strong")</f>
        <v>moderate</v>
      </c>
      <c r="AK60">
        <v>1</v>
      </c>
      <c r="AL60">
        <v>0</v>
      </c>
      <c r="AM60">
        <v>0</v>
      </c>
    </row>
    <row r="61" spans="1:39" x14ac:dyDescent="0.25">
      <c r="A61">
        <v>430</v>
      </c>
      <c r="B61" t="s">
        <v>184</v>
      </c>
      <c r="C61" s="1" t="s">
        <v>9</v>
      </c>
      <c r="D61" s="1" t="s">
        <v>5</v>
      </c>
      <c r="E61">
        <v>100</v>
      </c>
      <c r="F61">
        <v>125</v>
      </c>
      <c r="G61">
        <v>52</v>
      </c>
      <c r="H61">
        <v>105</v>
      </c>
      <c r="I61">
        <v>52</v>
      </c>
      <c r="J61">
        <v>71</v>
      </c>
      <c r="K61" t="s">
        <v>355</v>
      </c>
      <c r="L61" t="s">
        <v>298</v>
      </c>
      <c r="M61" t="s">
        <v>299</v>
      </c>
      <c r="N61">
        <f t="shared" si="3"/>
        <v>10.14</v>
      </c>
      <c r="O61">
        <f t="shared" si="4"/>
        <v>7.12</v>
      </c>
      <c r="P61">
        <v>0</v>
      </c>
      <c r="Q61">
        <v>0</v>
      </c>
      <c r="R61" s="2">
        <f t="shared" si="5"/>
        <v>10</v>
      </c>
      <c r="S61" s="2">
        <f t="shared" si="6"/>
        <v>7</v>
      </c>
      <c r="T61" s="2">
        <f t="shared" si="7"/>
        <v>17</v>
      </c>
      <c r="U61" t="str">
        <f t="shared" si="0"/>
        <v>dark</v>
      </c>
      <c r="V61" t="str">
        <f>IF(D61 = 0, "", D61)</f>
        <v>flying</v>
      </c>
      <c r="W61" t="s">
        <v>22</v>
      </c>
      <c r="X61" t="s">
        <v>42</v>
      </c>
      <c r="Z61" s="2" t="str">
        <f t="shared" si="1"/>
        <v/>
      </c>
      <c r="AA61" t="str">
        <f t="shared" si="61"/>
        <v>Honchkrow</v>
      </c>
      <c r="AC61" t="s">
        <v>522</v>
      </c>
      <c r="AD61" t="str">
        <f>VLOOKUP(AC61,moves!A:B,2,FALSE)</f>
        <v>dark</v>
      </c>
      <c r="AE61">
        <f>VLOOKUP(AC61,moves!A:D,4,FALSE)</f>
        <v>4</v>
      </c>
      <c r="AF61">
        <f>VLOOKUP(AC61,moves!A:F,5,FALSE)</f>
        <v>0</v>
      </c>
      <c r="AG61">
        <v>0</v>
      </c>
      <c r="AH61">
        <v>0</v>
      </c>
      <c r="AI61" t="str" cm="1">
        <f t="array" ref="AI61">_xlfn.IFS(AG61=1, "starter", AH61=1, "legendary",T61&lt; 13, "weak",T61&lt; 17, "moderate", TRUE, "strong")</f>
        <v>strong</v>
      </c>
      <c r="AK61">
        <v>2</v>
      </c>
      <c r="AL61">
        <v>0</v>
      </c>
      <c r="AM61">
        <v>0</v>
      </c>
    </row>
    <row r="62" spans="1:39" x14ac:dyDescent="0.25">
      <c r="A62">
        <v>431</v>
      </c>
      <c r="B62" t="s">
        <v>185</v>
      </c>
      <c r="C62" s="1" t="s">
        <v>8</v>
      </c>
      <c r="E62">
        <v>49</v>
      </c>
      <c r="F62">
        <v>55</v>
      </c>
      <c r="G62">
        <v>42</v>
      </c>
      <c r="H62">
        <v>42</v>
      </c>
      <c r="I62">
        <v>37</v>
      </c>
      <c r="J62">
        <v>85</v>
      </c>
      <c r="K62" t="s">
        <v>356</v>
      </c>
      <c r="L62" t="s">
        <v>301</v>
      </c>
      <c r="M62" t="s">
        <v>302</v>
      </c>
      <c r="N62">
        <f t="shared" si="3"/>
        <v>6.57</v>
      </c>
      <c r="O62">
        <f t="shared" si="4"/>
        <v>4.33</v>
      </c>
      <c r="P62">
        <v>0</v>
      </c>
      <c r="Q62">
        <v>0</v>
      </c>
      <c r="R62" s="2">
        <f t="shared" si="5"/>
        <v>7</v>
      </c>
      <c r="S62" s="2">
        <f t="shared" si="6"/>
        <v>4</v>
      </c>
      <c r="T62" s="2">
        <f t="shared" si="7"/>
        <v>11</v>
      </c>
      <c r="U62" t="str">
        <f t="shared" si="0"/>
        <v>normal</v>
      </c>
      <c r="V62" t="s">
        <v>16</v>
      </c>
      <c r="W62" t="s">
        <v>9</v>
      </c>
      <c r="X62" t="s">
        <v>11</v>
      </c>
      <c r="Y62" t="str">
        <f>B63</f>
        <v>Purugly</v>
      </c>
      <c r="Z62" s="2">
        <f t="shared" si="1"/>
        <v>6</v>
      </c>
      <c r="AA62" t="str">
        <f t="shared" si="61"/>
        <v>Glameow</v>
      </c>
      <c r="AC62" t="s">
        <v>509</v>
      </c>
      <c r="AD62" t="str">
        <f>VLOOKUP(AC62,moves!A:B,2,FALSE)</f>
        <v>fairy</v>
      </c>
      <c r="AE62">
        <f>VLOOKUP(AC62,moves!A:D,4,FALSE)</f>
        <v>3</v>
      </c>
      <c r="AF62">
        <f>VLOOKUP(AC62,moves!A:F,5,FALSE)</f>
        <v>0</v>
      </c>
      <c r="AG62">
        <v>0</v>
      </c>
      <c r="AH62">
        <v>0</v>
      </c>
      <c r="AI62" t="str" cm="1">
        <f t="array" ref="AI62">_xlfn.IFS(AG62=1, "starter", AH62=1, "legendary",T62&lt; 13, "weak",T62&lt; 17, "moderate", TRUE, "strong")</f>
        <v>weak</v>
      </c>
      <c r="AK62">
        <v>1</v>
      </c>
      <c r="AL62">
        <v>0</v>
      </c>
      <c r="AM62">
        <v>0</v>
      </c>
    </row>
    <row r="63" spans="1:39" x14ac:dyDescent="0.25">
      <c r="A63">
        <v>432</v>
      </c>
      <c r="B63" t="s">
        <v>186</v>
      </c>
      <c r="C63" s="1" t="s">
        <v>8</v>
      </c>
      <c r="E63">
        <v>71</v>
      </c>
      <c r="F63">
        <v>82</v>
      </c>
      <c r="G63">
        <v>64</v>
      </c>
      <c r="H63">
        <v>64</v>
      </c>
      <c r="I63">
        <v>59</v>
      </c>
      <c r="J63">
        <v>112</v>
      </c>
      <c r="K63" t="s">
        <v>357</v>
      </c>
      <c r="L63" t="s">
        <v>301</v>
      </c>
      <c r="M63" t="s">
        <v>302</v>
      </c>
      <c r="N63">
        <f t="shared" si="3"/>
        <v>9.2200000000000024</v>
      </c>
      <c r="O63">
        <f t="shared" si="4"/>
        <v>6.5299999999999994</v>
      </c>
      <c r="P63">
        <v>0</v>
      </c>
      <c r="Q63">
        <v>0</v>
      </c>
      <c r="R63" s="2">
        <f t="shared" si="5"/>
        <v>9</v>
      </c>
      <c r="S63" s="2">
        <f t="shared" si="6"/>
        <v>7</v>
      </c>
      <c r="T63" s="2">
        <f t="shared" si="7"/>
        <v>16</v>
      </c>
      <c r="U63" t="str">
        <f t="shared" si="0"/>
        <v>normal</v>
      </c>
      <c r="V63" t="s">
        <v>16</v>
      </c>
      <c r="W63" t="s">
        <v>9</v>
      </c>
      <c r="X63" t="s">
        <v>11</v>
      </c>
      <c r="Z63" s="2" t="str">
        <f t="shared" si="1"/>
        <v/>
      </c>
      <c r="AA63" t="str">
        <f t="shared" si="61"/>
        <v>Purugly</v>
      </c>
      <c r="AC63" t="s">
        <v>532</v>
      </c>
      <c r="AD63" t="str">
        <f>VLOOKUP(AC63,moves!A:B,2,FALSE)</f>
        <v>normal</v>
      </c>
      <c r="AE63">
        <f>VLOOKUP(AC63,moves!A:D,4,FALSE)</f>
        <v>4</v>
      </c>
      <c r="AF63">
        <f>VLOOKUP(AC63,moves!A:F,5,FALSE)</f>
        <v>0</v>
      </c>
      <c r="AG63">
        <v>0</v>
      </c>
      <c r="AH63">
        <v>0</v>
      </c>
      <c r="AI63" t="str" cm="1">
        <f t="array" ref="AI63">_xlfn.IFS(AG63=1, "starter", AH63=1, "legendary",T63&lt; 13, "weak",T63&lt; 17, "moderate", TRUE, "strong")</f>
        <v>moderate</v>
      </c>
      <c r="AK63">
        <v>2</v>
      </c>
      <c r="AL63">
        <v>0</v>
      </c>
      <c r="AM63">
        <v>0</v>
      </c>
    </row>
    <row r="64" spans="1:39" x14ac:dyDescent="0.25">
      <c r="A64">
        <v>433</v>
      </c>
      <c r="B64" t="s">
        <v>187</v>
      </c>
      <c r="C64" s="1" t="s">
        <v>26</v>
      </c>
      <c r="E64">
        <v>45</v>
      </c>
      <c r="F64">
        <v>30</v>
      </c>
      <c r="G64">
        <v>50</v>
      </c>
      <c r="H64">
        <v>65</v>
      </c>
      <c r="I64">
        <v>50</v>
      </c>
      <c r="J64">
        <v>45</v>
      </c>
      <c r="K64" t="s">
        <v>358</v>
      </c>
      <c r="L64" t="s">
        <v>304</v>
      </c>
      <c r="M64" t="s">
        <v>302</v>
      </c>
      <c r="N64">
        <f t="shared" si="3"/>
        <v>5.35</v>
      </c>
      <c r="O64">
        <f t="shared" si="4"/>
        <v>4.8</v>
      </c>
      <c r="P64">
        <v>0</v>
      </c>
      <c r="Q64">
        <v>0</v>
      </c>
      <c r="R64" s="2">
        <f t="shared" si="5"/>
        <v>5</v>
      </c>
      <c r="S64" s="2">
        <f t="shared" si="6"/>
        <v>5</v>
      </c>
      <c r="T64" s="2">
        <f t="shared" si="7"/>
        <v>10</v>
      </c>
      <c r="U64" t="str">
        <f t="shared" si="0"/>
        <v>psychic</v>
      </c>
      <c r="V64" t="s">
        <v>8</v>
      </c>
      <c r="W64" t="s">
        <v>11</v>
      </c>
      <c r="X64" t="s">
        <v>42</v>
      </c>
      <c r="Y64" t="str">
        <f>B65</f>
        <v>Chimecho</v>
      </c>
      <c r="Z64" s="2">
        <f t="shared" si="1"/>
        <v>6</v>
      </c>
      <c r="AA64" t="str">
        <f t="shared" si="61"/>
        <v>Chingling</v>
      </c>
      <c r="AC64" t="s">
        <v>497</v>
      </c>
      <c r="AD64" t="str">
        <f>VLOOKUP(AC64,moves!A:B,2,FALSE)</f>
        <v>psychic</v>
      </c>
      <c r="AE64">
        <f>VLOOKUP(AC64,moves!A:D,4,FALSE)</f>
        <v>2</v>
      </c>
      <c r="AF64">
        <f>VLOOKUP(AC64,moves!A:F,5,FALSE)</f>
        <v>0</v>
      </c>
      <c r="AG64">
        <v>0</v>
      </c>
      <c r="AH64">
        <v>0</v>
      </c>
      <c r="AI64" t="str" cm="1">
        <f t="array" ref="AI64">_xlfn.IFS(AG64=1, "starter", AH64=1, "legendary",T64&lt; 13, "weak",T64&lt; 17, "moderate", TRUE, "strong")</f>
        <v>weak</v>
      </c>
      <c r="AK64">
        <v>1</v>
      </c>
      <c r="AL64">
        <v>0</v>
      </c>
      <c r="AM64">
        <v>0</v>
      </c>
    </row>
    <row r="65" spans="1:39" x14ac:dyDescent="0.25">
      <c r="A65">
        <v>358</v>
      </c>
      <c r="B65" t="s">
        <v>130</v>
      </c>
      <c r="C65" s="1" t="s">
        <v>26</v>
      </c>
      <c r="E65">
        <v>75</v>
      </c>
      <c r="F65">
        <v>50</v>
      </c>
      <c r="G65">
        <v>80</v>
      </c>
      <c r="H65">
        <v>95</v>
      </c>
      <c r="I65">
        <v>90</v>
      </c>
      <c r="J65">
        <v>65</v>
      </c>
      <c r="K65" t="s">
        <v>359</v>
      </c>
      <c r="L65" t="s">
        <v>304</v>
      </c>
      <c r="M65" t="s">
        <v>302</v>
      </c>
      <c r="N65">
        <f t="shared" si="3"/>
        <v>7.85</v>
      </c>
      <c r="O65">
        <f t="shared" si="4"/>
        <v>8.1</v>
      </c>
      <c r="P65">
        <v>0</v>
      </c>
      <c r="Q65">
        <v>0</v>
      </c>
      <c r="R65" s="2">
        <f t="shared" si="5"/>
        <v>8</v>
      </c>
      <c r="S65" s="2">
        <f t="shared" si="6"/>
        <v>8</v>
      </c>
      <c r="T65" s="2">
        <f t="shared" si="7"/>
        <v>16</v>
      </c>
      <c r="U65" t="str">
        <f t="shared" si="0"/>
        <v>psychic</v>
      </c>
      <c r="V65" t="s">
        <v>8</v>
      </c>
      <c r="W65" t="s">
        <v>11</v>
      </c>
      <c r="X65" t="s">
        <v>42</v>
      </c>
      <c r="Z65" s="2" t="str">
        <f t="shared" si="1"/>
        <v/>
      </c>
      <c r="AA65" t="str">
        <f t="shared" si="61"/>
        <v>Chimecho</v>
      </c>
      <c r="AC65" t="s">
        <v>519</v>
      </c>
      <c r="AD65" t="str">
        <f>VLOOKUP(AC65,moves!A:B,2,FALSE)</f>
        <v>normal</v>
      </c>
      <c r="AE65">
        <f>VLOOKUP(AC65,moves!A:D,4,FALSE)</f>
        <v>3</v>
      </c>
      <c r="AF65">
        <f>VLOOKUP(AC65,moves!A:F,5,FALSE)</f>
        <v>0</v>
      </c>
      <c r="AG65">
        <v>0</v>
      </c>
      <c r="AH65">
        <v>0</v>
      </c>
      <c r="AI65" t="str" cm="1">
        <f t="array" ref="AI65">_xlfn.IFS(AG65=1, "starter", AH65=1, "legendary",T65&lt; 13, "weak",T65&lt; 17, "moderate", TRUE, "strong")</f>
        <v>moderate</v>
      </c>
      <c r="AK65">
        <v>2</v>
      </c>
      <c r="AL65">
        <v>0</v>
      </c>
      <c r="AM65">
        <v>0</v>
      </c>
    </row>
    <row r="66" spans="1:39" x14ac:dyDescent="0.25">
      <c r="A66">
        <v>434</v>
      </c>
      <c r="B66" t="s">
        <v>188</v>
      </c>
      <c r="C66" s="1" t="s">
        <v>3</v>
      </c>
      <c r="D66" s="1" t="s">
        <v>9</v>
      </c>
      <c r="E66">
        <v>63</v>
      </c>
      <c r="F66">
        <v>63</v>
      </c>
      <c r="G66">
        <v>47</v>
      </c>
      <c r="H66">
        <v>41</v>
      </c>
      <c r="I66">
        <v>41</v>
      </c>
      <c r="J66">
        <v>74</v>
      </c>
      <c r="K66" t="s">
        <v>360</v>
      </c>
      <c r="L66" t="s">
        <v>301</v>
      </c>
      <c r="M66" t="s">
        <v>302</v>
      </c>
      <c r="N66">
        <f t="shared" si="3"/>
        <v>6.5200000000000005</v>
      </c>
      <c r="O66">
        <f t="shared" si="4"/>
        <v>5.16</v>
      </c>
      <c r="P66">
        <v>0</v>
      </c>
      <c r="Q66">
        <v>0</v>
      </c>
      <c r="R66" s="2">
        <f t="shared" si="5"/>
        <v>7</v>
      </c>
      <c r="S66" s="2">
        <f t="shared" si="6"/>
        <v>5</v>
      </c>
      <c r="T66" s="2">
        <f t="shared" si="7"/>
        <v>12</v>
      </c>
      <c r="U66" t="str">
        <f t="shared" si="0"/>
        <v>poison</v>
      </c>
      <c r="V66" t="str">
        <f>IF(D66 = 0, "", D66)</f>
        <v>dark</v>
      </c>
      <c r="W66" t="s">
        <v>4</v>
      </c>
      <c r="X66" t="s">
        <v>8</v>
      </c>
      <c r="Y66" t="str">
        <f>B67</f>
        <v>Skuntank</v>
      </c>
      <c r="Z66" s="2">
        <f t="shared" si="1"/>
        <v>6</v>
      </c>
      <c r="AA66" t="str">
        <f t="shared" si="61"/>
        <v>Stunky</v>
      </c>
      <c r="AC66" t="s">
        <v>1410</v>
      </c>
      <c r="AD66" t="str">
        <f>VLOOKUP(AC66,moves!A:B,2,FALSE)</f>
        <v>poison</v>
      </c>
      <c r="AE66">
        <f>VLOOKUP(AC66,moves!A:D,4,FALSE)</f>
        <v>1</v>
      </c>
      <c r="AF66">
        <f>VLOOKUP(AC66,moves!A:F,5,FALSE)</f>
        <v>0</v>
      </c>
      <c r="AG66">
        <v>0</v>
      </c>
      <c r="AH66">
        <v>0</v>
      </c>
      <c r="AI66" t="str" cm="1">
        <f t="array" ref="AI66">_xlfn.IFS(AG66=1, "starter", AH66=1, "legendary",T66&lt; 13, "weak",T66&lt; 17, "moderate", TRUE, "strong")</f>
        <v>weak</v>
      </c>
      <c r="AK66">
        <v>1</v>
      </c>
      <c r="AL66">
        <v>0</v>
      </c>
      <c r="AM66">
        <v>0</v>
      </c>
    </row>
    <row r="67" spans="1:39" x14ac:dyDescent="0.25">
      <c r="A67">
        <v>435</v>
      </c>
      <c r="B67" t="s">
        <v>189</v>
      </c>
      <c r="C67" s="1" t="s">
        <v>3</v>
      </c>
      <c r="D67" s="1" t="s">
        <v>9</v>
      </c>
      <c r="E67">
        <v>103</v>
      </c>
      <c r="F67">
        <v>93</v>
      </c>
      <c r="G67">
        <v>67</v>
      </c>
      <c r="H67">
        <v>71</v>
      </c>
      <c r="I67">
        <v>61</v>
      </c>
      <c r="J67">
        <v>84</v>
      </c>
      <c r="K67" t="s">
        <v>360</v>
      </c>
      <c r="L67" t="s">
        <v>301</v>
      </c>
      <c r="M67" t="s">
        <v>302</v>
      </c>
      <c r="N67">
        <f t="shared" si="3"/>
        <v>8.7199999999999989</v>
      </c>
      <c r="O67">
        <f t="shared" si="4"/>
        <v>7.9599999999999991</v>
      </c>
      <c r="P67">
        <v>0</v>
      </c>
      <c r="Q67">
        <v>0</v>
      </c>
      <c r="R67" s="2">
        <f t="shared" si="5"/>
        <v>9</v>
      </c>
      <c r="S67" s="2">
        <f t="shared" si="6"/>
        <v>8</v>
      </c>
      <c r="T67" s="2">
        <f t="shared" si="7"/>
        <v>17</v>
      </c>
      <c r="U67" t="str">
        <f t="shared" si="0"/>
        <v>poison</v>
      </c>
      <c r="V67" t="str">
        <f>IF(D67 = 0, "", D67)</f>
        <v>dark</v>
      </c>
      <c r="W67" t="s">
        <v>4</v>
      </c>
      <c r="X67" t="s">
        <v>8</v>
      </c>
      <c r="Z67" s="2" t="str">
        <f t="shared" si="1"/>
        <v/>
      </c>
      <c r="AA67" t="str">
        <f t="shared" si="61"/>
        <v>Skuntank</v>
      </c>
      <c r="AC67" t="s">
        <v>522</v>
      </c>
      <c r="AD67" t="str">
        <f>VLOOKUP(AC67,moves!A:B,2,FALSE)</f>
        <v>dark</v>
      </c>
      <c r="AE67">
        <f>VLOOKUP(AC67,moves!A:D,4,FALSE)</f>
        <v>4</v>
      </c>
      <c r="AF67">
        <f>VLOOKUP(AC67,moves!A:F,5,FALSE)</f>
        <v>0</v>
      </c>
      <c r="AG67">
        <v>0</v>
      </c>
      <c r="AH67">
        <v>0</v>
      </c>
      <c r="AI67" t="str" cm="1">
        <f t="array" ref="AI67">_xlfn.IFS(AG67=1, "starter", AH67=1, "legendary",T67&lt; 13, "weak",T67&lt; 17, "moderate", TRUE, "strong")</f>
        <v>strong</v>
      </c>
      <c r="AK67">
        <v>2</v>
      </c>
      <c r="AL67">
        <v>0</v>
      </c>
      <c r="AM67">
        <v>0</v>
      </c>
    </row>
    <row r="68" spans="1:39" x14ac:dyDescent="0.25">
      <c r="A68">
        <v>436</v>
      </c>
      <c r="B68" t="s">
        <v>190</v>
      </c>
      <c r="C68" s="1" t="s">
        <v>39</v>
      </c>
      <c r="D68" s="1" t="s">
        <v>26</v>
      </c>
      <c r="E68">
        <v>57</v>
      </c>
      <c r="F68">
        <v>24</v>
      </c>
      <c r="G68">
        <v>86</v>
      </c>
      <c r="H68">
        <v>24</v>
      </c>
      <c r="I68">
        <v>86</v>
      </c>
      <c r="J68">
        <v>23</v>
      </c>
      <c r="K68" t="s">
        <v>361</v>
      </c>
      <c r="M68" t="s">
        <v>551</v>
      </c>
      <c r="N68">
        <f t="shared" si="3"/>
        <v>2.3600000000000003</v>
      </c>
      <c r="O68">
        <f t="shared" si="4"/>
        <v>7.44</v>
      </c>
      <c r="P68">
        <v>0</v>
      </c>
      <c r="Q68">
        <v>0</v>
      </c>
      <c r="R68" s="2">
        <f t="shared" si="5"/>
        <v>2</v>
      </c>
      <c r="S68" s="2">
        <f t="shared" si="6"/>
        <v>7</v>
      </c>
      <c r="T68" s="2">
        <f t="shared" si="7"/>
        <v>9</v>
      </c>
      <c r="U68" t="str">
        <f t="shared" si="0"/>
        <v>steel</v>
      </c>
      <c r="V68" t="str">
        <f>IF(D68 = 0, "", D68)</f>
        <v>psychic</v>
      </c>
      <c r="W68" t="s">
        <v>8</v>
      </c>
      <c r="X68" t="s">
        <v>13</v>
      </c>
      <c r="Y68" t="str">
        <f>B69</f>
        <v>Bronzong</v>
      </c>
      <c r="Z68" s="2">
        <f t="shared" si="1"/>
        <v>8</v>
      </c>
      <c r="AA68" t="str">
        <f t="shared" si="61"/>
        <v>Bronzor</v>
      </c>
      <c r="AC68" t="s">
        <v>497</v>
      </c>
      <c r="AD68" t="str">
        <f>VLOOKUP(AC68,moves!A:B,2,FALSE)</f>
        <v>psychic</v>
      </c>
      <c r="AE68">
        <f>VLOOKUP(AC68,moves!A:D,4,FALSE)</f>
        <v>2</v>
      </c>
      <c r="AF68">
        <f>VLOOKUP(AC68,moves!A:F,5,FALSE)</f>
        <v>0</v>
      </c>
      <c r="AG68">
        <v>0</v>
      </c>
      <c r="AH68">
        <v>0</v>
      </c>
      <c r="AI68" t="str" cm="1">
        <f t="array" ref="AI68">_xlfn.IFS(AG68=1, "starter", AH68=1, "legendary",T68&lt; 13, "weak",T68&lt; 17, "moderate", TRUE, "strong")</f>
        <v>weak</v>
      </c>
      <c r="AK68">
        <v>1</v>
      </c>
      <c r="AL68">
        <v>0</v>
      </c>
      <c r="AM68">
        <v>0</v>
      </c>
    </row>
    <row r="69" spans="1:39" x14ac:dyDescent="0.25">
      <c r="A69">
        <v>437</v>
      </c>
      <c r="B69" t="s">
        <v>191</v>
      </c>
      <c r="C69" s="1" t="s">
        <v>39</v>
      </c>
      <c r="D69" s="1" t="s">
        <v>26</v>
      </c>
      <c r="E69">
        <v>67</v>
      </c>
      <c r="F69">
        <v>89</v>
      </c>
      <c r="G69">
        <v>116</v>
      </c>
      <c r="H69">
        <v>79</v>
      </c>
      <c r="I69">
        <v>116</v>
      </c>
      <c r="J69">
        <v>33</v>
      </c>
      <c r="K69" t="s">
        <v>362</v>
      </c>
      <c r="M69" t="s">
        <v>551</v>
      </c>
      <c r="N69">
        <f t="shared" si="3"/>
        <v>6.5600000000000005</v>
      </c>
      <c r="O69">
        <f t="shared" si="4"/>
        <v>9.6399999999999988</v>
      </c>
      <c r="P69">
        <v>0</v>
      </c>
      <c r="Q69">
        <v>0</v>
      </c>
      <c r="R69" s="2">
        <f t="shared" si="5"/>
        <v>7</v>
      </c>
      <c r="S69" s="2">
        <f t="shared" si="6"/>
        <v>10</v>
      </c>
      <c r="T69" s="2">
        <f t="shared" si="7"/>
        <v>17</v>
      </c>
      <c r="U69" t="str">
        <f t="shared" si="0"/>
        <v>steel</v>
      </c>
      <c r="V69" t="str">
        <f>IF(D69 = 0, "", D69)</f>
        <v>psychic</v>
      </c>
      <c r="W69" t="s">
        <v>8</v>
      </c>
      <c r="X69" t="s">
        <v>13</v>
      </c>
      <c r="Z69" s="2" t="str">
        <f t="shared" si="1"/>
        <v/>
      </c>
      <c r="AA69" t="str">
        <f t="shared" si="61"/>
        <v>Bronzong</v>
      </c>
      <c r="AC69" t="s">
        <v>563</v>
      </c>
      <c r="AD69" t="str">
        <f>VLOOKUP(AC69,moves!A:B,2,FALSE)</f>
        <v>steel</v>
      </c>
      <c r="AE69" t="str">
        <f>VLOOKUP(AC69,moves!A:D,4,FALSE)</f>
        <v>?</v>
      </c>
      <c r="AF69">
        <f>VLOOKUP(AC69,moves!A:F,5,FALSE)</f>
        <v>0</v>
      </c>
      <c r="AG69">
        <v>0</v>
      </c>
      <c r="AH69">
        <v>0</v>
      </c>
      <c r="AI69" t="str" cm="1">
        <f t="array" ref="AI69">_xlfn.IFS(AG69=1, "starter", AH69=1, "legendary",T69&lt; 13, "weak",T69&lt; 17, "moderate", TRUE, "strong")</f>
        <v>strong</v>
      </c>
      <c r="AK69">
        <v>2</v>
      </c>
      <c r="AL69">
        <v>0</v>
      </c>
      <c r="AM69">
        <v>0</v>
      </c>
    </row>
    <row r="70" spans="1:39" x14ac:dyDescent="0.25">
      <c r="A70">
        <v>438</v>
      </c>
      <c r="B70" t="s">
        <v>192</v>
      </c>
      <c r="C70" s="1" t="s">
        <v>33</v>
      </c>
      <c r="E70">
        <v>50</v>
      </c>
      <c r="F70">
        <v>80</v>
      </c>
      <c r="G70">
        <v>95</v>
      </c>
      <c r="H70">
        <v>10</v>
      </c>
      <c r="I70">
        <v>45</v>
      </c>
      <c r="J70">
        <v>10</v>
      </c>
      <c r="K70" t="s">
        <v>363</v>
      </c>
      <c r="L70" t="s">
        <v>298</v>
      </c>
      <c r="M70" t="s">
        <v>302</v>
      </c>
      <c r="N70">
        <f t="shared" si="3"/>
        <v>4.5</v>
      </c>
      <c r="O70">
        <f t="shared" si="4"/>
        <v>6.2</v>
      </c>
      <c r="P70">
        <v>0</v>
      </c>
      <c r="Q70">
        <v>0</v>
      </c>
      <c r="R70" s="2">
        <f t="shared" si="5"/>
        <v>5</v>
      </c>
      <c r="S70" s="2">
        <f t="shared" si="6"/>
        <v>6</v>
      </c>
      <c r="T70" s="2">
        <f t="shared" si="7"/>
        <v>11</v>
      </c>
      <c r="U70" t="str">
        <f t="shared" si="0"/>
        <v>rock</v>
      </c>
      <c r="V70" t="s">
        <v>8</v>
      </c>
      <c r="W70" t="s">
        <v>22</v>
      </c>
      <c r="X70" t="s">
        <v>2</v>
      </c>
      <c r="Y70" t="str">
        <f>B71</f>
        <v>Sudowoodo</v>
      </c>
      <c r="Z70" s="2">
        <f t="shared" si="1"/>
        <v>4</v>
      </c>
      <c r="AA70" t="str">
        <f t="shared" si="61"/>
        <v>Bonsly</v>
      </c>
      <c r="AC70" t="s">
        <v>520</v>
      </c>
      <c r="AD70" t="str">
        <f>VLOOKUP(AC70,moves!A:B,2,FALSE)</f>
        <v>typeless</v>
      </c>
      <c r="AE70" t="str">
        <f>VLOOKUP(AC70,moves!A:D,4,FALSE)</f>
        <v>?</v>
      </c>
      <c r="AF70">
        <f>VLOOKUP(AC70,moves!A:F,5,FALSE)</f>
        <v>0</v>
      </c>
      <c r="AG70">
        <v>0</v>
      </c>
      <c r="AH70">
        <v>0</v>
      </c>
      <c r="AI70" t="str" cm="1">
        <f t="array" ref="AI70">_xlfn.IFS(AG70=1, "starter", AH70=1, "legendary",T70&lt; 13, "weak",T70&lt; 17, "moderate", TRUE, "strong")</f>
        <v>weak</v>
      </c>
      <c r="AK70">
        <v>1</v>
      </c>
      <c r="AL70">
        <v>0</v>
      </c>
      <c r="AM70">
        <v>0</v>
      </c>
    </row>
    <row r="71" spans="1:39" x14ac:dyDescent="0.25">
      <c r="A71">
        <v>185</v>
      </c>
      <c r="B71" t="s">
        <v>77</v>
      </c>
      <c r="C71" s="1" t="s">
        <v>33</v>
      </c>
      <c r="E71">
        <v>70</v>
      </c>
      <c r="F71">
        <v>100</v>
      </c>
      <c r="G71">
        <v>115</v>
      </c>
      <c r="H71">
        <v>30</v>
      </c>
      <c r="I71">
        <v>65</v>
      </c>
      <c r="J71">
        <v>30</v>
      </c>
      <c r="K71" t="s">
        <v>364</v>
      </c>
      <c r="L71" t="s">
        <v>298</v>
      </c>
      <c r="M71" t="s">
        <v>302</v>
      </c>
      <c r="N71">
        <f t="shared" si="3"/>
        <v>6.5</v>
      </c>
      <c r="O71">
        <f t="shared" si="4"/>
        <v>8.1999999999999993</v>
      </c>
      <c r="P71">
        <v>0</v>
      </c>
      <c r="Q71">
        <v>0</v>
      </c>
      <c r="R71" s="2">
        <f t="shared" si="5"/>
        <v>7</v>
      </c>
      <c r="S71" s="2">
        <f t="shared" si="6"/>
        <v>8</v>
      </c>
      <c r="T71" s="2">
        <f t="shared" si="7"/>
        <v>15</v>
      </c>
      <c r="U71" t="str">
        <f t="shared" si="0"/>
        <v>rock</v>
      </c>
      <c r="V71" t="s">
        <v>8</v>
      </c>
      <c r="W71" t="s">
        <v>22</v>
      </c>
      <c r="X71" t="s">
        <v>2</v>
      </c>
      <c r="Z71" s="2" t="str">
        <f t="shared" si="1"/>
        <v/>
      </c>
      <c r="AA71" t="str">
        <f t="shared" si="61"/>
        <v>Sudowoodo</v>
      </c>
      <c r="AC71" t="s">
        <v>499</v>
      </c>
      <c r="AD71" t="str">
        <f>VLOOKUP(AC71,moves!A:B,2,FALSE)</f>
        <v>rock</v>
      </c>
      <c r="AE71">
        <f>VLOOKUP(AC71,moves!A:D,4,FALSE)</f>
        <v>5</v>
      </c>
      <c r="AF71">
        <f>VLOOKUP(AC71,moves!A:F,5,FALSE)</f>
        <v>0</v>
      </c>
      <c r="AG71">
        <v>0</v>
      </c>
      <c r="AH71">
        <v>0</v>
      </c>
      <c r="AI71" t="str" cm="1">
        <f t="array" ref="AI71">_xlfn.IFS(AG71=1, "starter", AH71=1, "legendary",T71&lt; 13, "weak",T71&lt; 17, "moderate", TRUE, "strong")</f>
        <v>moderate</v>
      </c>
      <c r="AK71">
        <v>2</v>
      </c>
      <c r="AL71">
        <v>0</v>
      </c>
      <c r="AM71">
        <v>0</v>
      </c>
    </row>
    <row r="72" spans="1:39" x14ac:dyDescent="0.25">
      <c r="A72">
        <v>439</v>
      </c>
      <c r="B72" t="s">
        <v>193</v>
      </c>
      <c r="C72" s="1" t="s">
        <v>26</v>
      </c>
      <c r="D72" s="1" t="s">
        <v>16</v>
      </c>
      <c r="E72">
        <v>20</v>
      </c>
      <c r="F72">
        <v>25</v>
      </c>
      <c r="G72">
        <v>45</v>
      </c>
      <c r="H72">
        <v>70</v>
      </c>
      <c r="I72">
        <v>90</v>
      </c>
      <c r="J72">
        <v>60</v>
      </c>
      <c r="K72" t="s">
        <v>365</v>
      </c>
      <c r="L72" t="s">
        <v>301</v>
      </c>
      <c r="M72" t="s">
        <v>299</v>
      </c>
      <c r="N72">
        <f t="shared" si="3"/>
        <v>6.15</v>
      </c>
      <c r="O72">
        <f t="shared" si="4"/>
        <v>4.8499999999999996</v>
      </c>
      <c r="P72">
        <v>0</v>
      </c>
      <c r="Q72">
        <v>0</v>
      </c>
      <c r="R72" s="2">
        <f t="shared" si="5"/>
        <v>6</v>
      </c>
      <c r="S72" s="2">
        <f t="shared" si="6"/>
        <v>5</v>
      </c>
      <c r="T72" s="2">
        <f t="shared" si="7"/>
        <v>11</v>
      </c>
      <c r="U72" t="str">
        <f t="shared" si="0"/>
        <v>psychic</v>
      </c>
      <c r="V72" t="str">
        <f>IF(D72 = 0, "", D72)</f>
        <v>fairy</v>
      </c>
      <c r="W72" t="s">
        <v>8</v>
      </c>
      <c r="X72" t="s">
        <v>14</v>
      </c>
      <c r="Y72" t="str">
        <f>B73</f>
        <v>Mr. Mime</v>
      </c>
      <c r="Z72" s="2">
        <f t="shared" si="1"/>
        <v>6</v>
      </c>
      <c r="AA72" t="str">
        <f t="shared" si="61"/>
        <v>Mime Jr.</v>
      </c>
      <c r="AC72" t="s">
        <v>520</v>
      </c>
      <c r="AD72" t="str">
        <f>VLOOKUP(AC72,moves!A:B,2,FALSE)</f>
        <v>typeless</v>
      </c>
      <c r="AE72" t="str">
        <f>VLOOKUP(AC72,moves!A:D,4,FALSE)</f>
        <v>?</v>
      </c>
      <c r="AF72">
        <f>VLOOKUP(AC72,moves!A:F,5,FALSE)</f>
        <v>0</v>
      </c>
      <c r="AG72">
        <v>0</v>
      </c>
      <c r="AH72">
        <v>0</v>
      </c>
      <c r="AI72" t="str" cm="1">
        <f t="array" ref="AI72">_xlfn.IFS(AG72=1, "starter", AH72=1, "legendary",T72&lt; 13, "weak",T72&lt; 17, "moderate", TRUE, "strong")</f>
        <v>weak</v>
      </c>
      <c r="AK72">
        <v>1</v>
      </c>
      <c r="AL72">
        <v>0</v>
      </c>
      <c r="AM72">
        <v>0</v>
      </c>
    </row>
    <row r="73" spans="1:39" x14ac:dyDescent="0.25">
      <c r="A73">
        <v>122</v>
      </c>
      <c r="B73" t="s">
        <v>53</v>
      </c>
      <c r="C73" s="1" t="s">
        <v>26</v>
      </c>
      <c r="D73" s="1" t="s">
        <v>16</v>
      </c>
      <c r="E73">
        <v>40</v>
      </c>
      <c r="F73">
        <v>45</v>
      </c>
      <c r="G73">
        <v>65</v>
      </c>
      <c r="H73">
        <v>100</v>
      </c>
      <c r="I73">
        <v>120</v>
      </c>
      <c r="J73">
        <v>90</v>
      </c>
      <c r="K73" t="s">
        <v>366</v>
      </c>
      <c r="L73" t="s">
        <v>301</v>
      </c>
      <c r="M73" t="s">
        <v>299</v>
      </c>
      <c r="N73">
        <f t="shared" si="3"/>
        <v>9.0500000000000007</v>
      </c>
      <c r="O73">
        <f t="shared" si="4"/>
        <v>7.15</v>
      </c>
      <c r="P73">
        <v>0</v>
      </c>
      <c r="Q73">
        <v>0</v>
      </c>
      <c r="R73" s="2">
        <f t="shared" si="5"/>
        <v>9</v>
      </c>
      <c r="S73" s="2">
        <f t="shared" si="6"/>
        <v>7</v>
      </c>
      <c r="T73" s="2">
        <f t="shared" si="7"/>
        <v>16</v>
      </c>
      <c r="U73" t="str">
        <f t="shared" si="0"/>
        <v>psychic</v>
      </c>
      <c r="V73" t="str">
        <f>IF(D73 = 0, "", D73)</f>
        <v>fairy</v>
      </c>
      <c r="W73" t="s">
        <v>8</v>
      </c>
      <c r="X73" t="s">
        <v>14</v>
      </c>
      <c r="Z73" s="2" t="str">
        <f t="shared" si="1"/>
        <v/>
      </c>
      <c r="AA73" t="str">
        <f t="shared" si="61"/>
        <v>Mr. Mime</v>
      </c>
      <c r="AC73" t="s">
        <v>857</v>
      </c>
      <c r="AD73" t="str">
        <f>VLOOKUP(AC73,moves!A:B,2,FALSE)</f>
        <v>psychic</v>
      </c>
      <c r="AE73">
        <f>VLOOKUP(AC73,moves!A:D,4,FALSE)</f>
        <v>3</v>
      </c>
      <c r="AF73">
        <f>VLOOKUP(AC73,moves!A:F,5,FALSE)</f>
        <v>0</v>
      </c>
      <c r="AG73">
        <v>0</v>
      </c>
      <c r="AH73">
        <v>0</v>
      </c>
      <c r="AI73" t="str" cm="1">
        <f t="array" ref="AI73">_xlfn.IFS(AG73=1, "starter", AH73=1, "legendary",T73&lt; 13, "weak",T73&lt; 17, "moderate", TRUE, "strong")</f>
        <v>moderate</v>
      </c>
      <c r="AK73">
        <v>2</v>
      </c>
      <c r="AL73">
        <v>0</v>
      </c>
      <c r="AM73">
        <v>0</v>
      </c>
    </row>
    <row r="74" spans="1:39" x14ac:dyDescent="0.25">
      <c r="A74">
        <v>440</v>
      </c>
      <c r="B74" t="s">
        <v>194</v>
      </c>
      <c r="C74" s="1" t="s">
        <v>8</v>
      </c>
      <c r="E74">
        <v>100</v>
      </c>
      <c r="F74">
        <v>5</v>
      </c>
      <c r="G74">
        <v>5</v>
      </c>
      <c r="H74">
        <v>15</v>
      </c>
      <c r="I74">
        <v>65</v>
      </c>
      <c r="J74">
        <v>30</v>
      </c>
      <c r="K74" t="s">
        <v>367</v>
      </c>
      <c r="L74" t="s">
        <v>298</v>
      </c>
      <c r="M74" t="s">
        <v>302</v>
      </c>
      <c r="N74">
        <f t="shared" si="3"/>
        <v>2</v>
      </c>
      <c r="O74">
        <f t="shared" si="4"/>
        <v>6.1</v>
      </c>
      <c r="P74">
        <v>0</v>
      </c>
      <c r="Q74">
        <v>0</v>
      </c>
      <c r="R74" s="2">
        <f t="shared" si="5"/>
        <v>2</v>
      </c>
      <c r="S74" s="2">
        <f t="shared" si="6"/>
        <v>6</v>
      </c>
      <c r="T74" s="2">
        <f t="shared" si="7"/>
        <v>8</v>
      </c>
      <c r="U74" t="str">
        <f t="shared" si="0"/>
        <v>normal</v>
      </c>
      <c r="V74" t="s">
        <v>16</v>
      </c>
      <c r="W74" t="s">
        <v>3</v>
      </c>
      <c r="X74" t="s">
        <v>26</v>
      </c>
      <c r="Y74" t="str">
        <f>B75</f>
        <v>Chansey</v>
      </c>
      <c r="Z74" s="2">
        <f t="shared" si="1"/>
        <v>6</v>
      </c>
      <c r="AA74" t="str">
        <f t="shared" si="61"/>
        <v>Happiny</v>
      </c>
      <c r="AC74" t="s">
        <v>862</v>
      </c>
      <c r="AD74" t="str">
        <f>VLOOKUP(AC74,moves!A:B,2,FALSE)</f>
        <v>fairy</v>
      </c>
      <c r="AE74">
        <f>VLOOKUP(AC74,moves!A:D,4,FALSE)</f>
        <v>1</v>
      </c>
      <c r="AF74" t="str">
        <f>VLOOKUP(AC74,moves!A:F,5,FALSE)</f>
        <v>agile</v>
      </c>
      <c r="AG74">
        <v>0</v>
      </c>
      <c r="AH74">
        <v>0</v>
      </c>
      <c r="AI74" t="str" cm="1">
        <f t="array" ref="AI74">_xlfn.IFS(AG74=1, "starter", AH74=1, "legendary",T74&lt; 13, "weak",T74&lt; 17, "moderate", TRUE, "strong")</f>
        <v>weak</v>
      </c>
      <c r="AK74">
        <v>1</v>
      </c>
      <c r="AL74">
        <v>0</v>
      </c>
      <c r="AM74">
        <v>0</v>
      </c>
    </row>
    <row r="75" spans="1:39" x14ac:dyDescent="0.25">
      <c r="A75">
        <v>113</v>
      </c>
      <c r="B75" t="s">
        <v>51</v>
      </c>
      <c r="C75" s="1" t="s">
        <v>8</v>
      </c>
      <c r="E75">
        <v>250</v>
      </c>
      <c r="F75">
        <v>5</v>
      </c>
      <c r="G75">
        <v>5</v>
      </c>
      <c r="H75">
        <v>35</v>
      </c>
      <c r="I75">
        <v>105</v>
      </c>
      <c r="J75">
        <v>50</v>
      </c>
      <c r="K75" t="s">
        <v>368</v>
      </c>
      <c r="L75" t="s">
        <v>298</v>
      </c>
      <c r="M75" t="s">
        <v>302</v>
      </c>
      <c r="N75">
        <f t="shared" si="3"/>
        <v>3.8</v>
      </c>
      <c r="O75">
        <f t="shared" si="4"/>
        <v>13.3</v>
      </c>
      <c r="P75">
        <v>0</v>
      </c>
      <c r="Q75">
        <v>-2</v>
      </c>
      <c r="R75" s="2">
        <f t="shared" si="5"/>
        <v>4</v>
      </c>
      <c r="S75" s="2">
        <f>ROUND(O75,0)+Q75</f>
        <v>11</v>
      </c>
      <c r="T75" s="2">
        <f t="shared" si="7"/>
        <v>15</v>
      </c>
      <c r="U75" t="str">
        <f t="shared" si="0"/>
        <v>normal</v>
      </c>
      <c r="V75" t="s">
        <v>16</v>
      </c>
      <c r="W75" t="s">
        <v>3</v>
      </c>
      <c r="X75" t="s">
        <v>26</v>
      </c>
      <c r="Y75" t="str">
        <f>B76</f>
        <v>Blissey</v>
      </c>
      <c r="Z75" s="2">
        <f t="shared" si="1"/>
        <v>8</v>
      </c>
      <c r="AA75" t="str">
        <f t="shared" si="61"/>
        <v>Chansey</v>
      </c>
      <c r="AC75" t="s">
        <v>524</v>
      </c>
      <c r="AD75" t="str">
        <f>VLOOKUP(AC75,moves!A:B,2,FALSE)</f>
        <v>normal</v>
      </c>
      <c r="AE75">
        <f>VLOOKUP(AC75,moves!A:D,4,FALSE)</f>
        <v>1</v>
      </c>
      <c r="AF75" t="str">
        <f>VLOOKUP(AC75,moves!A:F,5,FALSE)</f>
        <v>decisive</v>
      </c>
      <c r="AG75">
        <v>0</v>
      </c>
      <c r="AH75">
        <v>0</v>
      </c>
      <c r="AI75" t="str" cm="1">
        <f t="array" ref="AI75">_xlfn.IFS(AG75=1, "starter", AH75=1, "legendary",T75&lt; 13, "weak",T75&lt; 17, "moderate", TRUE, "strong")</f>
        <v>moderate</v>
      </c>
      <c r="AK75">
        <v>2</v>
      </c>
      <c r="AL75">
        <v>0</v>
      </c>
      <c r="AM75">
        <v>0</v>
      </c>
    </row>
    <row r="76" spans="1:39" x14ac:dyDescent="0.25">
      <c r="A76">
        <v>242</v>
      </c>
      <c r="B76" t="s">
        <v>106</v>
      </c>
      <c r="C76" s="1" t="s">
        <v>8</v>
      </c>
      <c r="E76">
        <v>255</v>
      </c>
      <c r="F76">
        <v>10</v>
      </c>
      <c r="G76">
        <v>10</v>
      </c>
      <c r="H76">
        <v>75</v>
      </c>
      <c r="I76">
        <v>135</v>
      </c>
      <c r="J76">
        <v>55</v>
      </c>
      <c r="K76" t="s">
        <v>369</v>
      </c>
      <c r="L76" t="s">
        <v>298</v>
      </c>
      <c r="M76" t="s">
        <v>302</v>
      </c>
      <c r="N76">
        <f t="shared" si="3"/>
        <v>6.05</v>
      </c>
      <c r="O76">
        <f t="shared" si="4"/>
        <v>14.55</v>
      </c>
      <c r="P76">
        <v>0</v>
      </c>
      <c r="Q76">
        <v>-1</v>
      </c>
      <c r="R76" s="2">
        <f t="shared" si="5"/>
        <v>6</v>
      </c>
      <c r="S76" s="2">
        <f t="shared" si="6"/>
        <v>14</v>
      </c>
      <c r="T76" s="2">
        <f t="shared" si="7"/>
        <v>20</v>
      </c>
      <c r="U76" t="str">
        <f t="shared" ref="U76:U149" si="68">C76</f>
        <v>normal</v>
      </c>
      <c r="V76" t="s">
        <v>16</v>
      </c>
      <c r="W76" t="s">
        <v>3</v>
      </c>
      <c r="X76" t="s">
        <v>26</v>
      </c>
      <c r="Z76" s="2" t="str">
        <f t="shared" ref="Z76:Z149" si="69">IF(ISBLANK(Y76), "", ROUND(( (T77-6)*(T77-7) - (T76-6)*(T76-7) )/15, 0) + 1)</f>
        <v/>
      </c>
      <c r="AA76" t="str">
        <f t="shared" si="61"/>
        <v>Blissey</v>
      </c>
      <c r="AC76" t="s">
        <v>584</v>
      </c>
      <c r="AD76" t="str">
        <f>VLOOKUP(AC76,moves!A:B,2,FALSE)</f>
        <v>normal</v>
      </c>
      <c r="AE76">
        <f>VLOOKUP(AC76,moves!A:D,4,FALSE)</f>
        <v>5</v>
      </c>
      <c r="AF76">
        <f>VLOOKUP(AC76,moves!A:F,5,FALSE)</f>
        <v>0</v>
      </c>
      <c r="AG76">
        <v>0</v>
      </c>
      <c r="AH76">
        <v>0</v>
      </c>
      <c r="AI76" t="str" cm="1">
        <f t="array" ref="AI76">_xlfn.IFS(AG76=1, "starter", AH76=1, "legendary",T76&lt; 13, "weak",T76&lt; 17, "moderate", TRUE, "strong")</f>
        <v>strong</v>
      </c>
      <c r="AK76">
        <v>3</v>
      </c>
      <c r="AL76">
        <v>0</v>
      </c>
      <c r="AM76">
        <v>0</v>
      </c>
    </row>
    <row r="77" spans="1:39" x14ac:dyDescent="0.25">
      <c r="A77">
        <v>441</v>
      </c>
      <c r="B77" t="s">
        <v>195</v>
      </c>
      <c r="C77" s="1" t="s">
        <v>8</v>
      </c>
      <c r="D77" s="1" t="s">
        <v>5</v>
      </c>
      <c r="E77">
        <v>76</v>
      </c>
      <c r="F77">
        <v>65</v>
      </c>
      <c r="G77">
        <v>45</v>
      </c>
      <c r="H77">
        <v>92</v>
      </c>
      <c r="I77">
        <v>42</v>
      </c>
      <c r="J77">
        <v>91</v>
      </c>
      <c r="K77" t="s">
        <v>370</v>
      </c>
      <c r="L77" t="s">
        <v>301</v>
      </c>
      <c r="M77" t="s">
        <v>302</v>
      </c>
      <c r="N77">
        <f t="shared" ref="N77:N150" si="70">(0.4*J77 + 0.5*MAX(F77,H77) + 0.1*MIN(F77,H77)) / 10</f>
        <v>8.89</v>
      </c>
      <c r="O77">
        <f t="shared" ref="O77:O150" si="71">(0.4*E77 + 0.3*G77 + 0.3*I77) / 10</f>
        <v>5.65</v>
      </c>
      <c r="P77">
        <v>0</v>
      </c>
      <c r="Q77">
        <v>0</v>
      </c>
      <c r="R77" s="2">
        <f t="shared" ref="R77:R150" si="72">ROUND(N77,0)+P77</f>
        <v>9</v>
      </c>
      <c r="S77" s="2">
        <f t="shared" ref="S77:S150" si="73">ROUND(O77,0)+Q77</f>
        <v>6</v>
      </c>
      <c r="T77" s="2">
        <f t="shared" ref="T77:T150" si="74">SUM(ROUND(R77,0),ROUND(S77,0))</f>
        <v>15</v>
      </c>
      <c r="U77" t="str">
        <f t="shared" si="68"/>
        <v>normal</v>
      </c>
      <c r="V77" t="str">
        <f t="shared" ref="V77:V82" si="75">IF(D77 = 0, "", D77)</f>
        <v>flying</v>
      </c>
      <c r="W77" t="s">
        <v>4</v>
      </c>
      <c r="X77" t="s">
        <v>7</v>
      </c>
      <c r="Z77" s="2" t="str">
        <f t="shared" si="69"/>
        <v/>
      </c>
      <c r="AA77" t="str">
        <f t="shared" si="61"/>
        <v>Chatot</v>
      </c>
      <c r="AC77" t="s">
        <v>525</v>
      </c>
      <c r="AD77" t="str">
        <f>VLOOKUP(AC77,moves!A:B,2,FALSE)</f>
        <v>flying</v>
      </c>
      <c r="AE77">
        <f>VLOOKUP(AC77,moves!A:D,4,FALSE)</f>
        <v>3</v>
      </c>
      <c r="AF77">
        <f>VLOOKUP(AC77,moves!A:F,5,FALSE)</f>
        <v>0</v>
      </c>
      <c r="AG77">
        <v>0</v>
      </c>
      <c r="AH77">
        <v>0</v>
      </c>
      <c r="AI77" t="str" cm="1">
        <f t="array" ref="AI77">_xlfn.IFS(AG77=1, "starter", AH77=1, "legendary",T77&lt; 13, "weak",T77&lt; 17, "moderate", TRUE, "strong")</f>
        <v>moderate</v>
      </c>
      <c r="AK77">
        <v>1</v>
      </c>
      <c r="AL77">
        <v>0</v>
      </c>
      <c r="AM77">
        <v>0</v>
      </c>
    </row>
    <row r="78" spans="1:39" x14ac:dyDescent="0.25">
      <c r="A78">
        <v>442</v>
      </c>
      <c r="B78" t="s">
        <v>196</v>
      </c>
      <c r="C78" s="1" t="s">
        <v>42</v>
      </c>
      <c r="D78" s="1" t="s">
        <v>9</v>
      </c>
      <c r="E78">
        <v>50</v>
      </c>
      <c r="F78">
        <v>92</v>
      </c>
      <c r="G78">
        <v>108</v>
      </c>
      <c r="H78">
        <v>92</v>
      </c>
      <c r="I78">
        <v>108</v>
      </c>
      <c r="J78">
        <v>35</v>
      </c>
      <c r="K78" t="s">
        <v>371</v>
      </c>
      <c r="L78" t="s">
        <v>301</v>
      </c>
      <c r="M78" t="s">
        <v>300</v>
      </c>
      <c r="N78">
        <f t="shared" si="70"/>
        <v>6.92</v>
      </c>
      <c r="O78">
        <f t="shared" si="71"/>
        <v>8.48</v>
      </c>
      <c r="P78">
        <v>1</v>
      </c>
      <c r="Q78">
        <v>4</v>
      </c>
      <c r="R78" s="2">
        <f t="shared" si="72"/>
        <v>8</v>
      </c>
      <c r="S78" s="2">
        <f t="shared" si="73"/>
        <v>12</v>
      </c>
      <c r="T78" s="2">
        <f t="shared" si="74"/>
        <v>20</v>
      </c>
      <c r="U78" t="str">
        <f t="shared" si="68"/>
        <v>ghost</v>
      </c>
      <c r="V78" t="str">
        <f t="shared" si="75"/>
        <v>dark</v>
      </c>
      <c r="W78" t="s">
        <v>4</v>
      </c>
      <c r="X78" t="s">
        <v>26</v>
      </c>
      <c r="Z78" s="2" t="str">
        <f t="shared" si="69"/>
        <v/>
      </c>
      <c r="AA78" t="str">
        <f t="shared" si="61"/>
        <v>Spiritomb</v>
      </c>
      <c r="AC78" t="s">
        <v>1467</v>
      </c>
      <c r="AD78" t="str">
        <f>VLOOKUP(AC78,moves!A:B,2,FALSE)</f>
        <v>dark</v>
      </c>
      <c r="AE78">
        <f>VLOOKUP(AC78,moves!A:D,4,FALSE)</f>
        <v>5</v>
      </c>
      <c r="AF78" t="str">
        <f>VLOOKUP(AC78,moves!A:F,5,FALSE)</f>
        <v>trap</v>
      </c>
      <c r="AG78">
        <v>0</v>
      </c>
      <c r="AH78">
        <v>1</v>
      </c>
      <c r="AI78" t="str" cm="1">
        <f t="array" ref="AI78">_xlfn.IFS(AG78=1, "starter", AH78=1, "legendary",T78&lt; 13, "weak",T78&lt; 17, "moderate", TRUE, "strong")</f>
        <v>legendary</v>
      </c>
      <c r="AK78">
        <v>1</v>
      </c>
      <c r="AL78">
        <v>0</v>
      </c>
      <c r="AM78">
        <v>0</v>
      </c>
    </row>
    <row r="79" spans="1:39" x14ac:dyDescent="0.25">
      <c r="A79">
        <v>443</v>
      </c>
      <c r="B79" t="s">
        <v>197</v>
      </c>
      <c r="C79" s="1" t="s">
        <v>67</v>
      </c>
      <c r="D79" s="1" t="s">
        <v>13</v>
      </c>
      <c r="E79">
        <v>58</v>
      </c>
      <c r="F79">
        <v>70</v>
      </c>
      <c r="G79">
        <v>45</v>
      </c>
      <c r="H79">
        <v>40</v>
      </c>
      <c r="I79">
        <v>45</v>
      </c>
      <c r="J79">
        <v>42</v>
      </c>
      <c r="K79" t="s">
        <v>372</v>
      </c>
      <c r="L79" t="s">
        <v>304</v>
      </c>
      <c r="M79" t="s">
        <v>300</v>
      </c>
      <c r="N79">
        <f t="shared" si="70"/>
        <v>5.58</v>
      </c>
      <c r="O79">
        <f t="shared" si="71"/>
        <v>5.0200000000000005</v>
      </c>
      <c r="P79">
        <v>0</v>
      </c>
      <c r="Q79">
        <v>0</v>
      </c>
      <c r="R79" s="2">
        <f t="shared" si="72"/>
        <v>6</v>
      </c>
      <c r="S79" s="2">
        <f t="shared" si="73"/>
        <v>5</v>
      </c>
      <c r="T79" s="2">
        <f t="shared" si="74"/>
        <v>11</v>
      </c>
      <c r="U79" t="str">
        <f t="shared" si="68"/>
        <v>dragon</v>
      </c>
      <c r="V79" t="str">
        <f t="shared" si="75"/>
        <v>ground</v>
      </c>
      <c r="W79" t="s">
        <v>9</v>
      </c>
      <c r="X79" t="s">
        <v>4</v>
      </c>
      <c r="Y79" t="str">
        <f>B80</f>
        <v>Gabite</v>
      </c>
      <c r="Z79" s="2">
        <f t="shared" si="69"/>
        <v>3</v>
      </c>
      <c r="AA79" t="str">
        <f t="shared" si="61"/>
        <v>Gible</v>
      </c>
      <c r="AC79" t="s">
        <v>528</v>
      </c>
      <c r="AD79" t="str">
        <f>VLOOKUP(AC79,moves!A:B,2,FALSE)</f>
        <v>dark</v>
      </c>
      <c r="AE79">
        <f>VLOOKUP(AC79,moves!A:D,4,FALSE)</f>
        <v>3</v>
      </c>
      <c r="AF79">
        <f>VLOOKUP(AC79,moves!A:F,5,FALSE)</f>
        <v>0</v>
      </c>
      <c r="AG79">
        <v>0</v>
      </c>
      <c r="AH79">
        <v>0</v>
      </c>
      <c r="AI79" t="str" cm="1">
        <f t="array" ref="AI79">_xlfn.IFS(AG79=1, "starter", AH79=1, "legendary",T79&lt; 13, "weak",T79&lt; 17, "moderate", TRUE, "strong")</f>
        <v>weak</v>
      </c>
      <c r="AK79">
        <v>1</v>
      </c>
      <c r="AL79">
        <v>0</v>
      </c>
      <c r="AM79">
        <v>0</v>
      </c>
    </row>
    <row r="80" spans="1:39" x14ac:dyDescent="0.25">
      <c r="A80">
        <v>444</v>
      </c>
      <c r="B80" t="s">
        <v>198</v>
      </c>
      <c r="C80" s="1" t="s">
        <v>67</v>
      </c>
      <c r="D80" s="1" t="s">
        <v>13</v>
      </c>
      <c r="E80">
        <v>68</v>
      </c>
      <c r="F80">
        <v>90</v>
      </c>
      <c r="G80">
        <v>65</v>
      </c>
      <c r="H80">
        <v>50</v>
      </c>
      <c r="I80">
        <v>55</v>
      </c>
      <c r="J80">
        <v>82</v>
      </c>
      <c r="K80" t="s">
        <v>373</v>
      </c>
      <c r="L80" t="s">
        <v>304</v>
      </c>
      <c r="M80" t="s">
        <v>300</v>
      </c>
      <c r="N80">
        <f t="shared" si="70"/>
        <v>8.2800000000000011</v>
      </c>
      <c r="O80">
        <f t="shared" si="71"/>
        <v>6.32</v>
      </c>
      <c r="P80">
        <v>0</v>
      </c>
      <c r="Q80">
        <v>0</v>
      </c>
      <c r="R80" s="2">
        <f t="shared" si="72"/>
        <v>8</v>
      </c>
      <c r="S80" s="2">
        <f t="shared" si="73"/>
        <v>6</v>
      </c>
      <c r="T80" s="2">
        <f t="shared" si="74"/>
        <v>14</v>
      </c>
      <c r="U80" t="str">
        <f t="shared" si="68"/>
        <v>dragon</v>
      </c>
      <c r="V80" t="str">
        <f t="shared" si="75"/>
        <v>ground</v>
      </c>
      <c r="W80" t="s">
        <v>9</v>
      </c>
      <c r="X80" t="s">
        <v>4</v>
      </c>
      <c r="Y80" t="str">
        <f>B81</f>
        <v>Garchomp</v>
      </c>
      <c r="Z80" s="2">
        <f t="shared" si="69"/>
        <v>9</v>
      </c>
      <c r="AA80" t="str">
        <f t="shared" si="61"/>
        <v>Gabite</v>
      </c>
      <c r="AC80" t="s">
        <v>587</v>
      </c>
      <c r="AD80" t="str">
        <f>VLOOKUP(AC80,moves!A:B,2,FALSE)</f>
        <v>ground</v>
      </c>
      <c r="AE80">
        <f>VLOOKUP(AC80,moves!A:D,4,FALSE)</f>
        <v>3</v>
      </c>
      <c r="AF80">
        <f>VLOOKUP(AC80,moves!A:F,5,FALSE)</f>
        <v>0</v>
      </c>
      <c r="AG80">
        <v>0</v>
      </c>
      <c r="AH80">
        <v>0</v>
      </c>
      <c r="AI80" t="str" cm="1">
        <f t="array" ref="AI80">_xlfn.IFS(AG80=1, "starter", AH80=1, "legendary",T80&lt; 13, "weak",T80&lt; 17, "moderate", TRUE, "strong")</f>
        <v>moderate</v>
      </c>
      <c r="AK80">
        <v>2</v>
      </c>
      <c r="AL80">
        <v>0</v>
      </c>
      <c r="AM80">
        <v>0</v>
      </c>
    </row>
    <row r="81" spans="1:39" x14ac:dyDescent="0.25">
      <c r="A81">
        <v>445</v>
      </c>
      <c r="B81" t="s">
        <v>199</v>
      </c>
      <c r="C81" s="1" t="s">
        <v>67</v>
      </c>
      <c r="D81" s="1" t="s">
        <v>13</v>
      </c>
      <c r="E81">
        <v>108</v>
      </c>
      <c r="F81">
        <v>130</v>
      </c>
      <c r="G81">
        <v>95</v>
      </c>
      <c r="H81">
        <v>80</v>
      </c>
      <c r="I81">
        <v>85</v>
      </c>
      <c r="J81">
        <v>102</v>
      </c>
      <c r="K81" t="s">
        <v>374</v>
      </c>
      <c r="L81" t="s">
        <v>304</v>
      </c>
      <c r="M81" t="s">
        <v>300</v>
      </c>
      <c r="N81">
        <f t="shared" si="70"/>
        <v>11.38</v>
      </c>
      <c r="O81">
        <f t="shared" si="71"/>
        <v>9.7200000000000006</v>
      </c>
      <c r="P81">
        <v>0</v>
      </c>
      <c r="Q81">
        <v>-1</v>
      </c>
      <c r="R81" s="2">
        <f t="shared" si="72"/>
        <v>11</v>
      </c>
      <c r="S81" s="2">
        <f t="shared" si="73"/>
        <v>9</v>
      </c>
      <c r="T81" s="2">
        <f t="shared" si="74"/>
        <v>20</v>
      </c>
      <c r="U81" t="str">
        <f t="shared" si="68"/>
        <v>dragon</v>
      </c>
      <c r="V81" t="str">
        <f t="shared" si="75"/>
        <v>ground</v>
      </c>
      <c r="W81" t="s">
        <v>9</v>
      </c>
      <c r="X81" t="s">
        <v>4</v>
      </c>
      <c r="Z81" s="2" t="str">
        <f>IF(ISBLANK(Y81), "", ROUND(( (T83-6)*(T83-7) - (T81-6)*(T81-7) )/15, 0) + 1)</f>
        <v/>
      </c>
      <c r="AA81" t="str">
        <f>B81</f>
        <v>Garchomp</v>
      </c>
      <c r="AC81" t="s">
        <v>589</v>
      </c>
      <c r="AD81" t="str">
        <f>VLOOKUP(AC81,moves!A:B,2,FALSE)</f>
        <v>dragon</v>
      </c>
      <c r="AE81">
        <f>VLOOKUP(AC81,moves!A:D,4,FALSE)</f>
        <v>5</v>
      </c>
      <c r="AF81">
        <f>VLOOKUP(AC81,moves!A:F,5,FALSE)</f>
        <v>0</v>
      </c>
      <c r="AG81">
        <v>0</v>
      </c>
      <c r="AH81">
        <v>0</v>
      </c>
      <c r="AI81" t="str" cm="1">
        <f t="array" ref="AI81">_xlfn.IFS(AG81=1, "starter", AH81=1, "legendary",T81&lt; 13, "weak",T81&lt; 17, "moderate", TRUE, "strong")</f>
        <v>strong</v>
      </c>
      <c r="AK81">
        <v>3</v>
      </c>
      <c r="AL81">
        <v>0</v>
      </c>
      <c r="AM81">
        <v>0</v>
      </c>
    </row>
    <row r="82" spans="1:39" x14ac:dyDescent="0.25">
      <c r="A82" s="9" t="s">
        <v>1332</v>
      </c>
      <c r="B82" t="s">
        <v>1352</v>
      </c>
      <c r="C82" s="1" t="s">
        <v>13</v>
      </c>
      <c r="D82" s="1" t="s">
        <v>6</v>
      </c>
      <c r="E82">
        <v>108</v>
      </c>
      <c r="F82">
        <v>130</v>
      </c>
      <c r="G82">
        <v>95</v>
      </c>
      <c r="H82">
        <v>80</v>
      </c>
      <c r="I82">
        <v>85</v>
      </c>
      <c r="J82">
        <v>102</v>
      </c>
      <c r="K82" t="s">
        <v>595</v>
      </c>
      <c r="M82" t="s">
        <v>1339</v>
      </c>
      <c r="N82">
        <f t="shared" ref="N82" si="76">(0.4*J82 + 0.5*MAX(F82,H82) + 0.1*MIN(F82,H82)) / 10</f>
        <v>11.38</v>
      </c>
      <c r="O82">
        <f t="shared" ref="O82" si="77">(0.4*E82 + 0.3*G82 + 0.3*I82) / 10</f>
        <v>9.7200000000000006</v>
      </c>
      <c r="P82">
        <v>1</v>
      </c>
      <c r="Q82">
        <v>-1</v>
      </c>
      <c r="R82" s="2">
        <f t="shared" ref="R82" si="78">ROUND(N82,0)+P82</f>
        <v>12</v>
      </c>
      <c r="S82" s="2">
        <f t="shared" ref="S82" si="79">ROUND(O82,0)+Q82</f>
        <v>9</v>
      </c>
      <c r="T82" s="2">
        <f t="shared" ref="T82" si="80">SUM(ROUND(R82,0),ROUND(S82,0))</f>
        <v>21</v>
      </c>
      <c r="U82" t="str">
        <f t="shared" ref="U82" si="81">C82</f>
        <v>ground</v>
      </c>
      <c r="V82" t="str">
        <f t="shared" si="75"/>
        <v>water</v>
      </c>
      <c r="W82" t="s">
        <v>9</v>
      </c>
      <c r="X82" t="s">
        <v>4</v>
      </c>
      <c r="Z82" s="2" t="str">
        <f>IF(ISBLANK(Y82), "", ROUND(( (T84-6)*(T84-7) - (T82-6)*(T82-7) )/15, 0) + 1)</f>
        <v/>
      </c>
      <c r="AA82" t="s">
        <v>199</v>
      </c>
      <c r="AB82" t="s">
        <v>1348</v>
      </c>
      <c r="AC82" t="s">
        <v>1359</v>
      </c>
      <c r="AD82" t="str">
        <f>VLOOKUP(AC82,moves!A:B,2,FALSE)</f>
        <v>water</v>
      </c>
      <c r="AE82">
        <f>VLOOKUP(AC82,moves!A:D,4,FALSE)</f>
        <v>5</v>
      </c>
      <c r="AF82">
        <f>VLOOKUP(AC82,moves!A:F,5,FALSE)</f>
        <v>0</v>
      </c>
      <c r="AG82">
        <v>0</v>
      </c>
      <c r="AH82">
        <v>1</v>
      </c>
      <c r="AI82" t="str" cm="1">
        <f t="array" ref="AI82">_xlfn.IFS(AG82=1, "starter", AH82=1, "legendary",T82&lt; 13, "weak",T82&lt; 17, "moderate", TRUE, "strong")</f>
        <v>legendary</v>
      </c>
      <c r="AK82">
        <v>1</v>
      </c>
      <c r="AL82">
        <v>0</v>
      </c>
      <c r="AM82">
        <v>0</v>
      </c>
    </row>
    <row r="83" spans="1:39" x14ac:dyDescent="0.25">
      <c r="A83">
        <v>446</v>
      </c>
      <c r="B83" t="s">
        <v>200</v>
      </c>
      <c r="C83" s="1" t="s">
        <v>8</v>
      </c>
      <c r="E83">
        <v>135</v>
      </c>
      <c r="F83">
        <v>85</v>
      </c>
      <c r="G83">
        <v>40</v>
      </c>
      <c r="H83">
        <v>40</v>
      </c>
      <c r="I83">
        <v>85</v>
      </c>
      <c r="J83">
        <v>5</v>
      </c>
      <c r="K83" t="s">
        <v>375</v>
      </c>
      <c r="L83" t="s">
        <v>304</v>
      </c>
      <c r="M83" t="s">
        <v>300</v>
      </c>
      <c r="N83">
        <f t="shared" si="70"/>
        <v>4.8499999999999996</v>
      </c>
      <c r="O83">
        <f t="shared" si="71"/>
        <v>9.15</v>
      </c>
      <c r="P83">
        <v>0</v>
      </c>
      <c r="Q83">
        <v>0</v>
      </c>
      <c r="R83" s="2">
        <f t="shared" si="72"/>
        <v>5</v>
      </c>
      <c r="S83" s="2">
        <f t="shared" si="73"/>
        <v>9</v>
      </c>
      <c r="T83" s="2">
        <f t="shared" si="74"/>
        <v>14</v>
      </c>
      <c r="U83" t="str">
        <f t="shared" si="68"/>
        <v>normal</v>
      </c>
      <c r="V83" t="s">
        <v>39</v>
      </c>
      <c r="W83" t="s">
        <v>13</v>
      </c>
      <c r="X83" t="s">
        <v>22</v>
      </c>
      <c r="Y83" t="str">
        <f>B84</f>
        <v>Snorlax</v>
      </c>
      <c r="Z83" s="2">
        <f t="shared" si="69"/>
        <v>8</v>
      </c>
      <c r="AA83" t="str">
        <f t="shared" si="61"/>
        <v>Munchlax</v>
      </c>
      <c r="AC83" t="s">
        <v>863</v>
      </c>
      <c r="AD83" t="str">
        <f>VLOOKUP(AC83,moves!A:B,2,FALSE)</f>
        <v>normal</v>
      </c>
      <c r="AE83">
        <f>VLOOKUP(AC83,moves!A:D,4,FALSE)</f>
        <v>1</v>
      </c>
      <c r="AF83">
        <f>VLOOKUP(AC83,moves!A:F,5,FALSE)</f>
        <v>0</v>
      </c>
      <c r="AG83">
        <v>0</v>
      </c>
      <c r="AH83">
        <v>0</v>
      </c>
      <c r="AI83" t="str" cm="1">
        <f t="array" ref="AI83">_xlfn.IFS(AG83=1, "starter", AH83=1, "legendary",T83&lt; 13, "weak",T83&lt; 17, "moderate", TRUE, "strong")</f>
        <v>moderate</v>
      </c>
      <c r="AK83">
        <v>1</v>
      </c>
      <c r="AL83">
        <v>0</v>
      </c>
      <c r="AM83">
        <v>0</v>
      </c>
    </row>
    <row r="84" spans="1:39" x14ac:dyDescent="0.25">
      <c r="A84">
        <v>143</v>
      </c>
      <c r="B84" t="s">
        <v>62</v>
      </c>
      <c r="C84" s="1" t="s">
        <v>8</v>
      </c>
      <c r="E84">
        <v>160</v>
      </c>
      <c r="F84">
        <v>110</v>
      </c>
      <c r="G84">
        <v>65</v>
      </c>
      <c r="H84">
        <v>65</v>
      </c>
      <c r="I84">
        <v>110</v>
      </c>
      <c r="J84">
        <v>30</v>
      </c>
      <c r="K84" t="s">
        <v>376</v>
      </c>
      <c r="L84" t="s">
        <v>304</v>
      </c>
      <c r="M84" t="s">
        <v>300</v>
      </c>
      <c r="N84">
        <f t="shared" si="70"/>
        <v>7.35</v>
      </c>
      <c r="O84">
        <f t="shared" si="71"/>
        <v>11.65</v>
      </c>
      <c r="P84">
        <v>0</v>
      </c>
      <c r="Q84">
        <v>0</v>
      </c>
      <c r="R84" s="2">
        <f t="shared" si="72"/>
        <v>7</v>
      </c>
      <c r="S84" s="2">
        <f t="shared" si="73"/>
        <v>12</v>
      </c>
      <c r="T84" s="2">
        <f t="shared" si="74"/>
        <v>19</v>
      </c>
      <c r="U84" t="str">
        <f t="shared" si="68"/>
        <v>normal</v>
      </c>
      <c r="V84" t="s">
        <v>39</v>
      </c>
      <c r="W84" t="s">
        <v>13</v>
      </c>
      <c r="X84" t="s">
        <v>22</v>
      </c>
      <c r="Z84" s="2" t="str">
        <f>IF(ISBLANK(Y84), "", ROUND(( (T86-6)*(T86-7) - (T84-6)*(T84-7) )/15, 0) + 1)</f>
        <v/>
      </c>
      <c r="AA84" t="str">
        <f t="shared" si="61"/>
        <v>Snorlax</v>
      </c>
      <c r="AC84" t="s">
        <v>527</v>
      </c>
      <c r="AD84" t="str">
        <f>VLOOKUP(AC84,moves!A:B,2,FALSE)</f>
        <v>normal</v>
      </c>
      <c r="AE84">
        <f>VLOOKUP(AC84,moves!A:D,4,FALSE)</f>
        <v>4</v>
      </c>
      <c r="AF84">
        <f>VLOOKUP(AC84,moves!A:F,5,FALSE)</f>
        <v>0</v>
      </c>
      <c r="AG84">
        <v>0</v>
      </c>
      <c r="AH84">
        <v>0</v>
      </c>
      <c r="AI84" t="str" cm="1">
        <f t="array" ref="AI84">_xlfn.IFS(AG84=1, "starter", AH84=1, "legendary",T84&lt; 13, "weak",T84&lt; 17, "moderate", TRUE, "strong")</f>
        <v>strong</v>
      </c>
      <c r="AK84">
        <v>2</v>
      </c>
      <c r="AL84">
        <v>0</v>
      </c>
      <c r="AM84">
        <v>0</v>
      </c>
    </row>
    <row r="85" spans="1:39" x14ac:dyDescent="0.25">
      <c r="A85" s="9" t="s">
        <v>1333</v>
      </c>
      <c r="B85" t="s">
        <v>1340</v>
      </c>
      <c r="C85" s="1" t="s">
        <v>8</v>
      </c>
      <c r="D85" s="1" t="s">
        <v>16</v>
      </c>
      <c r="E85">
        <v>160</v>
      </c>
      <c r="F85">
        <v>110</v>
      </c>
      <c r="G85">
        <v>65</v>
      </c>
      <c r="H85">
        <v>65</v>
      </c>
      <c r="I85">
        <v>110</v>
      </c>
      <c r="J85">
        <v>30</v>
      </c>
      <c r="K85" t="s">
        <v>595</v>
      </c>
      <c r="M85" t="s">
        <v>1339</v>
      </c>
      <c r="N85">
        <f t="shared" ref="N85" si="82">(0.4*J85 + 0.5*MAX(F85,H85) + 0.1*MIN(F85,H85)) / 10</f>
        <v>7.35</v>
      </c>
      <c r="O85">
        <f t="shared" ref="O85" si="83">(0.4*E85 + 0.3*G85 + 0.3*I85) / 10</f>
        <v>11.65</v>
      </c>
      <c r="P85">
        <v>-2</v>
      </c>
      <c r="Q85">
        <v>4</v>
      </c>
      <c r="R85" s="2">
        <f t="shared" ref="R85" si="84">ROUND(N85,0)+P85</f>
        <v>5</v>
      </c>
      <c r="S85" s="2">
        <f t="shared" ref="S85" si="85">ROUND(O85,0)+Q85</f>
        <v>16</v>
      </c>
      <c r="T85" s="2">
        <f t="shared" ref="T85" si="86">SUM(ROUND(R85,0),ROUND(S85,0))</f>
        <v>21</v>
      </c>
      <c r="U85" t="str">
        <f t="shared" ref="U85" si="87">C85</f>
        <v>normal</v>
      </c>
      <c r="V85" t="str">
        <f>IF(D85 = 0, "", D85)</f>
        <v>fairy</v>
      </c>
      <c r="W85" t="s">
        <v>13</v>
      </c>
      <c r="X85" t="s">
        <v>22</v>
      </c>
      <c r="Z85" s="2" t="str">
        <f>IF(ISBLANK(Y85), "", ROUND(( (T87-6)*(T87-7) - (T85-6)*(T85-7) )/15, 0) + 1)</f>
        <v/>
      </c>
      <c r="AA85" t="s">
        <v>62</v>
      </c>
      <c r="AB85" t="s">
        <v>1347</v>
      </c>
      <c r="AC85" t="s">
        <v>1360</v>
      </c>
      <c r="AD85" t="str">
        <f>VLOOKUP(AC85,moves!A:B,2,FALSE)</f>
        <v>fairy</v>
      </c>
      <c r="AE85">
        <f>VLOOKUP(AC85,moves!A:D,4,FALSE)</f>
        <v>4</v>
      </c>
      <c r="AF85">
        <f>VLOOKUP(AC85,moves!A:F,5,FALSE)</f>
        <v>0</v>
      </c>
      <c r="AG85">
        <v>0</v>
      </c>
      <c r="AH85">
        <v>1</v>
      </c>
      <c r="AI85" t="str" cm="1">
        <f t="array" ref="AI85">_xlfn.IFS(AG85=1, "starter", AH85=1, "legendary",T85&lt; 13, "weak",T85&lt; 17, "moderate", TRUE, "strong")</f>
        <v>legendary</v>
      </c>
      <c r="AK85">
        <v>1</v>
      </c>
      <c r="AL85">
        <v>0</v>
      </c>
      <c r="AM85">
        <v>0</v>
      </c>
    </row>
    <row r="86" spans="1:39" x14ac:dyDescent="0.25">
      <c r="A86">
        <v>447</v>
      </c>
      <c r="B86" t="s">
        <v>201</v>
      </c>
      <c r="C86" s="1" t="s">
        <v>22</v>
      </c>
      <c r="E86">
        <v>40</v>
      </c>
      <c r="F86">
        <v>70</v>
      </c>
      <c r="G86">
        <v>40</v>
      </c>
      <c r="H86">
        <v>35</v>
      </c>
      <c r="I86">
        <v>40</v>
      </c>
      <c r="J86">
        <v>60</v>
      </c>
      <c r="K86" t="s">
        <v>377</v>
      </c>
      <c r="L86" t="s">
        <v>304</v>
      </c>
      <c r="M86" t="s">
        <v>299</v>
      </c>
      <c r="N86">
        <f t="shared" si="70"/>
        <v>6.25</v>
      </c>
      <c r="O86">
        <f t="shared" si="71"/>
        <v>4</v>
      </c>
      <c r="P86">
        <v>0</v>
      </c>
      <c r="Q86">
        <v>0</v>
      </c>
      <c r="R86" s="2">
        <f t="shared" si="72"/>
        <v>6</v>
      </c>
      <c r="S86" s="2">
        <f t="shared" si="73"/>
        <v>4</v>
      </c>
      <c r="T86" s="2">
        <f t="shared" si="74"/>
        <v>10</v>
      </c>
      <c r="U86" t="str">
        <f t="shared" si="68"/>
        <v>fighting</v>
      </c>
      <c r="V86" t="s">
        <v>39</v>
      </c>
      <c r="W86" t="s">
        <v>8</v>
      </c>
      <c r="X86" t="s">
        <v>26</v>
      </c>
      <c r="Y86" t="str">
        <f>B87</f>
        <v>Lucario</v>
      </c>
      <c r="Z86" s="2">
        <f t="shared" si="69"/>
        <v>9</v>
      </c>
      <c r="AA86" t="str">
        <f t="shared" si="61"/>
        <v>Riolu</v>
      </c>
      <c r="AC86" t="s">
        <v>597</v>
      </c>
      <c r="AD86" t="str">
        <f>VLOOKUP(AC86,moves!A:B,2,FALSE)</f>
        <v>steel</v>
      </c>
      <c r="AE86">
        <f>VLOOKUP(AC86,moves!A:D,4,FALSE)</f>
        <v>3</v>
      </c>
      <c r="AF86">
        <f>VLOOKUP(AC86,moves!A:F,5,FALSE)</f>
        <v>0</v>
      </c>
      <c r="AG86">
        <v>0</v>
      </c>
      <c r="AH86">
        <v>0</v>
      </c>
      <c r="AI86" t="str" cm="1">
        <f t="array" ref="AI86">_xlfn.IFS(AG86=1, "starter", AH86=1, "legendary",T86&lt; 13, "weak",T86&lt; 17, "moderate", TRUE, "strong")</f>
        <v>weak</v>
      </c>
      <c r="AK86">
        <v>1</v>
      </c>
      <c r="AL86">
        <v>0</v>
      </c>
      <c r="AM86">
        <v>0</v>
      </c>
    </row>
    <row r="87" spans="1:39" x14ac:dyDescent="0.25">
      <c r="A87">
        <v>448</v>
      </c>
      <c r="B87" t="s">
        <v>202</v>
      </c>
      <c r="C87" s="1" t="s">
        <v>22</v>
      </c>
      <c r="D87" s="1" t="s">
        <v>39</v>
      </c>
      <c r="E87">
        <v>70</v>
      </c>
      <c r="F87">
        <v>110</v>
      </c>
      <c r="G87">
        <v>70</v>
      </c>
      <c r="H87">
        <v>115</v>
      </c>
      <c r="I87">
        <v>70</v>
      </c>
      <c r="J87">
        <v>90</v>
      </c>
      <c r="K87" t="s">
        <v>378</v>
      </c>
      <c r="L87" t="s">
        <v>304</v>
      </c>
      <c r="M87" t="s">
        <v>299</v>
      </c>
      <c r="N87">
        <f t="shared" si="70"/>
        <v>10.45</v>
      </c>
      <c r="O87">
        <f t="shared" si="71"/>
        <v>7</v>
      </c>
      <c r="P87">
        <v>1</v>
      </c>
      <c r="Q87">
        <v>0</v>
      </c>
      <c r="R87" s="2">
        <f t="shared" si="72"/>
        <v>11</v>
      </c>
      <c r="S87" s="2">
        <f t="shared" si="73"/>
        <v>7</v>
      </c>
      <c r="T87" s="2">
        <f t="shared" si="74"/>
        <v>18</v>
      </c>
      <c r="U87" t="str">
        <f t="shared" si="68"/>
        <v>fighting</v>
      </c>
      <c r="V87" t="str">
        <f>IF(D87 = 0, "", D87)</f>
        <v>steel</v>
      </c>
      <c r="W87" t="s">
        <v>8</v>
      </c>
      <c r="X87" t="s">
        <v>26</v>
      </c>
      <c r="Z87" s="2" t="str">
        <f>IF(ISBLANK(Y87), "", ROUND(( (T89-6)*(T89-7) - (T87-6)*(T87-7) )/15, 0) + 1)</f>
        <v/>
      </c>
      <c r="AA87" t="str">
        <f t="shared" si="61"/>
        <v>Lucario</v>
      </c>
      <c r="AC87" t="s">
        <v>492</v>
      </c>
      <c r="AD87" t="str">
        <f>VLOOKUP(AC87,moves!A:B,2,FALSE)</f>
        <v>fighting</v>
      </c>
      <c r="AE87">
        <f>VLOOKUP(AC87,moves!A:D,4,FALSE)</f>
        <v>4</v>
      </c>
      <c r="AF87">
        <f>VLOOKUP(AC87,moves!A:F,5,FALSE)</f>
        <v>0</v>
      </c>
      <c r="AG87">
        <v>0</v>
      </c>
      <c r="AH87">
        <v>0</v>
      </c>
      <c r="AI87" t="str" cm="1">
        <f t="array" ref="AI87">_xlfn.IFS(AG87=1, "starter", AH87=1, "legendary",T87&lt; 13, "weak",T87&lt; 17, "moderate", TRUE, "strong")</f>
        <v>strong</v>
      </c>
      <c r="AK87">
        <v>2</v>
      </c>
      <c r="AL87">
        <v>0</v>
      </c>
      <c r="AM87">
        <v>0</v>
      </c>
    </row>
    <row r="88" spans="1:39" x14ac:dyDescent="0.25">
      <c r="A88" s="9" t="s">
        <v>1329</v>
      </c>
      <c r="B88" t="s">
        <v>1353</v>
      </c>
      <c r="C88" s="1" t="s">
        <v>22</v>
      </c>
      <c r="D88" s="1" t="s">
        <v>9</v>
      </c>
      <c r="E88">
        <v>70</v>
      </c>
      <c r="F88">
        <v>110</v>
      </c>
      <c r="G88">
        <v>70</v>
      </c>
      <c r="H88">
        <v>115</v>
      </c>
      <c r="I88">
        <v>70</v>
      </c>
      <c r="J88">
        <v>90</v>
      </c>
      <c r="K88" t="s">
        <v>595</v>
      </c>
      <c r="M88" t="s">
        <v>1339</v>
      </c>
      <c r="N88">
        <f t="shared" ref="N88" si="88">(0.4*J88 + 0.5*MAX(F88,H88) + 0.1*MIN(F88,H88)) / 10</f>
        <v>10.45</v>
      </c>
      <c r="O88">
        <f t="shared" ref="O88" si="89">(0.4*E88 + 0.3*G88 + 0.3*I88) / 10</f>
        <v>7</v>
      </c>
      <c r="P88">
        <v>2</v>
      </c>
      <c r="Q88">
        <v>2</v>
      </c>
      <c r="R88" s="2">
        <f t="shared" ref="R88" si="90">ROUND(N88,0)+P88</f>
        <v>12</v>
      </c>
      <c r="S88" s="2">
        <f t="shared" ref="S88" si="91">ROUND(O88,0)+Q88</f>
        <v>9</v>
      </c>
      <c r="T88" s="2">
        <f t="shared" ref="T88" si="92">SUM(ROUND(R88,0),ROUND(S88,0))</f>
        <v>21</v>
      </c>
      <c r="U88" t="str">
        <f t="shared" ref="U88" si="93">C88</f>
        <v>fighting</v>
      </c>
      <c r="V88" t="str">
        <f>IF(D88 = 0, "", D88)</f>
        <v>dark</v>
      </c>
      <c r="W88" t="s">
        <v>8</v>
      </c>
      <c r="X88" t="s">
        <v>26</v>
      </c>
      <c r="Z88" s="2" t="str">
        <f>IF(ISBLANK(Y88), "", ROUND(( (T90-6)*(T90-7) - (T88-6)*(T88-7) )/15, 0) + 1)</f>
        <v/>
      </c>
      <c r="AA88" t="s">
        <v>202</v>
      </c>
      <c r="AB88" t="s">
        <v>1346</v>
      </c>
      <c r="AC88" t="s">
        <v>1361</v>
      </c>
      <c r="AD88" t="str">
        <f>VLOOKUP(AC88,moves!A:B,2,FALSE)</f>
        <v>dark</v>
      </c>
      <c r="AE88">
        <f>VLOOKUP(AC88,moves!A:D,4,FALSE)</f>
        <v>4</v>
      </c>
      <c r="AF88">
        <f>VLOOKUP(AC88,moves!A:F,5,FALSE)</f>
        <v>0</v>
      </c>
      <c r="AG88">
        <v>0</v>
      </c>
      <c r="AH88">
        <v>1</v>
      </c>
      <c r="AI88" t="str" cm="1">
        <f t="array" ref="AI88">_xlfn.IFS(AG88=1, "starter", AH88=1, "legendary",T88&lt; 13, "weak",T88&lt; 17, "moderate", TRUE, "strong")</f>
        <v>legendary</v>
      </c>
      <c r="AK88">
        <v>1</v>
      </c>
      <c r="AL88">
        <v>0</v>
      </c>
      <c r="AM88">
        <v>0</v>
      </c>
    </row>
    <row r="89" spans="1:39" x14ac:dyDescent="0.25">
      <c r="A89">
        <v>449</v>
      </c>
      <c r="B89" t="s">
        <v>203</v>
      </c>
      <c r="C89" s="1" t="s">
        <v>13</v>
      </c>
      <c r="E89">
        <v>68</v>
      </c>
      <c r="F89">
        <v>72</v>
      </c>
      <c r="G89">
        <v>78</v>
      </c>
      <c r="H89">
        <v>38</v>
      </c>
      <c r="I89">
        <v>42</v>
      </c>
      <c r="J89">
        <v>32</v>
      </c>
      <c r="K89" t="s">
        <v>379</v>
      </c>
      <c r="L89" t="s">
        <v>304</v>
      </c>
      <c r="M89" t="s">
        <v>302</v>
      </c>
      <c r="N89">
        <f t="shared" si="70"/>
        <v>5.26</v>
      </c>
      <c r="O89">
        <f t="shared" si="71"/>
        <v>6.32</v>
      </c>
      <c r="P89">
        <v>0</v>
      </c>
      <c r="Q89">
        <v>0</v>
      </c>
      <c r="R89" s="2">
        <f t="shared" si="72"/>
        <v>5</v>
      </c>
      <c r="S89" s="2">
        <f t="shared" si="73"/>
        <v>6</v>
      </c>
      <c r="T89" s="2">
        <f t="shared" si="74"/>
        <v>11</v>
      </c>
      <c r="U89" t="str">
        <f t="shared" si="68"/>
        <v>ground</v>
      </c>
      <c r="V89" s="1" t="s">
        <v>8</v>
      </c>
      <c r="W89" t="s">
        <v>9</v>
      </c>
      <c r="X89" t="s">
        <v>6</v>
      </c>
      <c r="Y89" t="str">
        <f>B90</f>
        <v>Hippowdon</v>
      </c>
      <c r="Z89" s="2">
        <f t="shared" si="69"/>
        <v>8</v>
      </c>
      <c r="AA89" t="str">
        <f t="shared" si="61"/>
        <v>Hippopotas</v>
      </c>
      <c r="AC89" t="s">
        <v>526</v>
      </c>
      <c r="AD89" t="str">
        <f>VLOOKUP(AC89,moves!A:B,2,FALSE)</f>
        <v>ground</v>
      </c>
      <c r="AE89">
        <f>VLOOKUP(AC89,moves!A:D,4,FALSE)</f>
        <v>2</v>
      </c>
      <c r="AF89" t="str">
        <f>VLOOKUP(AC89,moves!A:F,5,FALSE)</f>
        <v>trap</v>
      </c>
      <c r="AG89">
        <v>0</v>
      </c>
      <c r="AH89">
        <v>0</v>
      </c>
      <c r="AI89" t="str" cm="1">
        <f t="array" ref="AI89">_xlfn.IFS(AG89=1, "starter", AH89=1, "legendary",T89&lt; 13, "weak",T89&lt; 17, "moderate", TRUE, "strong")</f>
        <v>weak</v>
      </c>
      <c r="AK89">
        <v>1</v>
      </c>
      <c r="AL89">
        <v>0</v>
      </c>
      <c r="AM89">
        <v>0</v>
      </c>
    </row>
    <row r="90" spans="1:39" x14ac:dyDescent="0.25">
      <c r="A90">
        <v>450</v>
      </c>
      <c r="B90" t="s">
        <v>204</v>
      </c>
      <c r="C90" s="1" t="s">
        <v>13</v>
      </c>
      <c r="E90">
        <v>108</v>
      </c>
      <c r="F90">
        <v>112</v>
      </c>
      <c r="G90">
        <v>118</v>
      </c>
      <c r="H90">
        <v>68</v>
      </c>
      <c r="I90">
        <v>72</v>
      </c>
      <c r="J90">
        <v>47</v>
      </c>
      <c r="K90" t="s">
        <v>380</v>
      </c>
      <c r="L90" t="s">
        <v>304</v>
      </c>
      <c r="M90" t="s">
        <v>302</v>
      </c>
      <c r="N90">
        <f t="shared" si="70"/>
        <v>8.16</v>
      </c>
      <c r="O90">
        <f t="shared" si="71"/>
        <v>10.02</v>
      </c>
      <c r="P90">
        <v>0</v>
      </c>
      <c r="Q90">
        <v>0</v>
      </c>
      <c r="R90" s="2">
        <f t="shared" si="72"/>
        <v>8</v>
      </c>
      <c r="S90" s="2">
        <f t="shared" si="73"/>
        <v>10</v>
      </c>
      <c r="T90" s="2">
        <f t="shared" si="74"/>
        <v>18</v>
      </c>
      <c r="U90" t="str">
        <f t="shared" si="68"/>
        <v>ground</v>
      </c>
      <c r="V90" t="s">
        <v>8</v>
      </c>
      <c r="W90" t="s">
        <v>9</v>
      </c>
      <c r="X90" t="s">
        <v>6</v>
      </c>
      <c r="Z90" s="2" t="str">
        <f t="shared" si="69"/>
        <v/>
      </c>
      <c r="AA90" t="str">
        <f t="shared" si="61"/>
        <v>Hippowdon</v>
      </c>
      <c r="AC90" t="s">
        <v>1249</v>
      </c>
      <c r="AD90" t="str">
        <f>VLOOKUP(AC90,moves!A:B,2,FALSE)</f>
        <v>ground</v>
      </c>
      <c r="AE90">
        <f>VLOOKUP(AC90,moves!A:D,4,FALSE)</f>
        <v>6</v>
      </c>
      <c r="AF90">
        <f>VLOOKUP(AC90,moves!A:F,5,FALSE)</f>
        <v>0</v>
      </c>
      <c r="AG90">
        <v>0</v>
      </c>
      <c r="AH90">
        <v>0</v>
      </c>
      <c r="AI90" t="str" cm="1">
        <f t="array" ref="AI90">_xlfn.IFS(AG90=1, "starter", AH90=1, "legendary",T90&lt; 13, "weak",T90&lt; 17, "moderate", TRUE, "strong")</f>
        <v>strong</v>
      </c>
      <c r="AK90">
        <v>2</v>
      </c>
      <c r="AL90">
        <v>0</v>
      </c>
      <c r="AM90">
        <v>0</v>
      </c>
    </row>
    <row r="91" spans="1:39" x14ac:dyDescent="0.25">
      <c r="A91">
        <v>451</v>
      </c>
      <c r="B91" t="s">
        <v>205</v>
      </c>
      <c r="C91" s="1" t="s">
        <v>3</v>
      </c>
      <c r="D91" s="1" t="s">
        <v>7</v>
      </c>
      <c r="E91">
        <v>40</v>
      </c>
      <c r="F91">
        <v>50</v>
      </c>
      <c r="G91">
        <v>90</v>
      </c>
      <c r="H91">
        <v>30</v>
      </c>
      <c r="I91">
        <v>55</v>
      </c>
      <c r="J91">
        <v>65</v>
      </c>
      <c r="K91" t="s">
        <v>381</v>
      </c>
      <c r="L91" t="s">
        <v>298</v>
      </c>
      <c r="M91" t="s">
        <v>302</v>
      </c>
      <c r="N91">
        <f t="shared" si="70"/>
        <v>5.4</v>
      </c>
      <c r="O91">
        <f t="shared" si="71"/>
        <v>5.95</v>
      </c>
      <c r="P91">
        <v>0</v>
      </c>
      <c r="Q91">
        <v>0</v>
      </c>
      <c r="R91" s="2">
        <f t="shared" si="72"/>
        <v>5</v>
      </c>
      <c r="S91" s="2">
        <f t="shared" si="73"/>
        <v>6</v>
      </c>
      <c r="T91" s="2">
        <f t="shared" si="74"/>
        <v>11</v>
      </c>
      <c r="U91" t="str">
        <f t="shared" si="68"/>
        <v>poison</v>
      </c>
      <c r="V91" t="str">
        <f>IF(D91 = 0, "", D91)</f>
        <v>bug</v>
      </c>
      <c r="W91" t="s">
        <v>9</v>
      </c>
      <c r="X91" t="s">
        <v>13</v>
      </c>
      <c r="Y91" t="str">
        <f>B92</f>
        <v>Drapion</v>
      </c>
      <c r="Z91" s="2">
        <f t="shared" si="69"/>
        <v>7</v>
      </c>
      <c r="AA91" t="str">
        <f t="shared" si="61"/>
        <v>Skorupi</v>
      </c>
      <c r="AC91" t="s">
        <v>515</v>
      </c>
      <c r="AD91" t="str">
        <f>VLOOKUP(AC91,moves!A:B,2,FALSE)</f>
        <v>bug</v>
      </c>
      <c r="AE91">
        <f>VLOOKUP(AC91,moves!A:D,4,FALSE)</f>
        <v>3</v>
      </c>
      <c r="AF91">
        <f>VLOOKUP(AC91,moves!A:F,5,FALSE)</f>
        <v>0</v>
      </c>
      <c r="AG91">
        <v>0</v>
      </c>
      <c r="AH91">
        <v>0</v>
      </c>
      <c r="AI91" t="str" cm="1">
        <f t="array" ref="AI91">_xlfn.IFS(AG91=1, "starter", AH91=1, "legendary",T91&lt; 13, "weak",T91&lt; 17, "moderate", TRUE, "strong")</f>
        <v>weak</v>
      </c>
      <c r="AK91">
        <v>1</v>
      </c>
      <c r="AL91">
        <v>0</v>
      </c>
      <c r="AM91">
        <v>0</v>
      </c>
    </row>
    <row r="92" spans="1:39" x14ac:dyDescent="0.25">
      <c r="A92">
        <v>452</v>
      </c>
      <c r="B92" t="s">
        <v>206</v>
      </c>
      <c r="C92" s="1" t="s">
        <v>3</v>
      </c>
      <c r="D92" s="1" t="s">
        <v>9</v>
      </c>
      <c r="E92">
        <v>70</v>
      </c>
      <c r="F92">
        <v>90</v>
      </c>
      <c r="G92">
        <v>110</v>
      </c>
      <c r="H92">
        <v>60</v>
      </c>
      <c r="I92">
        <v>75</v>
      </c>
      <c r="J92">
        <v>95</v>
      </c>
      <c r="K92" t="s">
        <v>382</v>
      </c>
      <c r="L92" t="s">
        <v>298</v>
      </c>
      <c r="M92" t="s">
        <v>302</v>
      </c>
      <c r="N92">
        <f t="shared" si="70"/>
        <v>8.9</v>
      </c>
      <c r="O92">
        <f t="shared" si="71"/>
        <v>8.35</v>
      </c>
      <c r="P92">
        <v>0</v>
      </c>
      <c r="Q92">
        <v>0</v>
      </c>
      <c r="R92" s="2">
        <f t="shared" si="72"/>
        <v>9</v>
      </c>
      <c r="S92" s="2">
        <f t="shared" si="73"/>
        <v>8</v>
      </c>
      <c r="T92" s="2">
        <f t="shared" si="74"/>
        <v>17</v>
      </c>
      <c r="U92" t="str">
        <f t="shared" si="68"/>
        <v>poison</v>
      </c>
      <c r="V92" t="str">
        <f>IF(D92 = 0, "", D92)</f>
        <v>dark</v>
      </c>
      <c r="W92" t="s">
        <v>7</v>
      </c>
      <c r="X92" t="s">
        <v>13</v>
      </c>
      <c r="Z92" s="2" t="str">
        <f>IF(ISBLANK(Y92), "", ROUND(( (T94-6)*(T94-7) - (T92-6)*(T92-7) )/15, 0) + 1)</f>
        <v/>
      </c>
      <c r="AA92" t="str">
        <f t="shared" si="61"/>
        <v>Drapion</v>
      </c>
      <c r="AC92" t="s">
        <v>465</v>
      </c>
      <c r="AD92" t="str">
        <f>VLOOKUP(AC92,moves!A:B,2,FALSE)</f>
        <v>poison</v>
      </c>
      <c r="AE92">
        <f>VLOOKUP(AC92,moves!A:D,4,FALSE)</f>
        <v>4</v>
      </c>
      <c r="AF92">
        <f>VLOOKUP(AC92,moves!A:F,5,FALSE)</f>
        <v>0</v>
      </c>
      <c r="AG92">
        <v>0</v>
      </c>
      <c r="AH92">
        <v>0</v>
      </c>
      <c r="AI92" t="str" cm="1">
        <f t="array" ref="AI92">_xlfn.IFS(AG92=1, "starter", AH92=1, "legendary",T92&lt; 13, "weak",T92&lt; 17, "moderate", TRUE, "strong")</f>
        <v>strong</v>
      </c>
      <c r="AK92">
        <v>2</v>
      </c>
      <c r="AL92">
        <v>0</v>
      </c>
      <c r="AM92">
        <v>0</v>
      </c>
    </row>
    <row r="93" spans="1:39" x14ac:dyDescent="0.25">
      <c r="A93" s="9" t="s">
        <v>1338</v>
      </c>
      <c r="B93" t="s">
        <v>1355</v>
      </c>
      <c r="C93" s="1" t="s">
        <v>3</v>
      </c>
      <c r="D93" s="1" t="s">
        <v>39</v>
      </c>
      <c r="E93">
        <v>70</v>
      </c>
      <c r="F93">
        <v>90</v>
      </c>
      <c r="G93">
        <v>110</v>
      </c>
      <c r="H93">
        <v>60</v>
      </c>
      <c r="I93">
        <v>75</v>
      </c>
      <c r="J93">
        <v>95</v>
      </c>
      <c r="K93" t="s">
        <v>595</v>
      </c>
      <c r="M93" t="s">
        <v>1339</v>
      </c>
      <c r="N93">
        <f t="shared" ref="N93" si="94">(0.4*J93 + 0.5*MAX(F93,H93) + 0.1*MIN(F93,H93)) / 10</f>
        <v>8.9</v>
      </c>
      <c r="O93">
        <f t="shared" ref="O93" si="95">(0.4*E93 + 0.3*G93 + 0.3*I93) / 10</f>
        <v>8.35</v>
      </c>
      <c r="P93">
        <v>-2</v>
      </c>
      <c r="Q93">
        <v>6</v>
      </c>
      <c r="R93" s="2">
        <f t="shared" ref="R93" si="96">ROUND(N93,0)+P93</f>
        <v>7</v>
      </c>
      <c r="S93" s="2">
        <f t="shared" ref="S93" si="97">ROUND(O93,0)+Q93</f>
        <v>14</v>
      </c>
      <c r="T93" s="2">
        <f t="shared" ref="T93" si="98">SUM(ROUND(R93,0),ROUND(S93,0))</f>
        <v>21</v>
      </c>
      <c r="U93" t="str">
        <f t="shared" ref="U93" si="99">C93</f>
        <v>poison</v>
      </c>
      <c r="V93" t="str">
        <f>IF(D93 = 0, "", D93)</f>
        <v>steel</v>
      </c>
      <c r="W93" t="s">
        <v>7</v>
      </c>
      <c r="X93" t="s">
        <v>13</v>
      </c>
      <c r="Z93" s="2" t="str">
        <f>IF(ISBLANK(Y93), "", ROUND(( (T95-6)*(T95-7) - (T93-6)*(T93-7) )/15, 0) + 1)</f>
        <v/>
      </c>
      <c r="AA93" t="s">
        <v>206</v>
      </c>
      <c r="AB93" t="s">
        <v>1349</v>
      </c>
      <c r="AC93" t="s">
        <v>1362</v>
      </c>
      <c r="AD93" t="str">
        <f>VLOOKUP(AC93,moves!A:B,2,FALSE)</f>
        <v>steel</v>
      </c>
      <c r="AE93">
        <f>VLOOKUP(AC93,moves!A:D,4,FALSE)</f>
        <v>4</v>
      </c>
      <c r="AF93" t="str">
        <f>VLOOKUP(AC93,moves!A:F,5,FALSE)</f>
        <v>trap</v>
      </c>
      <c r="AG93">
        <v>0</v>
      </c>
      <c r="AH93">
        <v>1</v>
      </c>
      <c r="AI93" t="str" cm="1">
        <f t="array" ref="AI93">_xlfn.IFS(AG93=1, "starter", AH93=1, "legendary",T93&lt; 13, "weak",T93&lt; 17, "moderate", TRUE, "strong")</f>
        <v>legendary</v>
      </c>
      <c r="AK93">
        <v>1</v>
      </c>
      <c r="AL93">
        <v>0</v>
      </c>
      <c r="AM93">
        <v>0</v>
      </c>
    </row>
    <row r="94" spans="1:39" x14ac:dyDescent="0.25">
      <c r="A94">
        <v>453</v>
      </c>
      <c r="B94" t="s">
        <v>207</v>
      </c>
      <c r="C94" s="1" t="s">
        <v>3</v>
      </c>
      <c r="D94" s="1" t="s">
        <v>22</v>
      </c>
      <c r="E94">
        <v>48</v>
      </c>
      <c r="F94">
        <v>61</v>
      </c>
      <c r="G94">
        <v>40</v>
      </c>
      <c r="H94">
        <v>61</v>
      </c>
      <c r="I94">
        <v>40</v>
      </c>
      <c r="J94">
        <v>50</v>
      </c>
      <c r="K94" t="s">
        <v>383</v>
      </c>
      <c r="L94" t="s">
        <v>298</v>
      </c>
      <c r="M94" t="s">
        <v>302</v>
      </c>
      <c r="N94">
        <f t="shared" si="70"/>
        <v>5.66</v>
      </c>
      <c r="O94">
        <f t="shared" si="71"/>
        <v>4.32</v>
      </c>
      <c r="P94">
        <v>0</v>
      </c>
      <c r="Q94">
        <v>0</v>
      </c>
      <c r="R94" s="2">
        <f t="shared" si="72"/>
        <v>6</v>
      </c>
      <c r="S94" s="2">
        <f t="shared" si="73"/>
        <v>4</v>
      </c>
      <c r="T94" s="2">
        <f t="shared" si="74"/>
        <v>10</v>
      </c>
      <c r="U94" t="str">
        <f t="shared" si="68"/>
        <v>poison</v>
      </c>
      <c r="V94" t="str">
        <f>IF(D94 = 0, "", D94)</f>
        <v>fighting</v>
      </c>
      <c r="W94" t="s">
        <v>9</v>
      </c>
      <c r="X94" t="s">
        <v>13</v>
      </c>
      <c r="Y94" t="str">
        <f>B95</f>
        <v>Toxicroak</v>
      </c>
      <c r="Z94" s="2">
        <f t="shared" si="69"/>
        <v>8</v>
      </c>
      <c r="AA94" t="str">
        <f t="shared" si="61"/>
        <v>Croagunk</v>
      </c>
      <c r="AC94" t="s">
        <v>529</v>
      </c>
      <c r="AD94" t="str">
        <f>VLOOKUP(AC94,moves!A:B,2,FALSE)</f>
        <v>fighting</v>
      </c>
      <c r="AE94">
        <f>VLOOKUP(AC94,moves!A:D,4,FALSE)</f>
        <v>2</v>
      </c>
      <c r="AF94">
        <f>VLOOKUP(AC94,moves!A:F,5,FALSE)</f>
        <v>0</v>
      </c>
      <c r="AG94">
        <v>0</v>
      </c>
      <c r="AH94">
        <v>0</v>
      </c>
      <c r="AI94" t="str" cm="1">
        <f t="array" ref="AI94">_xlfn.IFS(AG94=1, "starter", AH94=1, "legendary",T94&lt; 13, "weak",T94&lt; 17, "moderate", TRUE, "strong")</f>
        <v>weak</v>
      </c>
      <c r="AK94">
        <v>1</v>
      </c>
      <c r="AL94">
        <v>0</v>
      </c>
      <c r="AM94">
        <v>0</v>
      </c>
    </row>
    <row r="95" spans="1:39" x14ac:dyDescent="0.25">
      <c r="A95">
        <v>454</v>
      </c>
      <c r="B95" t="s">
        <v>208</v>
      </c>
      <c r="C95" s="1" t="s">
        <v>3</v>
      </c>
      <c r="D95" s="1" t="s">
        <v>22</v>
      </c>
      <c r="E95">
        <v>83</v>
      </c>
      <c r="F95">
        <v>106</v>
      </c>
      <c r="G95">
        <v>65</v>
      </c>
      <c r="H95">
        <v>86</v>
      </c>
      <c r="I95">
        <v>65</v>
      </c>
      <c r="J95">
        <v>85</v>
      </c>
      <c r="K95" t="s">
        <v>383</v>
      </c>
      <c r="L95" t="s">
        <v>298</v>
      </c>
      <c r="M95" t="s">
        <v>302</v>
      </c>
      <c r="N95">
        <f t="shared" si="70"/>
        <v>9.5599999999999987</v>
      </c>
      <c r="O95">
        <f t="shared" si="71"/>
        <v>7.2200000000000006</v>
      </c>
      <c r="P95">
        <v>0</v>
      </c>
      <c r="Q95">
        <v>0</v>
      </c>
      <c r="R95" s="2">
        <f t="shared" si="72"/>
        <v>10</v>
      </c>
      <c r="S95" s="2">
        <f t="shared" si="73"/>
        <v>7</v>
      </c>
      <c r="T95" s="2">
        <f t="shared" si="74"/>
        <v>17</v>
      </c>
      <c r="U95" t="str">
        <f t="shared" si="68"/>
        <v>poison</v>
      </c>
      <c r="V95" t="str">
        <f>IF(D95 = 0, "", D95)</f>
        <v>fighting</v>
      </c>
      <c r="W95" t="s">
        <v>9</v>
      </c>
      <c r="X95" t="s">
        <v>13</v>
      </c>
      <c r="Z95" s="2" t="str">
        <f t="shared" si="69"/>
        <v/>
      </c>
      <c r="AA95" t="str">
        <f t="shared" si="61"/>
        <v>Toxicroak</v>
      </c>
      <c r="AC95" t="s">
        <v>866</v>
      </c>
      <c r="AD95" t="str">
        <f>VLOOKUP(AC95,moves!A:B,2,FALSE)</f>
        <v>poison</v>
      </c>
      <c r="AE95">
        <f>VLOOKUP(AC95,moves!A:D,4,FALSE)</f>
        <v>4</v>
      </c>
      <c r="AF95">
        <f>VLOOKUP(AC95,moves!A:F,5,FALSE)</f>
        <v>0</v>
      </c>
      <c r="AG95">
        <v>0</v>
      </c>
      <c r="AH95">
        <v>0</v>
      </c>
      <c r="AI95" t="str" cm="1">
        <f t="array" ref="AI95">_xlfn.IFS(AG95=1, "starter", AH95=1, "legendary",T95&lt; 13, "weak",T95&lt; 17, "moderate", TRUE, "strong")</f>
        <v>strong</v>
      </c>
      <c r="AK95">
        <v>2</v>
      </c>
      <c r="AL95">
        <v>0</v>
      </c>
      <c r="AM95">
        <v>0</v>
      </c>
    </row>
    <row r="96" spans="1:39" x14ac:dyDescent="0.25">
      <c r="A96">
        <v>455</v>
      </c>
      <c r="B96" t="s">
        <v>209</v>
      </c>
      <c r="C96" s="1" t="s">
        <v>2</v>
      </c>
      <c r="E96">
        <v>74</v>
      </c>
      <c r="F96">
        <v>100</v>
      </c>
      <c r="G96">
        <v>72</v>
      </c>
      <c r="H96">
        <v>90</v>
      </c>
      <c r="I96">
        <v>72</v>
      </c>
      <c r="J96">
        <v>46</v>
      </c>
      <c r="K96" t="s">
        <v>384</v>
      </c>
      <c r="L96" t="s">
        <v>298</v>
      </c>
      <c r="M96" t="s">
        <v>302</v>
      </c>
      <c r="N96">
        <f t="shared" si="70"/>
        <v>7.74</v>
      </c>
      <c r="O96">
        <f t="shared" si="71"/>
        <v>7.2799999999999994</v>
      </c>
      <c r="P96">
        <v>0</v>
      </c>
      <c r="Q96">
        <v>0</v>
      </c>
      <c r="R96" s="2">
        <f t="shared" si="72"/>
        <v>8</v>
      </c>
      <c r="S96" s="2">
        <f t="shared" si="73"/>
        <v>7</v>
      </c>
      <c r="T96" s="2">
        <f t="shared" si="74"/>
        <v>15</v>
      </c>
      <c r="U96" t="str">
        <f t="shared" si="68"/>
        <v>grass</v>
      </c>
      <c r="V96" s="1" t="s">
        <v>9</v>
      </c>
      <c r="W96" t="s">
        <v>8</v>
      </c>
      <c r="X96" t="s">
        <v>3</v>
      </c>
      <c r="Z96" s="2" t="str">
        <f t="shared" si="69"/>
        <v/>
      </c>
      <c r="AA96" t="str">
        <f t="shared" si="61"/>
        <v>Carnivine</v>
      </c>
      <c r="AC96" t="s">
        <v>865</v>
      </c>
      <c r="AD96" t="str">
        <f>VLOOKUP(AC96,moves!A:B,2,FALSE)</f>
        <v>grass</v>
      </c>
      <c r="AE96">
        <f>VLOOKUP(AC96,moves!A:D,4,FALSE)</f>
        <v>4</v>
      </c>
      <c r="AF96" t="str">
        <f>VLOOKUP(AC96,moves!A:F,5,FALSE)</f>
        <v>trap</v>
      </c>
      <c r="AG96">
        <v>0</v>
      </c>
      <c r="AH96">
        <v>0</v>
      </c>
      <c r="AI96" t="str" cm="1">
        <f t="array" ref="AI96">_xlfn.IFS(AG96=1, "starter", AH96=1, "legendary",T96&lt; 13, "weak",T96&lt; 17, "moderate", TRUE, "strong")</f>
        <v>moderate</v>
      </c>
      <c r="AK96">
        <v>1</v>
      </c>
      <c r="AL96">
        <v>0</v>
      </c>
      <c r="AM96">
        <v>0</v>
      </c>
    </row>
    <row r="97" spans="1:39" x14ac:dyDescent="0.25">
      <c r="A97">
        <v>456</v>
      </c>
      <c r="B97" t="s">
        <v>210</v>
      </c>
      <c r="C97" s="1" t="s">
        <v>6</v>
      </c>
      <c r="E97">
        <v>49</v>
      </c>
      <c r="F97">
        <v>49</v>
      </c>
      <c r="G97">
        <v>56</v>
      </c>
      <c r="H97">
        <v>49</v>
      </c>
      <c r="I97">
        <v>61</v>
      </c>
      <c r="J97">
        <v>66</v>
      </c>
      <c r="K97" t="s">
        <v>385</v>
      </c>
      <c r="L97" t="s">
        <v>303</v>
      </c>
      <c r="M97" t="s">
        <v>302</v>
      </c>
      <c r="N97">
        <f t="shared" si="70"/>
        <v>5.58</v>
      </c>
      <c r="O97">
        <f t="shared" si="71"/>
        <v>5.4700000000000006</v>
      </c>
      <c r="P97">
        <v>0</v>
      </c>
      <c r="Q97">
        <v>0</v>
      </c>
      <c r="R97" s="2">
        <f t="shared" si="72"/>
        <v>6</v>
      </c>
      <c r="S97" s="2">
        <f t="shared" si="73"/>
        <v>5</v>
      </c>
      <c r="T97" s="2">
        <f t="shared" si="74"/>
        <v>11</v>
      </c>
      <c r="U97" t="str">
        <f t="shared" si="68"/>
        <v>water</v>
      </c>
      <c r="V97" t="s">
        <v>7</v>
      </c>
      <c r="W97" t="s">
        <v>5</v>
      </c>
      <c r="X97" t="s">
        <v>14</v>
      </c>
      <c r="Y97" t="str">
        <f>B98</f>
        <v>Lumineon</v>
      </c>
      <c r="Z97" s="2">
        <f t="shared" si="69"/>
        <v>6</v>
      </c>
      <c r="AA97" t="str">
        <f t="shared" si="61"/>
        <v>Finneon</v>
      </c>
      <c r="AC97" t="s">
        <v>483</v>
      </c>
      <c r="AD97" t="str">
        <f>VLOOKUP(AC97,moves!A:B,2,FALSE)</f>
        <v>bug</v>
      </c>
      <c r="AE97">
        <f>VLOOKUP(AC97,moves!A:D,4,FALSE)</f>
        <v>3</v>
      </c>
      <c r="AF97" t="str">
        <f>VLOOKUP(AC97,moves!A:F,5,FALSE)</f>
        <v>switch</v>
      </c>
      <c r="AG97">
        <v>0</v>
      </c>
      <c r="AH97">
        <v>0</v>
      </c>
      <c r="AI97" t="str" cm="1">
        <f t="array" ref="AI97">_xlfn.IFS(AG97=1, "starter", AH97=1, "legendary",T97&lt; 13, "weak",T97&lt; 17, "moderate", TRUE, "strong")</f>
        <v>weak</v>
      </c>
      <c r="AK97">
        <v>1</v>
      </c>
      <c r="AL97">
        <v>0</v>
      </c>
      <c r="AM97">
        <v>0</v>
      </c>
    </row>
    <row r="98" spans="1:39" x14ac:dyDescent="0.25">
      <c r="A98">
        <v>457</v>
      </c>
      <c r="B98" t="s">
        <v>211</v>
      </c>
      <c r="C98" s="1" t="s">
        <v>6</v>
      </c>
      <c r="E98">
        <v>69</v>
      </c>
      <c r="F98">
        <v>69</v>
      </c>
      <c r="G98">
        <v>76</v>
      </c>
      <c r="H98">
        <v>69</v>
      </c>
      <c r="I98">
        <v>86</v>
      </c>
      <c r="J98">
        <v>91</v>
      </c>
      <c r="K98" t="s">
        <v>386</v>
      </c>
      <c r="L98" t="s">
        <v>303</v>
      </c>
      <c r="M98" t="s">
        <v>302</v>
      </c>
      <c r="N98">
        <f t="shared" si="70"/>
        <v>7.7800000000000011</v>
      </c>
      <c r="O98">
        <f t="shared" si="71"/>
        <v>7.62</v>
      </c>
      <c r="P98">
        <v>0</v>
      </c>
      <c r="Q98">
        <v>0</v>
      </c>
      <c r="R98" s="2">
        <f t="shared" si="72"/>
        <v>8</v>
      </c>
      <c r="S98" s="2">
        <f t="shared" si="73"/>
        <v>8</v>
      </c>
      <c r="T98" s="2">
        <f t="shared" si="74"/>
        <v>16</v>
      </c>
      <c r="U98" t="str">
        <f t="shared" si="68"/>
        <v>water</v>
      </c>
      <c r="V98" t="s">
        <v>7</v>
      </c>
      <c r="W98" t="s">
        <v>5</v>
      </c>
      <c r="X98" t="s">
        <v>14</v>
      </c>
      <c r="Z98" s="2" t="str">
        <f t="shared" si="69"/>
        <v/>
      </c>
      <c r="AA98" t="str">
        <f t="shared" si="61"/>
        <v>Lumineon</v>
      </c>
      <c r="AC98" t="s">
        <v>872</v>
      </c>
      <c r="AD98" t="str">
        <f>VLOOKUP(AC98,moves!A:B,2,FALSE)</f>
        <v>water</v>
      </c>
      <c r="AE98">
        <f>VLOOKUP(AC98,moves!A:D,4,FALSE)</f>
        <v>4</v>
      </c>
      <c r="AF98" t="str">
        <f>VLOOKUP(AC98,moves!A:F,5,FALSE)</f>
        <v>trap</v>
      </c>
      <c r="AG98">
        <v>0</v>
      </c>
      <c r="AH98">
        <v>0</v>
      </c>
      <c r="AI98" t="str" cm="1">
        <f t="array" ref="AI98">_xlfn.IFS(AG98=1, "starter", AH98=1, "legendary",T98&lt; 13, "weak",T98&lt; 17, "moderate", TRUE, "strong")</f>
        <v>moderate</v>
      </c>
      <c r="AK98">
        <v>2</v>
      </c>
      <c r="AL98">
        <v>0</v>
      </c>
      <c r="AM98">
        <v>0</v>
      </c>
    </row>
    <row r="99" spans="1:39" x14ac:dyDescent="0.25">
      <c r="A99">
        <v>458</v>
      </c>
      <c r="B99" t="s">
        <v>212</v>
      </c>
      <c r="C99" s="1" t="s">
        <v>6</v>
      </c>
      <c r="D99" s="1" t="s">
        <v>5</v>
      </c>
      <c r="E99">
        <v>45</v>
      </c>
      <c r="F99">
        <v>20</v>
      </c>
      <c r="G99">
        <v>50</v>
      </c>
      <c r="H99">
        <v>60</v>
      </c>
      <c r="I99">
        <v>120</v>
      </c>
      <c r="J99">
        <v>50</v>
      </c>
      <c r="K99" t="s">
        <v>387</v>
      </c>
      <c r="L99" t="s">
        <v>303</v>
      </c>
      <c r="M99" t="s">
        <v>302</v>
      </c>
      <c r="N99">
        <f t="shared" si="70"/>
        <v>5.2</v>
      </c>
      <c r="O99">
        <f t="shared" si="71"/>
        <v>6.9</v>
      </c>
      <c r="P99">
        <v>0</v>
      </c>
      <c r="Q99">
        <v>0</v>
      </c>
      <c r="R99" s="2">
        <f t="shared" si="72"/>
        <v>5</v>
      </c>
      <c r="S99" s="2">
        <f t="shared" si="73"/>
        <v>7</v>
      </c>
      <c r="T99" s="2">
        <f t="shared" si="74"/>
        <v>12</v>
      </c>
      <c r="U99" t="str">
        <f t="shared" si="68"/>
        <v>water</v>
      </c>
      <c r="V99" t="str">
        <f>IF(D99 = 0, "", D99)</f>
        <v>flying</v>
      </c>
      <c r="W99" t="s">
        <v>14</v>
      </c>
      <c r="X99" t="s">
        <v>13</v>
      </c>
      <c r="Y99" t="str">
        <f>B100</f>
        <v>Mantine</v>
      </c>
      <c r="Z99" s="2">
        <f t="shared" si="69"/>
        <v>6</v>
      </c>
      <c r="AA99" t="str">
        <f t="shared" si="61"/>
        <v>Mantyke</v>
      </c>
      <c r="AC99" t="s">
        <v>495</v>
      </c>
      <c r="AD99" t="str">
        <f>VLOOKUP(AC99,moves!A:B,2,FALSE)</f>
        <v>flying</v>
      </c>
      <c r="AE99">
        <f>VLOOKUP(AC99,moves!A:D,4,FALSE)</f>
        <v>3</v>
      </c>
      <c r="AF99">
        <f>VLOOKUP(AC99,moves!A:F,5,FALSE)</f>
        <v>0</v>
      </c>
      <c r="AG99">
        <v>0</v>
      </c>
      <c r="AH99">
        <v>0</v>
      </c>
      <c r="AI99" t="str" cm="1">
        <f t="array" ref="AI99">_xlfn.IFS(AG99=1, "starter", AH99=1, "legendary",T99&lt; 13, "weak",T99&lt; 17, "moderate", TRUE, "strong")</f>
        <v>weak</v>
      </c>
      <c r="AK99">
        <v>1</v>
      </c>
      <c r="AL99">
        <v>0</v>
      </c>
      <c r="AM99">
        <v>0</v>
      </c>
    </row>
    <row r="100" spans="1:39" x14ac:dyDescent="0.25">
      <c r="A100">
        <v>226</v>
      </c>
      <c r="B100" t="s">
        <v>98</v>
      </c>
      <c r="C100" s="1" t="s">
        <v>6</v>
      </c>
      <c r="D100" s="1" t="s">
        <v>5</v>
      </c>
      <c r="E100">
        <v>85</v>
      </c>
      <c r="F100">
        <v>40</v>
      </c>
      <c r="G100">
        <v>70</v>
      </c>
      <c r="H100">
        <v>80</v>
      </c>
      <c r="I100">
        <v>140</v>
      </c>
      <c r="J100">
        <v>70</v>
      </c>
      <c r="K100" t="s">
        <v>387</v>
      </c>
      <c r="L100" t="s">
        <v>303</v>
      </c>
      <c r="M100" t="s">
        <v>302</v>
      </c>
      <c r="N100">
        <f t="shared" si="70"/>
        <v>7.2</v>
      </c>
      <c r="O100">
        <f t="shared" si="71"/>
        <v>9.6999999999999993</v>
      </c>
      <c r="P100">
        <v>0</v>
      </c>
      <c r="Q100">
        <v>0</v>
      </c>
      <c r="R100" s="2">
        <f t="shared" si="72"/>
        <v>7</v>
      </c>
      <c r="S100" s="2">
        <f t="shared" si="73"/>
        <v>10</v>
      </c>
      <c r="T100" s="2">
        <f t="shared" si="74"/>
        <v>17</v>
      </c>
      <c r="U100" t="str">
        <f t="shared" si="68"/>
        <v>water</v>
      </c>
      <c r="V100" t="str">
        <f>IF(D100 = 0, "", D100)</f>
        <v>flying</v>
      </c>
      <c r="W100" t="s">
        <v>14</v>
      </c>
      <c r="X100" t="s">
        <v>13</v>
      </c>
      <c r="Z100" s="2" t="str">
        <f t="shared" si="69"/>
        <v/>
      </c>
      <c r="AA100" t="str">
        <f t="shared" si="61"/>
        <v>Mantine</v>
      </c>
      <c r="AC100" t="s">
        <v>580</v>
      </c>
      <c r="AD100" t="str">
        <f>VLOOKUP(AC100,moves!A:B,2,FALSE)</f>
        <v>water</v>
      </c>
      <c r="AE100">
        <f>VLOOKUP(AC100,moves!A:D,4,FALSE)</f>
        <v>4</v>
      </c>
      <c r="AF100">
        <f>VLOOKUP(AC100,moves!A:F,5,FALSE)</f>
        <v>0</v>
      </c>
      <c r="AG100">
        <v>0</v>
      </c>
      <c r="AH100">
        <v>0</v>
      </c>
      <c r="AI100" t="str" cm="1">
        <f t="array" ref="AI100">_xlfn.IFS(AG100=1, "starter", AH100=1, "legendary",T100&lt; 13, "weak",T100&lt; 17, "moderate", TRUE, "strong")</f>
        <v>strong</v>
      </c>
      <c r="AK100">
        <v>2</v>
      </c>
      <c r="AL100">
        <v>0</v>
      </c>
      <c r="AM100">
        <v>0</v>
      </c>
    </row>
    <row r="101" spans="1:39" x14ac:dyDescent="0.25">
      <c r="A101">
        <v>223</v>
      </c>
      <c r="B101" t="s">
        <v>96</v>
      </c>
      <c r="C101" t="s">
        <v>6</v>
      </c>
      <c r="D101"/>
      <c r="E101">
        <v>35</v>
      </c>
      <c r="F101">
        <v>65</v>
      </c>
      <c r="G101">
        <v>35</v>
      </c>
      <c r="H101">
        <v>65</v>
      </c>
      <c r="I101">
        <v>35</v>
      </c>
      <c r="J101">
        <v>65</v>
      </c>
      <c r="K101" t="s">
        <v>283</v>
      </c>
      <c r="L101" t="s">
        <v>303</v>
      </c>
      <c r="M101" t="s">
        <v>300</v>
      </c>
      <c r="N101">
        <f t="shared" si="70"/>
        <v>6.5</v>
      </c>
      <c r="O101">
        <f t="shared" si="71"/>
        <v>3.5</v>
      </c>
      <c r="P101">
        <v>0</v>
      </c>
      <c r="Q101">
        <v>0</v>
      </c>
      <c r="R101" s="2">
        <f t="shared" si="72"/>
        <v>7</v>
      </c>
      <c r="S101" s="2">
        <f t="shared" si="73"/>
        <v>4</v>
      </c>
      <c r="T101" s="2">
        <f t="shared" si="74"/>
        <v>11</v>
      </c>
      <c r="U101" t="str">
        <f t="shared" si="68"/>
        <v>water</v>
      </c>
      <c r="V101" t="s">
        <v>14</v>
      </c>
      <c r="W101" t="s">
        <v>4</v>
      </c>
      <c r="X101" t="s">
        <v>3</v>
      </c>
      <c r="Y101" t="str">
        <f>B102</f>
        <v>Octillery</v>
      </c>
      <c r="Z101" s="2">
        <f t="shared" si="69"/>
        <v>6</v>
      </c>
      <c r="AA101" t="str">
        <f t="shared" si="61"/>
        <v>Remoraid</v>
      </c>
      <c r="AC101" t="s">
        <v>629</v>
      </c>
      <c r="AD101" t="str">
        <f>VLOOKUP(AC101,moves!A:B,2,FALSE)</f>
        <v>ice</v>
      </c>
      <c r="AE101">
        <f>VLOOKUP(AC101,moves!A:D,4,FALSE)</f>
        <v>3</v>
      </c>
      <c r="AF101">
        <f>VLOOKUP(AC101,moves!A:F,5,FALSE)</f>
        <v>0</v>
      </c>
      <c r="AG101">
        <v>0</v>
      </c>
      <c r="AH101">
        <v>0</v>
      </c>
      <c r="AI101" t="str" cm="1">
        <f t="array" ref="AI101">_xlfn.IFS(AG101=1, "starter", AH101=1, "legendary",T101&lt; 13, "weak",T101&lt; 17, "moderate", TRUE, "strong")</f>
        <v>weak</v>
      </c>
      <c r="AK101">
        <v>1</v>
      </c>
      <c r="AL101">
        <v>0</v>
      </c>
      <c r="AM101">
        <v>0</v>
      </c>
    </row>
    <row r="102" spans="1:39" x14ac:dyDescent="0.25">
      <c r="A102">
        <v>224</v>
      </c>
      <c r="B102" t="s">
        <v>97</v>
      </c>
      <c r="C102" t="s">
        <v>6</v>
      </c>
      <c r="D102"/>
      <c r="E102">
        <v>75</v>
      </c>
      <c r="F102">
        <v>105</v>
      </c>
      <c r="G102">
        <v>75</v>
      </c>
      <c r="H102">
        <v>105</v>
      </c>
      <c r="I102">
        <v>75</v>
      </c>
      <c r="J102">
        <v>45</v>
      </c>
      <c r="K102" t="s">
        <v>283</v>
      </c>
      <c r="L102" t="s">
        <v>303</v>
      </c>
      <c r="M102" t="s">
        <v>300</v>
      </c>
      <c r="N102">
        <f t="shared" si="70"/>
        <v>8.1</v>
      </c>
      <c r="O102">
        <f t="shared" si="71"/>
        <v>7.5</v>
      </c>
      <c r="P102">
        <v>0</v>
      </c>
      <c r="Q102">
        <v>0</v>
      </c>
      <c r="R102" s="2">
        <f t="shared" si="72"/>
        <v>8</v>
      </c>
      <c r="S102" s="2">
        <f t="shared" si="73"/>
        <v>8</v>
      </c>
      <c r="T102" s="2">
        <f t="shared" si="74"/>
        <v>16</v>
      </c>
      <c r="U102" t="str">
        <f t="shared" si="68"/>
        <v>water</v>
      </c>
      <c r="V102" t="s">
        <v>14</v>
      </c>
      <c r="W102" t="s">
        <v>4</v>
      </c>
      <c r="X102" t="s">
        <v>3</v>
      </c>
      <c r="Z102" s="2" t="str">
        <f t="shared" si="69"/>
        <v/>
      </c>
      <c r="AA102" t="str">
        <f t="shared" si="61"/>
        <v>Octillery</v>
      </c>
      <c r="AC102" t="s">
        <v>530</v>
      </c>
      <c r="AD102" t="str">
        <f>VLOOKUP(AC102,moves!A:B,2,FALSE)</f>
        <v>water</v>
      </c>
      <c r="AE102">
        <f>VLOOKUP(AC102,moves!A:D,4,FALSE)</f>
        <v>4</v>
      </c>
      <c r="AF102">
        <f>VLOOKUP(AC102,moves!A:F,5,FALSE)</f>
        <v>0</v>
      </c>
      <c r="AG102">
        <v>0</v>
      </c>
      <c r="AH102">
        <v>0</v>
      </c>
      <c r="AI102" t="str" cm="1">
        <f t="array" ref="AI102">_xlfn.IFS(AG102=1, "starter", AH102=1, "legendary",T102&lt; 13, "weak",T102&lt; 17, "moderate", TRUE, "strong")</f>
        <v>moderate</v>
      </c>
      <c r="AK102">
        <v>2</v>
      </c>
      <c r="AL102">
        <v>0</v>
      </c>
      <c r="AM102">
        <v>0</v>
      </c>
    </row>
    <row r="103" spans="1:39" x14ac:dyDescent="0.25">
      <c r="A103">
        <v>459</v>
      </c>
      <c r="B103" t="s">
        <v>213</v>
      </c>
      <c r="C103" s="1" t="s">
        <v>2</v>
      </c>
      <c r="D103" s="1" t="s">
        <v>14</v>
      </c>
      <c r="E103">
        <v>60</v>
      </c>
      <c r="F103">
        <v>62</v>
      </c>
      <c r="G103">
        <v>50</v>
      </c>
      <c r="H103">
        <v>62</v>
      </c>
      <c r="I103">
        <v>60</v>
      </c>
      <c r="J103">
        <v>40</v>
      </c>
      <c r="K103" t="s">
        <v>388</v>
      </c>
      <c r="L103" t="s">
        <v>301</v>
      </c>
      <c r="M103" t="s">
        <v>299</v>
      </c>
      <c r="N103">
        <f t="shared" si="70"/>
        <v>5.32</v>
      </c>
      <c r="O103">
        <f t="shared" si="71"/>
        <v>5.7</v>
      </c>
      <c r="P103">
        <v>0</v>
      </c>
      <c r="Q103">
        <v>0</v>
      </c>
      <c r="R103" s="2">
        <f t="shared" si="72"/>
        <v>5</v>
      </c>
      <c r="S103" s="2">
        <f t="shared" si="73"/>
        <v>6</v>
      </c>
      <c r="T103" s="2">
        <f t="shared" si="74"/>
        <v>11</v>
      </c>
      <c r="U103" t="str">
        <f t="shared" si="68"/>
        <v>grass</v>
      </c>
      <c r="V103" t="str">
        <f t="shared" ref="V103:V110" si="100">IF(D103 = 0, "", D103)</f>
        <v>ice</v>
      </c>
      <c r="W103" t="s">
        <v>13</v>
      </c>
      <c r="X103" t="s">
        <v>33</v>
      </c>
      <c r="Y103" t="str">
        <f>B104</f>
        <v>Abomasnow</v>
      </c>
      <c r="Z103" s="2">
        <f t="shared" si="69"/>
        <v>6</v>
      </c>
      <c r="AA103" t="str">
        <f t="shared" si="61"/>
        <v>Snover</v>
      </c>
      <c r="AC103" t="s">
        <v>491</v>
      </c>
      <c r="AD103" t="str">
        <f>VLOOKUP(AC103,moves!A:B,2,FALSE)</f>
        <v>ice</v>
      </c>
      <c r="AE103">
        <f>VLOOKUP(AC103,moves!A:D,4,FALSE)</f>
        <v>2</v>
      </c>
      <c r="AF103">
        <f>VLOOKUP(AC103,moves!A:F,5,FALSE)</f>
        <v>0</v>
      </c>
      <c r="AG103">
        <v>0</v>
      </c>
      <c r="AH103">
        <v>0</v>
      </c>
      <c r="AI103" t="str" cm="1">
        <f t="array" ref="AI103">_xlfn.IFS(AG103=1, "starter", AH103=1, "legendary",T103&lt; 13, "weak",T103&lt; 17, "moderate", TRUE, "strong")</f>
        <v>weak</v>
      </c>
      <c r="AK103">
        <v>1</v>
      </c>
      <c r="AL103">
        <v>0</v>
      </c>
      <c r="AM103">
        <v>0</v>
      </c>
    </row>
    <row r="104" spans="1:39" x14ac:dyDescent="0.25">
      <c r="A104">
        <v>460</v>
      </c>
      <c r="B104" t="s">
        <v>214</v>
      </c>
      <c r="C104" s="1" t="s">
        <v>2</v>
      </c>
      <c r="D104" s="1" t="s">
        <v>14</v>
      </c>
      <c r="E104">
        <v>90</v>
      </c>
      <c r="F104">
        <v>92</v>
      </c>
      <c r="G104">
        <v>75</v>
      </c>
      <c r="H104">
        <v>92</v>
      </c>
      <c r="I104">
        <v>85</v>
      </c>
      <c r="J104">
        <v>60</v>
      </c>
      <c r="K104" t="s">
        <v>388</v>
      </c>
      <c r="L104" t="s">
        <v>301</v>
      </c>
      <c r="M104" t="s">
        <v>299</v>
      </c>
      <c r="N104">
        <f t="shared" si="70"/>
        <v>7.92</v>
      </c>
      <c r="O104">
        <f t="shared" si="71"/>
        <v>8.4</v>
      </c>
      <c r="P104">
        <v>0</v>
      </c>
      <c r="Q104">
        <v>0</v>
      </c>
      <c r="R104" s="2">
        <f t="shared" si="72"/>
        <v>8</v>
      </c>
      <c r="S104" s="2">
        <f t="shared" si="73"/>
        <v>8</v>
      </c>
      <c r="T104" s="2">
        <f t="shared" si="74"/>
        <v>16</v>
      </c>
      <c r="U104" t="str">
        <f t="shared" si="68"/>
        <v>grass</v>
      </c>
      <c r="V104" t="str">
        <f t="shared" si="100"/>
        <v>ice</v>
      </c>
      <c r="W104" t="s">
        <v>13</v>
      </c>
      <c r="X104" t="s">
        <v>33</v>
      </c>
      <c r="Z104" s="2" t="str">
        <f>IF(ISBLANK(Y104), "", ROUND(( (T106-6)*(T106-7) - (T104-6)*(T104-7) )/15, 0) + 1)</f>
        <v/>
      </c>
      <c r="AA104" t="str">
        <f t="shared" si="61"/>
        <v>Abomasnow</v>
      </c>
      <c r="AC104" t="s">
        <v>531</v>
      </c>
      <c r="AD104" t="str">
        <f>VLOOKUP(AC104,moves!A:B,2,FALSE)</f>
        <v>grass</v>
      </c>
      <c r="AE104">
        <f>VLOOKUP(AC104,moves!A:D,4,FALSE)</f>
        <v>5</v>
      </c>
      <c r="AF104">
        <f>VLOOKUP(AC104,moves!A:F,5,FALSE)</f>
        <v>0</v>
      </c>
      <c r="AG104">
        <v>0</v>
      </c>
      <c r="AH104">
        <v>0</v>
      </c>
      <c r="AI104" t="str" cm="1">
        <f t="array" ref="AI104">_xlfn.IFS(AG104=1, "starter", AH104=1, "legendary",T104&lt; 13, "weak",T104&lt; 17, "moderate", TRUE, "strong")</f>
        <v>moderate</v>
      </c>
      <c r="AK104">
        <v>2</v>
      </c>
      <c r="AL104">
        <v>0</v>
      </c>
      <c r="AM104">
        <v>0</v>
      </c>
    </row>
    <row r="105" spans="1:39" x14ac:dyDescent="0.25">
      <c r="A105" s="9" t="s">
        <v>1334</v>
      </c>
      <c r="B105" t="s">
        <v>1351</v>
      </c>
      <c r="C105" s="1" t="s">
        <v>5</v>
      </c>
      <c r="D105" s="1" t="s">
        <v>14</v>
      </c>
      <c r="E105">
        <v>90</v>
      </c>
      <c r="F105">
        <v>92</v>
      </c>
      <c r="G105">
        <v>75</v>
      </c>
      <c r="H105">
        <v>92</v>
      </c>
      <c r="I105">
        <v>85</v>
      </c>
      <c r="J105">
        <v>60</v>
      </c>
      <c r="K105" t="s">
        <v>595</v>
      </c>
      <c r="M105" t="s">
        <v>1339</v>
      </c>
      <c r="N105">
        <f t="shared" ref="N105" si="101">(0.4*J105 + 0.5*MAX(F105,H105) + 0.1*MIN(F105,H105)) / 10</f>
        <v>7.92</v>
      </c>
      <c r="O105">
        <f t="shared" ref="O105" si="102">(0.4*E105 + 0.3*G105 + 0.3*I105) / 10</f>
        <v>8.4</v>
      </c>
      <c r="P105">
        <v>5</v>
      </c>
      <c r="Q105">
        <v>0</v>
      </c>
      <c r="R105" s="2">
        <f t="shared" ref="R105" si="103">ROUND(N105,0)+P105</f>
        <v>13</v>
      </c>
      <c r="S105" s="2">
        <f t="shared" ref="S105" si="104">ROUND(O105,0)+Q105</f>
        <v>8</v>
      </c>
      <c r="T105" s="2">
        <f t="shared" ref="T105" si="105">SUM(ROUND(R105,0),ROUND(S105,0))</f>
        <v>21</v>
      </c>
      <c r="U105" t="str">
        <f t="shared" ref="U105" si="106">C105</f>
        <v>flying</v>
      </c>
      <c r="V105" t="str">
        <f t="shared" ref="V105" si="107">IF(D105 = 0, "", D105)</f>
        <v>ice</v>
      </c>
      <c r="W105" t="s">
        <v>13</v>
      </c>
      <c r="X105" t="s">
        <v>33</v>
      </c>
      <c r="Z105" s="2" t="str">
        <f>IF(ISBLANK(Y105), "", ROUND(( (T107-6)*(T107-7) - (T105-6)*(T105-7) )/15, 0) + 1)</f>
        <v/>
      </c>
      <c r="AA105" t="s">
        <v>214</v>
      </c>
      <c r="AB105" t="s">
        <v>1345</v>
      </c>
      <c r="AC105" t="s">
        <v>1363</v>
      </c>
      <c r="AD105" t="str">
        <f>VLOOKUP(AC105,moves!A:B,2,FALSE)</f>
        <v>flying</v>
      </c>
      <c r="AE105">
        <f>VLOOKUP(AC105,moves!A:D,4,FALSE)</f>
        <v>2</v>
      </c>
      <c r="AF105">
        <f>VLOOKUP(AC105,moves!A:F,5,FALSE)</f>
        <v>0</v>
      </c>
      <c r="AG105">
        <v>0</v>
      </c>
      <c r="AH105">
        <v>1</v>
      </c>
      <c r="AI105" t="str" cm="1">
        <f t="array" ref="AI105">_xlfn.IFS(AG105=1, "starter", AH105=1, "legendary",T105&lt; 13, "weak",T105&lt; 17, "moderate", TRUE, "strong")</f>
        <v>legendary</v>
      </c>
      <c r="AK105">
        <v>1</v>
      </c>
      <c r="AL105">
        <v>0</v>
      </c>
      <c r="AM105">
        <v>0</v>
      </c>
    </row>
    <row r="106" spans="1:39" x14ac:dyDescent="0.25">
      <c r="A106">
        <v>215</v>
      </c>
      <c r="B106" t="s">
        <v>90</v>
      </c>
      <c r="C106" s="1" t="s">
        <v>9</v>
      </c>
      <c r="D106" s="1" t="s">
        <v>14</v>
      </c>
      <c r="E106">
        <v>55</v>
      </c>
      <c r="F106">
        <v>95</v>
      </c>
      <c r="G106">
        <v>55</v>
      </c>
      <c r="H106">
        <v>35</v>
      </c>
      <c r="I106">
        <v>75</v>
      </c>
      <c r="J106">
        <v>115</v>
      </c>
      <c r="K106" t="s">
        <v>389</v>
      </c>
      <c r="L106" t="s">
        <v>304</v>
      </c>
      <c r="M106" t="s">
        <v>299</v>
      </c>
      <c r="N106">
        <f t="shared" si="70"/>
        <v>9.6999999999999993</v>
      </c>
      <c r="O106">
        <f t="shared" si="71"/>
        <v>6.1</v>
      </c>
      <c r="P106">
        <v>0</v>
      </c>
      <c r="Q106">
        <v>0</v>
      </c>
      <c r="R106" s="2">
        <f t="shared" si="72"/>
        <v>10</v>
      </c>
      <c r="S106" s="2">
        <f t="shared" si="73"/>
        <v>6</v>
      </c>
      <c r="T106" s="2">
        <f t="shared" si="74"/>
        <v>16</v>
      </c>
      <c r="U106" t="str">
        <f t="shared" si="68"/>
        <v>dark</v>
      </c>
      <c r="V106" t="str">
        <f t="shared" si="100"/>
        <v>ice</v>
      </c>
      <c r="W106" t="s">
        <v>8</v>
      </c>
      <c r="X106" t="s">
        <v>22</v>
      </c>
      <c r="Y106" t="str">
        <f>B107</f>
        <v>Weavile</v>
      </c>
      <c r="Z106" s="2">
        <f t="shared" si="69"/>
        <v>4</v>
      </c>
      <c r="AA106" t="str">
        <f t="shared" si="61"/>
        <v>Sneasel</v>
      </c>
      <c r="AC106" t="s">
        <v>532</v>
      </c>
      <c r="AD106" t="str">
        <f>VLOOKUP(AC106,moves!A:B,2,FALSE)</f>
        <v>normal</v>
      </c>
      <c r="AE106">
        <f>VLOOKUP(AC106,moves!A:D,4,FALSE)</f>
        <v>4</v>
      </c>
      <c r="AF106">
        <f>VLOOKUP(AC106,moves!A:F,5,FALSE)</f>
        <v>0</v>
      </c>
      <c r="AG106">
        <v>0</v>
      </c>
      <c r="AH106">
        <v>0</v>
      </c>
      <c r="AI106" t="str" cm="1">
        <f t="array" ref="AI106">_xlfn.IFS(AG106=1, "starter", AH106=1, "legendary",T106&lt; 13, "weak",T106&lt; 17, "moderate", TRUE, "strong")</f>
        <v>moderate</v>
      </c>
      <c r="AK106">
        <v>1</v>
      </c>
      <c r="AL106">
        <v>0</v>
      </c>
      <c r="AM106">
        <v>0</v>
      </c>
    </row>
    <row r="107" spans="1:39" x14ac:dyDescent="0.25">
      <c r="A107">
        <v>461</v>
      </c>
      <c r="B107" t="s">
        <v>215</v>
      </c>
      <c r="C107" s="1" t="s">
        <v>9</v>
      </c>
      <c r="D107" s="1" t="s">
        <v>14</v>
      </c>
      <c r="E107">
        <v>70</v>
      </c>
      <c r="F107">
        <v>120</v>
      </c>
      <c r="G107">
        <v>65</v>
      </c>
      <c r="H107">
        <v>45</v>
      </c>
      <c r="I107">
        <v>85</v>
      </c>
      <c r="J107">
        <v>125</v>
      </c>
      <c r="K107" t="s">
        <v>389</v>
      </c>
      <c r="L107" t="s">
        <v>304</v>
      </c>
      <c r="M107" t="s">
        <v>299</v>
      </c>
      <c r="N107">
        <f t="shared" si="70"/>
        <v>11.45</v>
      </c>
      <c r="O107">
        <f t="shared" si="71"/>
        <v>7.3</v>
      </c>
      <c r="P107">
        <v>0</v>
      </c>
      <c r="Q107">
        <v>0</v>
      </c>
      <c r="R107" s="2">
        <f t="shared" si="72"/>
        <v>11</v>
      </c>
      <c r="S107" s="2">
        <f t="shared" si="73"/>
        <v>7</v>
      </c>
      <c r="T107" s="2">
        <f t="shared" si="74"/>
        <v>18</v>
      </c>
      <c r="U107" t="str">
        <f t="shared" si="68"/>
        <v>dark</v>
      </c>
      <c r="V107" t="str">
        <f t="shared" si="100"/>
        <v>ice</v>
      </c>
      <c r="W107" t="s">
        <v>8</v>
      </c>
      <c r="X107" t="s">
        <v>22</v>
      </c>
      <c r="Z107" s="2" t="str">
        <f t="shared" si="69"/>
        <v/>
      </c>
      <c r="AA107" t="str">
        <f t="shared" si="61"/>
        <v>Weavile</v>
      </c>
      <c r="AC107" t="s">
        <v>599</v>
      </c>
      <c r="AD107" t="str">
        <f>VLOOKUP(AC107,moves!A:B,2,FALSE)</f>
        <v>ice</v>
      </c>
      <c r="AE107">
        <f>VLOOKUP(AC107,moves!A:D,4,FALSE)</f>
        <v>4</v>
      </c>
      <c r="AF107">
        <f>VLOOKUP(AC107,moves!A:F,5,FALSE)</f>
        <v>0</v>
      </c>
      <c r="AG107">
        <v>0</v>
      </c>
      <c r="AH107">
        <v>0</v>
      </c>
      <c r="AI107" t="str" cm="1">
        <f t="array" ref="AI107">_xlfn.IFS(AG107=1, "starter", AH107=1, "legendary",T107&lt; 13, "weak",T107&lt; 17, "moderate", TRUE, "strong")</f>
        <v>strong</v>
      </c>
      <c r="AK107">
        <v>2</v>
      </c>
      <c r="AL107">
        <v>0</v>
      </c>
      <c r="AM107">
        <v>0</v>
      </c>
    </row>
    <row r="108" spans="1:39" x14ac:dyDescent="0.25">
      <c r="A108">
        <v>81</v>
      </c>
      <c r="B108" t="s">
        <v>38</v>
      </c>
      <c r="C108" s="1" t="s">
        <v>11</v>
      </c>
      <c r="D108" s="1" t="s">
        <v>39</v>
      </c>
      <c r="E108">
        <v>25</v>
      </c>
      <c r="F108">
        <v>35</v>
      </c>
      <c r="G108">
        <v>70</v>
      </c>
      <c r="H108">
        <v>95</v>
      </c>
      <c r="I108">
        <v>55</v>
      </c>
      <c r="J108">
        <v>45</v>
      </c>
      <c r="K108" t="s">
        <v>390</v>
      </c>
      <c r="L108" t="s">
        <v>304</v>
      </c>
      <c r="M108" t="s">
        <v>302</v>
      </c>
      <c r="N108">
        <f t="shared" si="70"/>
        <v>6.9</v>
      </c>
      <c r="O108">
        <f t="shared" si="71"/>
        <v>4.75</v>
      </c>
      <c r="P108">
        <v>0</v>
      </c>
      <c r="Q108">
        <v>0</v>
      </c>
      <c r="R108" s="2">
        <f t="shared" si="72"/>
        <v>7</v>
      </c>
      <c r="S108" s="2">
        <f t="shared" si="73"/>
        <v>5</v>
      </c>
      <c r="T108" s="2">
        <f t="shared" si="74"/>
        <v>12</v>
      </c>
      <c r="U108" t="str">
        <f t="shared" si="68"/>
        <v>electric</v>
      </c>
      <c r="V108" t="str">
        <f t="shared" si="100"/>
        <v>steel</v>
      </c>
      <c r="W108" t="s">
        <v>8</v>
      </c>
      <c r="X108" t="s">
        <v>22</v>
      </c>
      <c r="Y108" t="str">
        <f>B109</f>
        <v>Magneton</v>
      </c>
      <c r="Z108" s="2">
        <f t="shared" si="69"/>
        <v>5</v>
      </c>
      <c r="AA108" t="str">
        <f t="shared" si="61"/>
        <v>Magnemite</v>
      </c>
      <c r="AC108" t="s">
        <v>569</v>
      </c>
      <c r="AD108" t="str">
        <f>VLOOKUP(AC108,moves!A:B,2,FALSE)</f>
        <v>electric</v>
      </c>
      <c r="AE108">
        <f>VLOOKUP(AC108,moves!A:D,4,FALSE)</f>
        <v>2</v>
      </c>
      <c r="AF108">
        <f>VLOOKUP(AC108,moves!A:F,5,FALSE)</f>
        <v>0</v>
      </c>
      <c r="AG108">
        <v>0</v>
      </c>
      <c r="AH108">
        <v>0</v>
      </c>
      <c r="AI108" t="str" cm="1">
        <f t="array" ref="AI108">_xlfn.IFS(AG108=1, "starter", AH108=1, "legendary",T108&lt; 13, "weak",T108&lt; 17, "moderate", TRUE, "strong")</f>
        <v>weak</v>
      </c>
      <c r="AK108">
        <v>1</v>
      </c>
      <c r="AL108">
        <v>0</v>
      </c>
      <c r="AM108">
        <v>0</v>
      </c>
    </row>
    <row r="109" spans="1:39" x14ac:dyDescent="0.25">
      <c r="A109">
        <v>82</v>
      </c>
      <c r="B109" t="s">
        <v>40</v>
      </c>
      <c r="C109" s="1" t="s">
        <v>11</v>
      </c>
      <c r="D109" s="1" t="s">
        <v>39</v>
      </c>
      <c r="E109">
        <v>50</v>
      </c>
      <c r="F109">
        <v>60</v>
      </c>
      <c r="G109">
        <v>95</v>
      </c>
      <c r="H109">
        <v>120</v>
      </c>
      <c r="I109">
        <v>70</v>
      </c>
      <c r="J109">
        <v>70</v>
      </c>
      <c r="K109" t="s">
        <v>390</v>
      </c>
      <c r="L109" t="s">
        <v>304</v>
      </c>
      <c r="M109" t="s">
        <v>302</v>
      </c>
      <c r="N109">
        <f t="shared" si="70"/>
        <v>9.4</v>
      </c>
      <c r="O109">
        <f t="shared" si="71"/>
        <v>6.95</v>
      </c>
      <c r="P109">
        <v>0</v>
      </c>
      <c r="Q109">
        <v>0</v>
      </c>
      <c r="R109" s="2">
        <f t="shared" si="72"/>
        <v>9</v>
      </c>
      <c r="S109" s="2">
        <f t="shared" si="73"/>
        <v>7</v>
      </c>
      <c r="T109" s="2">
        <f t="shared" si="74"/>
        <v>16</v>
      </c>
      <c r="U109" t="str">
        <f t="shared" si="68"/>
        <v>electric</v>
      </c>
      <c r="V109" t="str">
        <f t="shared" si="100"/>
        <v>steel</v>
      </c>
      <c r="W109" t="s">
        <v>8</v>
      </c>
      <c r="X109" t="s">
        <v>22</v>
      </c>
      <c r="Y109" t="str">
        <f>B110</f>
        <v>Magnezone</v>
      </c>
      <c r="Z109" s="2">
        <f t="shared" si="69"/>
        <v>5</v>
      </c>
      <c r="AA109" t="str">
        <f t="shared" si="61"/>
        <v>Magneton</v>
      </c>
      <c r="AC109" t="s">
        <v>533</v>
      </c>
      <c r="AD109" t="str">
        <f>VLOOKUP(AC109,moves!A:B,2,FALSE)</f>
        <v>normal</v>
      </c>
      <c r="AE109">
        <f>VLOOKUP(AC109,moves!A:D,4,FALSE)</f>
        <v>4</v>
      </c>
      <c r="AF109">
        <f>VLOOKUP(AC109,moves!A:F,5,FALSE)</f>
        <v>0</v>
      </c>
      <c r="AG109">
        <v>0</v>
      </c>
      <c r="AH109">
        <v>0</v>
      </c>
      <c r="AI109" t="str" cm="1">
        <f t="array" ref="AI109">_xlfn.IFS(AG109=1, "starter", AH109=1, "legendary",T109&lt; 13, "weak",T109&lt; 17, "moderate", TRUE, "strong")</f>
        <v>moderate</v>
      </c>
      <c r="AK109">
        <v>2</v>
      </c>
      <c r="AL109">
        <v>0</v>
      </c>
      <c r="AM109">
        <v>0</v>
      </c>
    </row>
    <row r="110" spans="1:39" x14ac:dyDescent="0.25">
      <c r="A110">
        <v>462</v>
      </c>
      <c r="B110" t="s">
        <v>216</v>
      </c>
      <c r="C110" s="1" t="s">
        <v>11</v>
      </c>
      <c r="D110" s="1" t="s">
        <v>39</v>
      </c>
      <c r="E110">
        <v>70</v>
      </c>
      <c r="F110">
        <v>70</v>
      </c>
      <c r="G110">
        <v>115</v>
      </c>
      <c r="H110">
        <v>130</v>
      </c>
      <c r="I110">
        <v>90</v>
      </c>
      <c r="J110">
        <v>60</v>
      </c>
      <c r="K110" t="s">
        <v>391</v>
      </c>
      <c r="L110" t="s">
        <v>304</v>
      </c>
      <c r="M110" t="s">
        <v>302</v>
      </c>
      <c r="N110">
        <f t="shared" si="70"/>
        <v>9.6</v>
      </c>
      <c r="O110">
        <f t="shared" si="71"/>
        <v>8.9499999999999993</v>
      </c>
      <c r="P110">
        <v>0</v>
      </c>
      <c r="Q110">
        <v>0</v>
      </c>
      <c r="R110" s="2">
        <f t="shared" si="72"/>
        <v>10</v>
      </c>
      <c r="S110" s="2">
        <f t="shared" si="73"/>
        <v>9</v>
      </c>
      <c r="T110" s="2">
        <f t="shared" si="74"/>
        <v>19</v>
      </c>
      <c r="U110" t="str">
        <f t="shared" si="68"/>
        <v>electric</v>
      </c>
      <c r="V110" t="str">
        <f t="shared" si="100"/>
        <v>steel</v>
      </c>
      <c r="W110" t="s">
        <v>8</v>
      </c>
      <c r="X110" t="s">
        <v>22</v>
      </c>
      <c r="Z110" s="2" t="str">
        <f t="shared" si="69"/>
        <v/>
      </c>
      <c r="AA110" t="str">
        <f t="shared" si="61"/>
        <v>Magnezone</v>
      </c>
      <c r="AC110" t="s">
        <v>508</v>
      </c>
      <c r="AD110" t="str">
        <f>VLOOKUP(AC110,moves!A:B,2,FALSE)</f>
        <v>steel</v>
      </c>
      <c r="AE110">
        <f>VLOOKUP(AC110,moves!A:D,4,FALSE)</f>
        <v>4</v>
      </c>
      <c r="AF110">
        <f>VLOOKUP(AC110,moves!A:F,5,FALSE)</f>
        <v>0</v>
      </c>
      <c r="AG110">
        <v>0</v>
      </c>
      <c r="AH110">
        <v>0</v>
      </c>
      <c r="AI110" t="str" cm="1">
        <f t="array" ref="AI110">_xlfn.IFS(AG110=1, "starter", AH110=1, "legendary",T110&lt; 13, "weak",T110&lt; 17, "moderate", TRUE, "strong")</f>
        <v>strong</v>
      </c>
      <c r="AK110">
        <v>3</v>
      </c>
      <c r="AL110">
        <v>0</v>
      </c>
      <c r="AM110">
        <v>0</v>
      </c>
    </row>
    <row r="111" spans="1:39" x14ac:dyDescent="0.25">
      <c r="A111">
        <v>108</v>
      </c>
      <c r="B111" t="s">
        <v>48</v>
      </c>
      <c r="C111" s="1" t="s">
        <v>8</v>
      </c>
      <c r="E111">
        <v>90</v>
      </c>
      <c r="F111">
        <v>55</v>
      </c>
      <c r="G111">
        <v>75</v>
      </c>
      <c r="H111">
        <v>60</v>
      </c>
      <c r="I111">
        <v>75</v>
      </c>
      <c r="J111">
        <v>30</v>
      </c>
      <c r="K111" t="s">
        <v>392</v>
      </c>
      <c r="L111" t="s">
        <v>301</v>
      </c>
      <c r="M111" t="s">
        <v>300</v>
      </c>
      <c r="N111">
        <f t="shared" si="70"/>
        <v>4.75</v>
      </c>
      <c r="O111">
        <f t="shared" si="71"/>
        <v>8.1</v>
      </c>
      <c r="P111">
        <v>0</v>
      </c>
      <c r="Q111">
        <v>0</v>
      </c>
      <c r="R111" s="2">
        <f t="shared" si="72"/>
        <v>5</v>
      </c>
      <c r="S111" s="2">
        <f t="shared" si="73"/>
        <v>8</v>
      </c>
      <c r="T111" s="2">
        <f t="shared" si="74"/>
        <v>13</v>
      </c>
      <c r="U111" t="str">
        <f t="shared" si="68"/>
        <v>normal</v>
      </c>
      <c r="V111" t="s">
        <v>33</v>
      </c>
      <c r="W111" t="s">
        <v>4</v>
      </c>
      <c r="X111" t="s">
        <v>14</v>
      </c>
      <c r="Y111" t="str">
        <f>B112</f>
        <v>Lickilicky</v>
      </c>
      <c r="Z111" s="2">
        <f t="shared" si="69"/>
        <v>6</v>
      </c>
      <c r="AA111" t="str">
        <f t="shared" si="61"/>
        <v>Lickitung</v>
      </c>
      <c r="AC111" t="s">
        <v>534</v>
      </c>
      <c r="AD111" t="str">
        <f>VLOOKUP(AC111,moves!A:B,2,FALSE)</f>
        <v>rock</v>
      </c>
      <c r="AE111">
        <f>VLOOKUP(AC111,moves!A:D,4,FALSE)</f>
        <v>3</v>
      </c>
      <c r="AF111">
        <f>VLOOKUP(AC111,moves!A:F,5,FALSE)</f>
        <v>0</v>
      </c>
      <c r="AG111">
        <v>0</v>
      </c>
      <c r="AH111">
        <v>0</v>
      </c>
      <c r="AI111" t="str" cm="1">
        <f t="array" ref="AI111">_xlfn.IFS(AG111=1, "starter", AH111=1, "legendary",T111&lt; 13, "weak",T111&lt; 17, "moderate", TRUE, "strong")</f>
        <v>moderate</v>
      </c>
      <c r="AK111">
        <v>1</v>
      </c>
      <c r="AL111">
        <v>0</v>
      </c>
      <c r="AM111">
        <v>0</v>
      </c>
    </row>
    <row r="112" spans="1:39" ht="14.25" customHeight="1" x14ac:dyDescent="0.25">
      <c r="A112">
        <v>463</v>
      </c>
      <c r="B112" t="s">
        <v>217</v>
      </c>
      <c r="C112" s="1" t="s">
        <v>8</v>
      </c>
      <c r="E112">
        <v>110</v>
      </c>
      <c r="F112">
        <v>85</v>
      </c>
      <c r="G112">
        <v>95</v>
      </c>
      <c r="H112">
        <v>80</v>
      </c>
      <c r="I112">
        <v>95</v>
      </c>
      <c r="J112">
        <v>50</v>
      </c>
      <c r="K112" t="s">
        <v>392</v>
      </c>
      <c r="L112" t="s">
        <v>301</v>
      </c>
      <c r="M112" t="s">
        <v>300</v>
      </c>
      <c r="N112">
        <f t="shared" si="70"/>
        <v>7.05</v>
      </c>
      <c r="O112">
        <f t="shared" si="71"/>
        <v>10.1</v>
      </c>
      <c r="P112">
        <v>0</v>
      </c>
      <c r="Q112">
        <v>0</v>
      </c>
      <c r="R112" s="2">
        <f t="shared" si="72"/>
        <v>7</v>
      </c>
      <c r="S112" s="2">
        <f t="shared" si="73"/>
        <v>10</v>
      </c>
      <c r="T112" s="2">
        <f t="shared" si="74"/>
        <v>17</v>
      </c>
      <c r="U112" t="str">
        <f t="shared" si="68"/>
        <v>normal</v>
      </c>
      <c r="V112" t="s">
        <v>33</v>
      </c>
      <c r="W112" t="s">
        <v>4</v>
      </c>
      <c r="X112" t="s">
        <v>14</v>
      </c>
      <c r="Z112" s="2" t="str">
        <f t="shared" si="69"/>
        <v/>
      </c>
      <c r="AA112" t="str">
        <f t="shared" si="61"/>
        <v>Lickilicky</v>
      </c>
      <c r="AC112" t="s">
        <v>518</v>
      </c>
      <c r="AD112" t="str">
        <f>VLOOKUP(AC112,moves!A:B,2,FALSE)</f>
        <v>normal</v>
      </c>
      <c r="AE112">
        <f>VLOOKUP(AC112,moves!A:D,4,FALSE)</f>
        <v>8</v>
      </c>
      <c r="AF112" t="str">
        <f>VLOOKUP(AC112,moves!A:F,5,FALSE)</f>
        <v>decisive</v>
      </c>
      <c r="AG112">
        <v>0</v>
      </c>
      <c r="AH112">
        <v>0</v>
      </c>
      <c r="AI112" t="str" cm="1">
        <f t="array" ref="AI112">_xlfn.IFS(AG112=1, "starter", AH112=1, "legendary",T112&lt; 13, "weak",T112&lt; 17, "moderate", TRUE, "strong")</f>
        <v>strong</v>
      </c>
      <c r="AK112">
        <v>2</v>
      </c>
      <c r="AL112">
        <v>0</v>
      </c>
      <c r="AM112">
        <v>0</v>
      </c>
    </row>
    <row r="113" spans="1:39" x14ac:dyDescent="0.25">
      <c r="A113">
        <v>111</v>
      </c>
      <c r="B113" t="s">
        <v>49</v>
      </c>
      <c r="C113" s="1" t="s">
        <v>13</v>
      </c>
      <c r="D113" s="1" t="s">
        <v>33</v>
      </c>
      <c r="E113">
        <v>80</v>
      </c>
      <c r="F113">
        <v>85</v>
      </c>
      <c r="G113">
        <v>95</v>
      </c>
      <c r="H113">
        <v>30</v>
      </c>
      <c r="I113">
        <v>30</v>
      </c>
      <c r="J113">
        <v>25</v>
      </c>
      <c r="K113" t="s">
        <v>393</v>
      </c>
      <c r="L113" t="s">
        <v>304</v>
      </c>
      <c r="M113" t="s">
        <v>300</v>
      </c>
      <c r="N113">
        <f t="shared" si="70"/>
        <v>5.55</v>
      </c>
      <c r="O113">
        <f t="shared" si="71"/>
        <v>6.95</v>
      </c>
      <c r="P113">
        <v>0</v>
      </c>
      <c r="Q113">
        <v>0</v>
      </c>
      <c r="R113" s="2">
        <f t="shared" si="72"/>
        <v>6</v>
      </c>
      <c r="S113" s="2">
        <f t="shared" si="73"/>
        <v>7</v>
      </c>
      <c r="T113" s="2">
        <f t="shared" si="74"/>
        <v>13</v>
      </c>
      <c r="U113" t="str">
        <f t="shared" si="68"/>
        <v>ground</v>
      </c>
      <c r="V113" t="str">
        <f>IF(D113 = 0, "", D113)</f>
        <v>rock</v>
      </c>
      <c r="W113" t="s">
        <v>7</v>
      </c>
      <c r="X113" t="s">
        <v>22</v>
      </c>
      <c r="Y113" t="str">
        <f>B114</f>
        <v>Rhydon</v>
      </c>
      <c r="Z113" s="2">
        <f t="shared" si="69"/>
        <v>7</v>
      </c>
      <c r="AA113" t="str">
        <f t="shared" si="61"/>
        <v>Rhyhorn</v>
      </c>
      <c r="AC113" t="s">
        <v>640</v>
      </c>
      <c r="AD113" t="str">
        <f>VLOOKUP(AC113,moves!A:B,2,FALSE)</f>
        <v>rock</v>
      </c>
      <c r="AE113">
        <f>VLOOKUP(AC113,moves!A:D,4,FALSE)</f>
        <v>2</v>
      </c>
      <c r="AF113">
        <f>VLOOKUP(AC113,moves!A:F,5,FALSE)</f>
        <v>0</v>
      </c>
      <c r="AG113">
        <v>0</v>
      </c>
      <c r="AH113">
        <v>0</v>
      </c>
      <c r="AI113" t="str" cm="1">
        <f t="array" ref="AI113">_xlfn.IFS(AG113=1, "starter", AH113=1, "legendary",T113&lt; 13, "weak",T113&lt; 17, "moderate", TRUE, "strong")</f>
        <v>moderate</v>
      </c>
      <c r="AK113">
        <v>1</v>
      </c>
      <c r="AL113">
        <v>0</v>
      </c>
      <c r="AM113">
        <v>0</v>
      </c>
    </row>
    <row r="114" spans="1:39" x14ac:dyDescent="0.25">
      <c r="A114">
        <v>112</v>
      </c>
      <c r="B114" t="s">
        <v>50</v>
      </c>
      <c r="C114" s="1" t="s">
        <v>13</v>
      </c>
      <c r="D114" s="1" t="s">
        <v>33</v>
      </c>
      <c r="E114">
        <v>105</v>
      </c>
      <c r="F114">
        <v>130</v>
      </c>
      <c r="G114">
        <v>120</v>
      </c>
      <c r="H114">
        <v>45</v>
      </c>
      <c r="I114">
        <v>45</v>
      </c>
      <c r="J114">
        <v>40</v>
      </c>
      <c r="K114" t="s">
        <v>394</v>
      </c>
      <c r="L114" t="s">
        <v>304</v>
      </c>
      <c r="M114" t="s">
        <v>300</v>
      </c>
      <c r="N114">
        <f t="shared" si="70"/>
        <v>8.5500000000000007</v>
      </c>
      <c r="O114">
        <f t="shared" si="71"/>
        <v>9.15</v>
      </c>
      <c r="P114">
        <v>0</v>
      </c>
      <c r="Q114">
        <v>0</v>
      </c>
      <c r="R114" s="2">
        <f t="shared" si="72"/>
        <v>9</v>
      </c>
      <c r="S114" s="2">
        <f t="shared" si="73"/>
        <v>9</v>
      </c>
      <c r="T114" s="2">
        <f t="shared" si="74"/>
        <v>18</v>
      </c>
      <c r="U114" t="str">
        <f t="shared" si="68"/>
        <v>ground</v>
      </c>
      <c r="V114" t="str">
        <f>IF(D114 = 0, "", D114)</f>
        <v>rock</v>
      </c>
      <c r="W114" t="s">
        <v>7</v>
      </c>
      <c r="X114" t="s">
        <v>22</v>
      </c>
      <c r="Y114" t="str">
        <f>B115</f>
        <v>Rhyperior</v>
      </c>
      <c r="Z114" s="2">
        <f t="shared" si="69"/>
        <v>3</v>
      </c>
      <c r="AA114" t="str">
        <f t="shared" si="61"/>
        <v>Rhydon</v>
      </c>
      <c r="AC114" t="s">
        <v>485</v>
      </c>
      <c r="AD114" t="str">
        <f>VLOOKUP(AC114,moves!A:B,2,FALSE)</f>
        <v>ground</v>
      </c>
      <c r="AE114">
        <f>VLOOKUP(AC114,moves!A:D,4,FALSE)</f>
        <v>5</v>
      </c>
      <c r="AF114">
        <f>VLOOKUP(AC114,moves!A:F,5,FALSE)</f>
        <v>0</v>
      </c>
      <c r="AG114">
        <v>0</v>
      </c>
      <c r="AH114">
        <v>0</v>
      </c>
      <c r="AI114" t="str" cm="1">
        <f t="array" ref="AI114">_xlfn.IFS(AG114=1, "starter", AH114=1, "legendary",T114&lt; 13, "weak",T114&lt; 17, "moderate", TRUE, "strong")</f>
        <v>strong</v>
      </c>
      <c r="AK114">
        <v>2</v>
      </c>
      <c r="AL114">
        <v>0</v>
      </c>
      <c r="AM114">
        <v>0</v>
      </c>
    </row>
    <row r="115" spans="1:39" x14ac:dyDescent="0.25">
      <c r="A115">
        <v>464</v>
      </c>
      <c r="B115" t="s">
        <v>218</v>
      </c>
      <c r="C115" s="1" t="s">
        <v>13</v>
      </c>
      <c r="D115" s="1" t="s">
        <v>33</v>
      </c>
      <c r="E115">
        <v>115</v>
      </c>
      <c r="F115">
        <v>140</v>
      </c>
      <c r="G115">
        <v>130</v>
      </c>
      <c r="H115">
        <v>55</v>
      </c>
      <c r="I115">
        <v>55</v>
      </c>
      <c r="J115">
        <v>40</v>
      </c>
      <c r="K115" t="s">
        <v>394</v>
      </c>
      <c r="L115" t="s">
        <v>304</v>
      </c>
      <c r="M115" t="s">
        <v>300</v>
      </c>
      <c r="N115">
        <f t="shared" si="70"/>
        <v>9.15</v>
      </c>
      <c r="O115">
        <f t="shared" si="71"/>
        <v>10.15</v>
      </c>
      <c r="P115">
        <v>0</v>
      </c>
      <c r="Q115">
        <v>0</v>
      </c>
      <c r="R115" s="2">
        <f t="shared" si="72"/>
        <v>9</v>
      </c>
      <c r="S115" s="2">
        <f t="shared" si="73"/>
        <v>10</v>
      </c>
      <c r="T115" s="2">
        <f t="shared" si="74"/>
        <v>19</v>
      </c>
      <c r="U115" t="str">
        <f t="shared" si="68"/>
        <v>ground</v>
      </c>
      <c r="V115" t="str">
        <f>IF(D115 = 0, "", D115)</f>
        <v>rock</v>
      </c>
      <c r="W115" t="s">
        <v>7</v>
      </c>
      <c r="X115" t="s">
        <v>22</v>
      </c>
      <c r="Z115" s="2" t="str">
        <f t="shared" si="69"/>
        <v/>
      </c>
      <c r="AA115" t="str">
        <f t="shared" si="61"/>
        <v>Rhyperior</v>
      </c>
      <c r="AC115" t="s">
        <v>500</v>
      </c>
      <c r="AD115" t="str">
        <f>VLOOKUP(AC115,moves!A:B,2,FALSE)</f>
        <v>rock</v>
      </c>
      <c r="AE115">
        <f>VLOOKUP(AC115,moves!A:D,4,FALSE)</f>
        <v>6</v>
      </c>
      <c r="AF115" t="str">
        <f>VLOOKUP(AC115,moves!A:F,5,FALSE)</f>
        <v>decisive</v>
      </c>
      <c r="AG115">
        <v>0</v>
      </c>
      <c r="AH115">
        <v>0</v>
      </c>
      <c r="AI115" t="str" cm="1">
        <f t="array" ref="AI115">_xlfn.IFS(AG115=1, "starter", AH115=1, "legendary",T115&lt; 13, "weak",T115&lt; 17, "moderate", TRUE, "strong")</f>
        <v>strong</v>
      </c>
      <c r="AK115">
        <v>3</v>
      </c>
      <c r="AL115">
        <v>0</v>
      </c>
      <c r="AM115">
        <v>0</v>
      </c>
    </row>
    <row r="116" spans="1:39" x14ac:dyDescent="0.25">
      <c r="A116">
        <v>114</v>
      </c>
      <c r="B116" t="s">
        <v>52</v>
      </c>
      <c r="C116" s="1" t="s">
        <v>2</v>
      </c>
      <c r="E116">
        <v>65</v>
      </c>
      <c r="F116">
        <v>55</v>
      </c>
      <c r="G116">
        <v>115</v>
      </c>
      <c r="H116">
        <v>100</v>
      </c>
      <c r="I116">
        <v>40</v>
      </c>
      <c r="J116">
        <v>60</v>
      </c>
      <c r="K116" t="s">
        <v>395</v>
      </c>
      <c r="L116" t="s">
        <v>298</v>
      </c>
      <c r="M116" t="s">
        <v>302</v>
      </c>
      <c r="N116">
        <f t="shared" si="70"/>
        <v>7.95</v>
      </c>
      <c r="O116">
        <f t="shared" si="71"/>
        <v>7.25</v>
      </c>
      <c r="P116">
        <v>0</v>
      </c>
      <c r="Q116">
        <v>0</v>
      </c>
      <c r="R116" s="2">
        <f t="shared" si="72"/>
        <v>8</v>
      </c>
      <c r="S116" s="2">
        <f t="shared" si="73"/>
        <v>7</v>
      </c>
      <c r="T116" s="2">
        <f t="shared" si="74"/>
        <v>15</v>
      </c>
      <c r="U116" t="str">
        <f t="shared" si="68"/>
        <v>grass</v>
      </c>
      <c r="V116" s="1" t="s">
        <v>33</v>
      </c>
      <c r="W116" t="s">
        <v>3</v>
      </c>
      <c r="X116" t="s">
        <v>13</v>
      </c>
      <c r="Y116" t="str">
        <f>B117</f>
        <v>Tangrowth</v>
      </c>
      <c r="Z116" s="2">
        <f t="shared" si="69"/>
        <v>7</v>
      </c>
      <c r="AA116" t="str">
        <f t="shared" si="61"/>
        <v>Tangela</v>
      </c>
      <c r="AC116" t="s">
        <v>535</v>
      </c>
      <c r="AD116" t="str">
        <f>VLOOKUP(AC116,moves!A:B,2,FALSE)</f>
        <v>rock</v>
      </c>
      <c r="AE116">
        <f>VLOOKUP(AC116,moves!A:D,4,FALSE)</f>
        <v>2</v>
      </c>
      <c r="AF116" t="str">
        <f>VLOOKUP(AC116,moves!A:F,5,FALSE)</f>
        <v>boost</v>
      </c>
      <c r="AG116">
        <v>0</v>
      </c>
      <c r="AH116">
        <v>0</v>
      </c>
      <c r="AI116" t="str" cm="1">
        <f t="array" ref="AI116">_xlfn.IFS(AG116=1, "starter", AH116=1, "legendary",T116&lt; 13, "weak",T116&lt; 17, "moderate", TRUE, "strong")</f>
        <v>moderate</v>
      </c>
      <c r="AK116">
        <v>1</v>
      </c>
      <c r="AL116">
        <v>0</v>
      </c>
      <c r="AM116">
        <v>0</v>
      </c>
    </row>
    <row r="117" spans="1:39" x14ac:dyDescent="0.25">
      <c r="A117">
        <v>465</v>
      </c>
      <c r="B117" t="s">
        <v>219</v>
      </c>
      <c r="C117" s="1" t="s">
        <v>2</v>
      </c>
      <c r="E117">
        <v>100</v>
      </c>
      <c r="F117">
        <v>100</v>
      </c>
      <c r="G117">
        <v>125</v>
      </c>
      <c r="H117">
        <v>110</v>
      </c>
      <c r="I117">
        <v>50</v>
      </c>
      <c r="J117">
        <v>50</v>
      </c>
      <c r="K117" t="s">
        <v>395</v>
      </c>
      <c r="L117" t="s">
        <v>298</v>
      </c>
      <c r="M117" t="s">
        <v>302</v>
      </c>
      <c r="N117">
        <f t="shared" si="70"/>
        <v>8.5</v>
      </c>
      <c r="O117">
        <f t="shared" si="71"/>
        <v>9.25</v>
      </c>
      <c r="P117">
        <v>0</v>
      </c>
      <c r="Q117">
        <v>1</v>
      </c>
      <c r="R117" s="2">
        <f t="shared" si="72"/>
        <v>9</v>
      </c>
      <c r="S117" s="2">
        <f t="shared" si="73"/>
        <v>10</v>
      </c>
      <c r="T117" s="2">
        <f t="shared" si="74"/>
        <v>19</v>
      </c>
      <c r="U117" t="str">
        <f t="shared" si="68"/>
        <v>grass</v>
      </c>
      <c r="V117" s="1" t="s">
        <v>33</v>
      </c>
      <c r="W117" t="s">
        <v>3</v>
      </c>
      <c r="X117" t="s">
        <v>13</v>
      </c>
      <c r="Z117" s="2" t="str">
        <f t="shared" si="69"/>
        <v/>
      </c>
      <c r="AA117" t="str">
        <f t="shared" si="61"/>
        <v>Tangrowth</v>
      </c>
      <c r="AC117" t="s">
        <v>1203</v>
      </c>
      <c r="AD117" t="str">
        <f>VLOOKUP(AC117,moves!A:B,2,FALSE)</f>
        <v>grass</v>
      </c>
      <c r="AE117">
        <f>VLOOKUP(AC117,moves!A:D,4,FALSE)</f>
        <v>4</v>
      </c>
      <c r="AF117" t="str">
        <f>VLOOKUP(AC117,moves!A:F,5,FALSE)</f>
        <v>decisive</v>
      </c>
      <c r="AG117">
        <v>0</v>
      </c>
      <c r="AH117">
        <v>0</v>
      </c>
      <c r="AI117" t="str" cm="1">
        <f t="array" ref="AI117">_xlfn.IFS(AG117=1, "starter", AH117=1, "legendary",T117&lt; 13, "weak",T117&lt; 17, "moderate", TRUE, "strong")</f>
        <v>strong</v>
      </c>
      <c r="AK117">
        <v>2</v>
      </c>
      <c r="AL117">
        <v>0</v>
      </c>
      <c r="AM117">
        <v>0</v>
      </c>
    </row>
    <row r="118" spans="1:39" x14ac:dyDescent="0.25">
      <c r="A118">
        <v>239</v>
      </c>
      <c r="B118" t="s">
        <v>104</v>
      </c>
      <c r="C118" s="1" t="s">
        <v>11</v>
      </c>
      <c r="E118">
        <v>45</v>
      </c>
      <c r="F118">
        <v>63</v>
      </c>
      <c r="G118">
        <v>37</v>
      </c>
      <c r="H118">
        <v>65</v>
      </c>
      <c r="I118">
        <v>55</v>
      </c>
      <c r="J118">
        <v>95</v>
      </c>
      <c r="K118" t="s">
        <v>396</v>
      </c>
      <c r="L118" t="s">
        <v>301</v>
      </c>
      <c r="M118" t="s">
        <v>302</v>
      </c>
      <c r="N118">
        <f t="shared" si="70"/>
        <v>7.68</v>
      </c>
      <c r="O118">
        <f t="shared" si="71"/>
        <v>4.5600000000000005</v>
      </c>
      <c r="P118">
        <v>0</v>
      </c>
      <c r="Q118">
        <v>0</v>
      </c>
      <c r="R118" s="2">
        <f t="shared" si="72"/>
        <v>8</v>
      </c>
      <c r="S118" s="2">
        <f t="shared" si="73"/>
        <v>5</v>
      </c>
      <c r="T118" s="2">
        <f t="shared" si="74"/>
        <v>13</v>
      </c>
      <c r="U118" t="str">
        <f t="shared" si="68"/>
        <v>electric</v>
      </c>
      <c r="V118" t="s">
        <v>22</v>
      </c>
      <c r="W118" t="s">
        <v>8</v>
      </c>
      <c r="X118" t="s">
        <v>4</v>
      </c>
      <c r="Y118" t="str">
        <f>B119</f>
        <v>Electabuzz</v>
      </c>
      <c r="Z118" s="2">
        <f t="shared" si="69"/>
        <v>6</v>
      </c>
      <c r="AA118" t="str">
        <f t="shared" si="61"/>
        <v>Elekid</v>
      </c>
      <c r="AC118" t="s">
        <v>569</v>
      </c>
      <c r="AD118" t="str">
        <f>VLOOKUP(AC118,moves!A:B,2,FALSE)</f>
        <v>electric</v>
      </c>
      <c r="AE118">
        <f>VLOOKUP(AC118,moves!A:D,4,FALSE)</f>
        <v>2</v>
      </c>
      <c r="AF118">
        <f>VLOOKUP(AC118,moves!A:F,5,FALSE)</f>
        <v>0</v>
      </c>
      <c r="AG118">
        <v>0</v>
      </c>
      <c r="AH118">
        <v>0</v>
      </c>
      <c r="AI118" t="str" cm="1">
        <f t="array" ref="AI118">_xlfn.IFS(AG118=1, "starter", AH118=1, "legendary",T118&lt; 13, "weak",T118&lt; 17, "moderate", TRUE, "strong")</f>
        <v>moderate</v>
      </c>
      <c r="AK118">
        <v>1</v>
      </c>
      <c r="AL118">
        <v>0</v>
      </c>
      <c r="AM118">
        <v>0</v>
      </c>
    </row>
    <row r="119" spans="1:39" x14ac:dyDescent="0.25">
      <c r="A119">
        <v>125</v>
      </c>
      <c r="B119" t="s">
        <v>54</v>
      </c>
      <c r="C119" s="1" t="s">
        <v>11</v>
      </c>
      <c r="E119">
        <v>65</v>
      </c>
      <c r="F119">
        <v>83</v>
      </c>
      <c r="G119">
        <v>57</v>
      </c>
      <c r="H119">
        <v>95</v>
      </c>
      <c r="I119">
        <v>85</v>
      </c>
      <c r="J119">
        <v>105</v>
      </c>
      <c r="K119" t="s">
        <v>396</v>
      </c>
      <c r="L119" t="s">
        <v>301</v>
      </c>
      <c r="M119" t="s">
        <v>302</v>
      </c>
      <c r="N119">
        <f t="shared" si="70"/>
        <v>9.7799999999999994</v>
      </c>
      <c r="O119">
        <f t="shared" si="71"/>
        <v>6.8599999999999994</v>
      </c>
      <c r="P119">
        <v>0</v>
      </c>
      <c r="Q119">
        <v>0</v>
      </c>
      <c r="R119" s="2">
        <f t="shared" si="72"/>
        <v>10</v>
      </c>
      <c r="S119" s="2">
        <f t="shared" si="73"/>
        <v>7</v>
      </c>
      <c r="T119" s="2">
        <f t="shared" si="74"/>
        <v>17</v>
      </c>
      <c r="U119" t="str">
        <f t="shared" si="68"/>
        <v>electric</v>
      </c>
      <c r="V119" t="s">
        <v>22</v>
      </c>
      <c r="W119" t="s">
        <v>8</v>
      </c>
      <c r="X119" t="s">
        <v>4</v>
      </c>
      <c r="Y119" t="str">
        <f>B120</f>
        <v>Electivire</v>
      </c>
      <c r="Z119" s="2">
        <f t="shared" si="69"/>
        <v>4</v>
      </c>
      <c r="AA119" t="str">
        <f>B119</f>
        <v>Electabuzz</v>
      </c>
      <c r="AC119" t="s">
        <v>486</v>
      </c>
      <c r="AD119" t="str">
        <f>VLOOKUP(AC119,moves!A:B,2,FALSE)</f>
        <v>electric</v>
      </c>
      <c r="AE119">
        <f>VLOOKUP(AC119,moves!A:D,4,FALSE)</f>
        <v>4</v>
      </c>
      <c r="AF119">
        <f>VLOOKUP(AC119,moves!A:F,5,FALSE)</f>
        <v>0</v>
      </c>
      <c r="AG119">
        <v>0</v>
      </c>
      <c r="AH119">
        <v>0</v>
      </c>
      <c r="AI119" t="str" cm="1">
        <f t="array" ref="AI119">_xlfn.IFS(AG119=1, "starter", AH119=1, "legendary",T119&lt; 13, "weak",T119&lt; 17, "moderate", TRUE, "strong")</f>
        <v>strong</v>
      </c>
      <c r="AK119">
        <v>2</v>
      </c>
      <c r="AL119">
        <v>0</v>
      </c>
      <c r="AM119">
        <v>0</v>
      </c>
    </row>
    <row r="120" spans="1:39" x14ac:dyDescent="0.25">
      <c r="A120">
        <v>466</v>
      </c>
      <c r="B120" t="s">
        <v>220</v>
      </c>
      <c r="C120" s="1" t="s">
        <v>11</v>
      </c>
      <c r="E120">
        <v>75</v>
      </c>
      <c r="F120">
        <v>123</v>
      </c>
      <c r="G120">
        <v>67</v>
      </c>
      <c r="H120">
        <v>95</v>
      </c>
      <c r="I120">
        <v>85</v>
      </c>
      <c r="J120">
        <v>95</v>
      </c>
      <c r="K120" t="s">
        <v>397</v>
      </c>
      <c r="L120" t="s">
        <v>301</v>
      </c>
      <c r="M120" t="s">
        <v>302</v>
      </c>
      <c r="N120">
        <f t="shared" si="70"/>
        <v>10.9</v>
      </c>
      <c r="O120">
        <f t="shared" si="71"/>
        <v>7.56</v>
      </c>
      <c r="P120">
        <v>0</v>
      </c>
      <c r="Q120">
        <v>0</v>
      </c>
      <c r="R120" s="2">
        <f t="shared" si="72"/>
        <v>11</v>
      </c>
      <c r="S120" s="2">
        <f t="shared" si="73"/>
        <v>8</v>
      </c>
      <c r="T120" s="2">
        <f t="shared" si="74"/>
        <v>19</v>
      </c>
      <c r="U120" t="str">
        <f t="shared" si="68"/>
        <v>electric</v>
      </c>
      <c r="V120" t="s">
        <v>22</v>
      </c>
      <c r="W120" t="s">
        <v>8</v>
      </c>
      <c r="X120" t="s">
        <v>4</v>
      </c>
      <c r="Z120" s="2" t="str">
        <f>IF(ISBLANK(Y120), "", ROUND(( (T122-6)*(T122-7) - (T120-6)*(T120-7) )/15, 0) + 1)</f>
        <v/>
      </c>
      <c r="AA120" t="str">
        <f t="shared" si="61"/>
        <v>Electivire</v>
      </c>
      <c r="AC120" t="s">
        <v>672</v>
      </c>
      <c r="AD120" t="str">
        <f>VLOOKUP(AC120,moves!A:B,2,FALSE)</f>
        <v>electric</v>
      </c>
      <c r="AE120">
        <f>VLOOKUP(AC120,moves!A:D,4,FALSE)</f>
        <v>4</v>
      </c>
      <c r="AF120">
        <f>VLOOKUP(AC120,moves!A:F,5,FALSE)</f>
        <v>0</v>
      </c>
      <c r="AG120">
        <v>0</v>
      </c>
      <c r="AH120">
        <v>0</v>
      </c>
      <c r="AI120" t="str" cm="1">
        <f t="array" ref="AI120">_xlfn.IFS(AG120=1, "starter", AH120=1, "legendary",T120&lt; 13, "weak",T120&lt; 17, "moderate", TRUE, "strong")</f>
        <v>strong</v>
      </c>
      <c r="AK120">
        <v>3</v>
      </c>
      <c r="AL120">
        <v>0</v>
      </c>
      <c r="AM120">
        <v>0</v>
      </c>
    </row>
    <row r="121" spans="1:39" x14ac:dyDescent="0.25">
      <c r="A121" s="9" t="s">
        <v>1335</v>
      </c>
      <c r="B121" t="s">
        <v>1354</v>
      </c>
      <c r="C121" s="1" t="s">
        <v>11</v>
      </c>
      <c r="D121" s="1" t="s">
        <v>2</v>
      </c>
      <c r="E121">
        <v>75</v>
      </c>
      <c r="F121">
        <v>123</v>
      </c>
      <c r="G121">
        <v>67</v>
      </c>
      <c r="H121">
        <v>95</v>
      </c>
      <c r="I121">
        <v>85</v>
      </c>
      <c r="J121">
        <v>95</v>
      </c>
      <c r="K121" t="s">
        <v>595</v>
      </c>
      <c r="M121" t="s">
        <v>1339</v>
      </c>
      <c r="N121">
        <f t="shared" ref="N121" si="108">(0.4*J121 + 0.5*MAX(F121,H121) + 0.1*MIN(F121,H121)) / 10</f>
        <v>10.9</v>
      </c>
      <c r="O121">
        <f t="shared" ref="O121" si="109">(0.4*E121 + 0.3*G121 + 0.3*I121) / 10</f>
        <v>7.56</v>
      </c>
      <c r="P121">
        <v>0</v>
      </c>
      <c r="Q121">
        <v>2</v>
      </c>
      <c r="R121" s="2">
        <f t="shared" ref="R121" si="110">ROUND(N121,0)+P121</f>
        <v>11</v>
      </c>
      <c r="S121" s="2">
        <f t="shared" ref="S121" si="111">ROUND(O121,0)+Q121</f>
        <v>10</v>
      </c>
      <c r="T121" s="2">
        <f t="shared" ref="T121" si="112">SUM(ROUND(R121,0),ROUND(S121,0))</f>
        <v>21</v>
      </c>
      <c r="U121" t="str">
        <f t="shared" ref="U121" si="113">C121</f>
        <v>electric</v>
      </c>
      <c r="V121" t="str">
        <f t="shared" ref="V121" si="114">IF(D121 = 0, "", D121)</f>
        <v>grass</v>
      </c>
      <c r="W121" t="s">
        <v>8</v>
      </c>
      <c r="X121" t="s">
        <v>4</v>
      </c>
      <c r="Z121" s="2" t="str">
        <f>IF(ISBLANK(Y121), "", ROUND(( (T123-6)*(T123-7) - (T121-6)*(T121-7) )/15, 0) + 1)</f>
        <v/>
      </c>
      <c r="AA121" t="s">
        <v>220</v>
      </c>
      <c r="AB121" t="s">
        <v>1343</v>
      </c>
      <c r="AC121" t="s">
        <v>1364</v>
      </c>
      <c r="AD121" t="str">
        <f>VLOOKUP(AC121,moves!A:B,2,FALSE)</f>
        <v>grass</v>
      </c>
      <c r="AE121">
        <f>VLOOKUP(AC121,moves!A:D,4,FALSE)</f>
        <v>4</v>
      </c>
      <c r="AF121">
        <f>VLOOKUP(AC121,moves!A:F,5,FALSE)</f>
        <v>0</v>
      </c>
      <c r="AG121">
        <v>0</v>
      </c>
      <c r="AH121">
        <v>1</v>
      </c>
      <c r="AI121" t="str" cm="1">
        <f t="array" ref="AI121">_xlfn.IFS(AG121=1, "starter", AH121=1, "legendary",T121&lt; 13, "weak",T121&lt; 17, "moderate", TRUE, "strong")</f>
        <v>legendary</v>
      </c>
      <c r="AK121">
        <v>1</v>
      </c>
      <c r="AL121">
        <v>0</v>
      </c>
      <c r="AM121">
        <v>0</v>
      </c>
    </row>
    <row r="122" spans="1:39" x14ac:dyDescent="0.25">
      <c r="A122">
        <v>240</v>
      </c>
      <c r="B122" t="s">
        <v>105</v>
      </c>
      <c r="C122" s="1" t="s">
        <v>4</v>
      </c>
      <c r="E122">
        <v>45</v>
      </c>
      <c r="F122">
        <v>75</v>
      </c>
      <c r="G122">
        <v>37</v>
      </c>
      <c r="H122">
        <v>70</v>
      </c>
      <c r="I122">
        <v>55</v>
      </c>
      <c r="J122">
        <v>83</v>
      </c>
      <c r="K122" t="s">
        <v>398</v>
      </c>
      <c r="L122" t="s">
        <v>304</v>
      </c>
      <c r="M122" t="s">
        <v>302</v>
      </c>
      <c r="N122">
        <f t="shared" si="70"/>
        <v>7.7700000000000005</v>
      </c>
      <c r="O122">
        <f t="shared" si="71"/>
        <v>4.5600000000000005</v>
      </c>
      <c r="P122">
        <v>0</v>
      </c>
      <c r="Q122">
        <v>0</v>
      </c>
      <c r="R122" s="2">
        <f t="shared" si="72"/>
        <v>8</v>
      </c>
      <c r="S122" s="2">
        <f t="shared" si="73"/>
        <v>5</v>
      </c>
      <c r="T122" s="2">
        <f t="shared" si="74"/>
        <v>13</v>
      </c>
      <c r="U122" t="str">
        <f t="shared" si="68"/>
        <v>fire</v>
      </c>
      <c r="V122" t="s">
        <v>13</v>
      </c>
      <c r="W122" t="s">
        <v>8</v>
      </c>
      <c r="X122" t="s">
        <v>11</v>
      </c>
      <c r="Y122" t="str">
        <f>B123</f>
        <v>Magmar</v>
      </c>
      <c r="Z122" s="2">
        <f t="shared" si="69"/>
        <v>6</v>
      </c>
      <c r="AA122" t="str">
        <f t="shared" ref="AA122:AA202" si="115">B122</f>
        <v>Magby</v>
      </c>
      <c r="AC122" t="s">
        <v>824</v>
      </c>
      <c r="AD122" t="str">
        <f>VLOOKUP(AC122,moves!A:B,2,FALSE)</f>
        <v>fire</v>
      </c>
      <c r="AE122">
        <f>VLOOKUP(AC122,moves!A:D,4,FALSE)</f>
        <v>2</v>
      </c>
      <c r="AF122">
        <f>VLOOKUP(AC122,moves!A:F,5,FALSE)</f>
        <v>0</v>
      </c>
      <c r="AG122">
        <v>0</v>
      </c>
      <c r="AH122">
        <v>0</v>
      </c>
      <c r="AI122" t="str" cm="1">
        <f t="array" ref="AI122">_xlfn.IFS(AG122=1, "starter", AH122=1, "legendary",T122&lt; 13, "weak",T122&lt; 17, "moderate", TRUE, "strong")</f>
        <v>moderate</v>
      </c>
      <c r="AK122">
        <v>1</v>
      </c>
      <c r="AL122">
        <v>0</v>
      </c>
      <c r="AM122">
        <v>0</v>
      </c>
    </row>
    <row r="123" spans="1:39" x14ac:dyDescent="0.25">
      <c r="A123">
        <v>126</v>
      </c>
      <c r="B123" t="s">
        <v>55</v>
      </c>
      <c r="C123" s="1" t="s">
        <v>4</v>
      </c>
      <c r="E123">
        <v>65</v>
      </c>
      <c r="F123">
        <v>95</v>
      </c>
      <c r="G123">
        <v>57</v>
      </c>
      <c r="H123">
        <v>100</v>
      </c>
      <c r="I123">
        <v>85</v>
      </c>
      <c r="J123">
        <v>93</v>
      </c>
      <c r="K123" t="s">
        <v>399</v>
      </c>
      <c r="L123" t="s">
        <v>304</v>
      </c>
      <c r="M123" t="s">
        <v>302</v>
      </c>
      <c r="N123">
        <f t="shared" si="70"/>
        <v>9.67</v>
      </c>
      <c r="O123">
        <f t="shared" si="71"/>
        <v>6.8599999999999994</v>
      </c>
      <c r="P123">
        <v>0</v>
      </c>
      <c r="Q123">
        <v>0</v>
      </c>
      <c r="R123" s="2">
        <f t="shared" si="72"/>
        <v>10</v>
      </c>
      <c r="S123" s="2">
        <f t="shared" si="73"/>
        <v>7</v>
      </c>
      <c r="T123" s="2">
        <f t="shared" si="74"/>
        <v>17</v>
      </c>
      <c r="U123" t="str">
        <f t="shared" si="68"/>
        <v>fire</v>
      </c>
      <c r="V123" t="s">
        <v>13</v>
      </c>
      <c r="W123" t="s">
        <v>8</v>
      </c>
      <c r="X123" t="s">
        <v>11</v>
      </c>
      <c r="Y123" t="str">
        <f>B124</f>
        <v>Magmortar</v>
      </c>
      <c r="Z123" s="2">
        <f t="shared" si="69"/>
        <v>4</v>
      </c>
      <c r="AA123" t="str">
        <f t="shared" si="115"/>
        <v>Magmar</v>
      </c>
      <c r="AC123" t="s">
        <v>481</v>
      </c>
      <c r="AD123" t="str">
        <f>VLOOKUP(AC123,moves!A:B,2,FALSE)</f>
        <v>fire</v>
      </c>
      <c r="AE123">
        <f>VLOOKUP(AC123,moves!A:D,4,FALSE)</f>
        <v>4</v>
      </c>
      <c r="AF123">
        <f>VLOOKUP(AC123,moves!A:F,5,FALSE)</f>
        <v>0</v>
      </c>
      <c r="AG123">
        <v>0</v>
      </c>
      <c r="AH123">
        <v>0</v>
      </c>
      <c r="AI123" t="str" cm="1">
        <f t="array" ref="AI123">_xlfn.IFS(AG123=1, "starter", AH123=1, "legendary",T123&lt; 13, "weak",T123&lt; 17, "moderate", TRUE, "strong")</f>
        <v>strong</v>
      </c>
      <c r="AK123">
        <v>2</v>
      </c>
      <c r="AL123">
        <v>0</v>
      </c>
      <c r="AM123">
        <v>0</v>
      </c>
    </row>
    <row r="124" spans="1:39" x14ac:dyDescent="0.25">
      <c r="A124">
        <v>467</v>
      </c>
      <c r="B124" t="s">
        <v>221</v>
      </c>
      <c r="C124" s="1" t="s">
        <v>4</v>
      </c>
      <c r="E124">
        <v>75</v>
      </c>
      <c r="F124">
        <v>95</v>
      </c>
      <c r="G124">
        <v>67</v>
      </c>
      <c r="H124">
        <v>125</v>
      </c>
      <c r="I124">
        <v>95</v>
      </c>
      <c r="J124">
        <v>83</v>
      </c>
      <c r="K124" t="s">
        <v>400</v>
      </c>
      <c r="L124" t="s">
        <v>304</v>
      </c>
      <c r="M124" t="s">
        <v>302</v>
      </c>
      <c r="N124">
        <f t="shared" si="70"/>
        <v>10.52</v>
      </c>
      <c r="O124">
        <f t="shared" si="71"/>
        <v>7.8599999999999994</v>
      </c>
      <c r="P124">
        <v>0</v>
      </c>
      <c r="Q124">
        <v>0</v>
      </c>
      <c r="R124" s="2">
        <f t="shared" si="72"/>
        <v>11</v>
      </c>
      <c r="S124" s="2">
        <f t="shared" si="73"/>
        <v>8</v>
      </c>
      <c r="T124" s="2">
        <f t="shared" si="74"/>
        <v>19</v>
      </c>
      <c r="U124" t="str">
        <f t="shared" si="68"/>
        <v>fire</v>
      </c>
      <c r="V124" t="s">
        <v>13</v>
      </c>
      <c r="W124" t="s">
        <v>8</v>
      </c>
      <c r="X124" t="s">
        <v>11</v>
      </c>
      <c r="Z124" s="2" t="str">
        <f>IF(ISBLANK(Y124), "", ROUND(( (T126-6)*(T126-7) - (T124-6)*(T124-7) )/15, 0) + 1)</f>
        <v/>
      </c>
      <c r="AA124" t="str">
        <f t="shared" si="115"/>
        <v>Magmortar</v>
      </c>
      <c r="AC124" t="s">
        <v>825</v>
      </c>
      <c r="AD124" t="str">
        <f>VLOOKUP(AC124,moves!A:B,2,FALSE)</f>
        <v>fire</v>
      </c>
      <c r="AE124">
        <f>VLOOKUP(AC124,moves!A:D,4,FALSE)</f>
        <v>4</v>
      </c>
      <c r="AF124">
        <f>VLOOKUP(AC124,moves!A:F,5,FALSE)</f>
        <v>0</v>
      </c>
      <c r="AG124">
        <v>0</v>
      </c>
      <c r="AH124">
        <v>0</v>
      </c>
      <c r="AI124" t="str" cm="1">
        <f t="array" ref="AI124">_xlfn.IFS(AG124=1, "starter", AH124=1, "legendary",T124&lt; 13, "weak",T124&lt; 17, "moderate", TRUE, "strong")</f>
        <v>strong</v>
      </c>
      <c r="AK124">
        <v>3</v>
      </c>
      <c r="AL124">
        <v>0</v>
      </c>
      <c r="AM124">
        <v>0</v>
      </c>
    </row>
    <row r="125" spans="1:39" x14ac:dyDescent="0.25">
      <c r="A125" s="9" t="s">
        <v>1336</v>
      </c>
      <c r="B125" t="s">
        <v>1350</v>
      </c>
      <c r="C125" s="1" t="s">
        <v>4</v>
      </c>
      <c r="D125" s="1" t="s">
        <v>33</v>
      </c>
      <c r="E125">
        <v>75</v>
      </c>
      <c r="F125">
        <v>95</v>
      </c>
      <c r="G125">
        <v>67</v>
      </c>
      <c r="H125">
        <v>125</v>
      </c>
      <c r="I125">
        <v>95</v>
      </c>
      <c r="J125">
        <v>83</v>
      </c>
      <c r="K125" t="s">
        <v>595</v>
      </c>
      <c r="M125" t="s">
        <v>1339</v>
      </c>
      <c r="N125">
        <f t="shared" ref="N125" si="116">(0.4*J125 + 0.5*MAX(F125,H125) + 0.1*MIN(F125,H125)) / 10</f>
        <v>10.52</v>
      </c>
      <c r="O125">
        <f t="shared" ref="O125" si="117">(0.4*E125 + 0.3*G125 + 0.3*I125) / 10</f>
        <v>7.8599999999999994</v>
      </c>
      <c r="P125">
        <v>0</v>
      </c>
      <c r="Q125">
        <v>2</v>
      </c>
      <c r="R125" s="2">
        <f t="shared" ref="R125" si="118">ROUND(N125,0)+P125</f>
        <v>11</v>
      </c>
      <c r="S125" s="2">
        <f t="shared" ref="S125" si="119">ROUND(O125,0)+Q125</f>
        <v>10</v>
      </c>
      <c r="T125" s="2">
        <f t="shared" ref="T125" si="120">SUM(ROUND(R125,0),ROUND(S125,0))</f>
        <v>21</v>
      </c>
      <c r="U125" t="str">
        <f t="shared" ref="U125" si="121">C125</f>
        <v>fire</v>
      </c>
      <c r="V125" t="str">
        <f t="shared" ref="V125" si="122">IF(D125 = 0, "", D125)</f>
        <v>rock</v>
      </c>
      <c r="W125" t="s">
        <v>8</v>
      </c>
      <c r="X125" t="s">
        <v>11</v>
      </c>
      <c r="Z125" s="2" t="str">
        <f>IF(ISBLANK(Y125), "", ROUND(( (T127-6)*(T127-7) - (T125-6)*(T125-7) )/15, 0) + 1)</f>
        <v/>
      </c>
      <c r="AA125" t="s">
        <v>221</v>
      </c>
      <c r="AB125" t="s">
        <v>1342</v>
      </c>
      <c r="AC125" t="s">
        <v>1367</v>
      </c>
      <c r="AD125" t="str">
        <f>VLOOKUP(AC125,moves!A:B,2,FALSE)</f>
        <v>rock</v>
      </c>
      <c r="AE125">
        <f>VLOOKUP(AC125,moves!A:D,4,FALSE)</f>
        <v>4</v>
      </c>
      <c r="AF125">
        <f>VLOOKUP(AC125,moves!A:F,5,FALSE)</f>
        <v>0</v>
      </c>
      <c r="AG125">
        <v>0</v>
      </c>
      <c r="AH125">
        <v>1</v>
      </c>
      <c r="AI125" t="str" cm="1">
        <f t="array" ref="AI125">_xlfn.IFS(AG125=1, "starter", AH125=1, "legendary",T125&lt; 13, "weak",T125&lt; 17, "moderate", TRUE, "strong")</f>
        <v>legendary</v>
      </c>
      <c r="AK125">
        <v>1</v>
      </c>
      <c r="AL125">
        <v>0</v>
      </c>
      <c r="AM125">
        <v>0</v>
      </c>
    </row>
    <row r="126" spans="1:39" x14ac:dyDescent="0.25">
      <c r="A126">
        <v>175</v>
      </c>
      <c r="B126" t="s">
        <v>73</v>
      </c>
      <c r="C126" s="1" t="s">
        <v>16</v>
      </c>
      <c r="E126">
        <v>35</v>
      </c>
      <c r="F126">
        <v>20</v>
      </c>
      <c r="G126">
        <v>65</v>
      </c>
      <c r="H126">
        <v>40</v>
      </c>
      <c r="I126">
        <v>65</v>
      </c>
      <c r="J126">
        <v>20</v>
      </c>
      <c r="K126" t="s">
        <v>401</v>
      </c>
      <c r="L126" t="s">
        <v>301</v>
      </c>
      <c r="M126" t="s">
        <v>302</v>
      </c>
      <c r="N126">
        <f t="shared" si="70"/>
        <v>3</v>
      </c>
      <c r="O126">
        <f t="shared" si="71"/>
        <v>5.3</v>
      </c>
      <c r="P126">
        <v>1</v>
      </c>
      <c r="Q126">
        <v>1</v>
      </c>
      <c r="R126" s="2">
        <f t="shared" si="72"/>
        <v>4</v>
      </c>
      <c r="S126" s="2">
        <f t="shared" si="73"/>
        <v>6</v>
      </c>
      <c r="T126" s="2">
        <f t="shared" si="74"/>
        <v>10</v>
      </c>
      <c r="U126" t="str">
        <f t="shared" si="68"/>
        <v>fairy</v>
      </c>
      <c r="V126" t="s">
        <v>5</v>
      </c>
      <c r="W126" t="s">
        <v>8</v>
      </c>
      <c r="X126" t="s">
        <v>22</v>
      </c>
      <c r="Y126" t="str">
        <f>B127</f>
        <v>Togetic</v>
      </c>
      <c r="Z126" s="2">
        <f t="shared" si="69"/>
        <v>4</v>
      </c>
      <c r="AA126" t="str">
        <f t="shared" si="115"/>
        <v>Togepi</v>
      </c>
      <c r="AC126" t="s">
        <v>1111</v>
      </c>
      <c r="AD126" t="str">
        <f>VLOOKUP(AC126,moves!A:B,2,FALSE)</f>
        <v>fairy</v>
      </c>
      <c r="AE126">
        <f>VLOOKUP(AC126,moves!A:D,4,FALSE)</f>
        <v>2</v>
      </c>
      <c r="AF126">
        <f>VLOOKUP(AC126,moves!A:F,5,FALSE)</f>
        <v>0</v>
      </c>
      <c r="AG126">
        <v>1</v>
      </c>
      <c r="AH126">
        <v>0</v>
      </c>
      <c r="AI126" t="str" cm="1">
        <f t="array" ref="AI126">_xlfn.IFS(AG126=1, "starter", AH126=1, "legendary",T126&lt; 13, "weak",T126&lt; 17, "moderate", TRUE, "strong")</f>
        <v>starter</v>
      </c>
      <c r="AK126">
        <v>1</v>
      </c>
      <c r="AL126">
        <v>0</v>
      </c>
      <c r="AM126">
        <v>0</v>
      </c>
    </row>
    <row r="127" spans="1:39" x14ac:dyDescent="0.25">
      <c r="A127">
        <v>176</v>
      </c>
      <c r="B127" t="s">
        <v>74</v>
      </c>
      <c r="C127" s="1" t="s">
        <v>16</v>
      </c>
      <c r="D127" s="1" t="s">
        <v>5</v>
      </c>
      <c r="E127">
        <v>55</v>
      </c>
      <c r="F127">
        <v>40</v>
      </c>
      <c r="G127">
        <v>85</v>
      </c>
      <c r="H127">
        <v>80</v>
      </c>
      <c r="I127">
        <v>105</v>
      </c>
      <c r="J127">
        <v>40</v>
      </c>
      <c r="K127" t="s">
        <v>369</v>
      </c>
      <c r="L127" t="s">
        <v>301</v>
      </c>
      <c r="M127" t="s">
        <v>302</v>
      </c>
      <c r="N127">
        <f t="shared" si="70"/>
        <v>6</v>
      </c>
      <c r="O127">
        <f t="shared" si="71"/>
        <v>7.9</v>
      </c>
      <c r="P127">
        <v>0</v>
      </c>
      <c r="Q127">
        <v>0</v>
      </c>
      <c r="R127" s="2">
        <f t="shared" si="72"/>
        <v>6</v>
      </c>
      <c r="S127" s="2">
        <f t="shared" si="73"/>
        <v>8</v>
      </c>
      <c r="T127" s="2">
        <f t="shared" si="74"/>
        <v>14</v>
      </c>
      <c r="U127" t="str">
        <f t="shared" si="68"/>
        <v>fairy</v>
      </c>
      <c r="V127" t="str">
        <f t="shared" ref="V127:V132" si="123">IF(D127 = 0, "", D127)</f>
        <v>flying</v>
      </c>
      <c r="W127" t="s">
        <v>8</v>
      </c>
      <c r="X127" t="s">
        <v>22</v>
      </c>
      <c r="Y127" t="str">
        <f>B128</f>
        <v>Togekiss</v>
      </c>
      <c r="Z127" s="2">
        <f t="shared" si="69"/>
        <v>9</v>
      </c>
      <c r="AA127" t="str">
        <f t="shared" si="115"/>
        <v>Togetic</v>
      </c>
      <c r="AC127" t="s">
        <v>719</v>
      </c>
      <c r="AD127" t="str">
        <f>VLOOKUP(AC127,moves!A:B,2,FALSE)</f>
        <v>fairy</v>
      </c>
      <c r="AE127">
        <f>VLOOKUP(AC127,moves!A:D,4,FALSE)</f>
        <v>4</v>
      </c>
      <c r="AF127">
        <f>VLOOKUP(AC127,moves!A:F,5,FALSE)</f>
        <v>0</v>
      </c>
      <c r="AG127">
        <v>0</v>
      </c>
      <c r="AH127">
        <v>0</v>
      </c>
      <c r="AI127" t="str" cm="1">
        <f t="array" ref="AI127">_xlfn.IFS(AG127=1, "starter", AH127=1, "legendary",T127&lt; 13, "weak",T127&lt; 17, "moderate", TRUE, "strong")</f>
        <v>moderate</v>
      </c>
      <c r="AK127">
        <v>2</v>
      </c>
      <c r="AL127">
        <v>0</v>
      </c>
      <c r="AM127">
        <v>0</v>
      </c>
    </row>
    <row r="128" spans="1:39" x14ac:dyDescent="0.25">
      <c r="A128">
        <v>468</v>
      </c>
      <c r="B128" t="s">
        <v>222</v>
      </c>
      <c r="C128" s="1" t="s">
        <v>16</v>
      </c>
      <c r="D128" s="1" t="s">
        <v>5</v>
      </c>
      <c r="E128">
        <v>85</v>
      </c>
      <c r="F128">
        <v>50</v>
      </c>
      <c r="G128">
        <v>95</v>
      </c>
      <c r="H128">
        <v>120</v>
      </c>
      <c r="I128">
        <v>115</v>
      </c>
      <c r="J128">
        <v>80</v>
      </c>
      <c r="K128" t="s">
        <v>402</v>
      </c>
      <c r="L128" t="s">
        <v>301</v>
      </c>
      <c r="M128" t="s">
        <v>302</v>
      </c>
      <c r="N128">
        <f t="shared" si="70"/>
        <v>9.6999999999999993</v>
      </c>
      <c r="O128">
        <f t="shared" si="71"/>
        <v>9.6999999999999993</v>
      </c>
      <c r="P128">
        <v>0</v>
      </c>
      <c r="Q128">
        <v>0</v>
      </c>
      <c r="R128" s="2">
        <f t="shared" si="72"/>
        <v>10</v>
      </c>
      <c r="S128" s="2">
        <f t="shared" si="73"/>
        <v>10</v>
      </c>
      <c r="T128" s="2">
        <f t="shared" si="74"/>
        <v>20</v>
      </c>
      <c r="U128" t="str">
        <f t="shared" si="68"/>
        <v>fairy</v>
      </c>
      <c r="V128" t="str">
        <f t="shared" si="123"/>
        <v>flying</v>
      </c>
      <c r="W128" t="s">
        <v>8</v>
      </c>
      <c r="X128" t="s">
        <v>22</v>
      </c>
      <c r="Z128" s="2" t="str">
        <f>IF(ISBLANK(Y128), "", ROUND(( (T130-6)*(T130-7) - (T128-6)*(T128-7) )/15, 0) + 1)</f>
        <v/>
      </c>
      <c r="AA128" t="str">
        <f t="shared" si="115"/>
        <v>Togekiss</v>
      </c>
      <c r="AC128" t="s">
        <v>516</v>
      </c>
      <c r="AD128" t="str">
        <f>VLOOKUP(AC128,moves!A:B,2,FALSE)</f>
        <v>flying</v>
      </c>
      <c r="AE128">
        <f>VLOOKUP(AC128,moves!A:D,4,FALSE)</f>
        <v>4</v>
      </c>
      <c r="AF128">
        <f>VLOOKUP(AC128,moves!A:F,5,FALSE)</f>
        <v>0</v>
      </c>
      <c r="AG128">
        <v>0</v>
      </c>
      <c r="AH128">
        <v>0</v>
      </c>
      <c r="AI128" t="str" cm="1">
        <f t="array" ref="AI128">_xlfn.IFS(AG128=1, "starter", AH128=1, "legendary",T128&lt; 13, "weak",T128&lt; 17, "moderate", TRUE, "strong")</f>
        <v>strong</v>
      </c>
      <c r="AK128">
        <v>3</v>
      </c>
      <c r="AL128">
        <v>0</v>
      </c>
      <c r="AM128">
        <v>1</v>
      </c>
    </row>
    <row r="129" spans="1:39" x14ac:dyDescent="0.25">
      <c r="A129" s="31" t="s">
        <v>1048</v>
      </c>
      <c r="B129" t="s">
        <v>222</v>
      </c>
      <c r="C129" s="1" t="s">
        <v>16</v>
      </c>
      <c r="D129" s="1" t="s">
        <v>5</v>
      </c>
      <c r="E129">
        <v>85</v>
      </c>
      <c r="F129">
        <v>50</v>
      </c>
      <c r="G129">
        <v>95</v>
      </c>
      <c r="H129">
        <v>120</v>
      </c>
      <c r="I129">
        <v>115</v>
      </c>
      <c r="J129">
        <v>80</v>
      </c>
      <c r="K129" t="s">
        <v>402</v>
      </c>
      <c r="M129" t="s">
        <v>797</v>
      </c>
      <c r="N129">
        <f t="shared" ref="N129" si="124">(0.4*J129 + 0.5*MAX(F129,H129) + 0.1*MIN(F129,H129)) / 10</f>
        <v>9.6999999999999993</v>
      </c>
      <c r="O129">
        <f t="shared" ref="O129" si="125">(0.4*E129 + 0.3*G129 + 0.3*I129) / 10</f>
        <v>9.6999999999999993</v>
      </c>
      <c r="P129">
        <v>2</v>
      </c>
      <c r="Q129">
        <v>2</v>
      </c>
      <c r="R129" s="2">
        <f t="shared" ref="R129" si="126">ROUND(N129,0)+P129</f>
        <v>12</v>
      </c>
      <c r="S129" s="2">
        <f t="shared" ref="S129" si="127">ROUND(O129,0)+Q129</f>
        <v>12</v>
      </c>
      <c r="T129" s="2">
        <f t="shared" ref="T129" si="128">SUM(ROUND(R129,0),ROUND(S129,0))</f>
        <v>24</v>
      </c>
      <c r="U129" t="str">
        <f t="shared" ref="U129" si="129">C129</f>
        <v>fairy</v>
      </c>
      <c r="V129" t="str">
        <f t="shared" si="123"/>
        <v>flying</v>
      </c>
      <c r="W129" t="s">
        <v>8</v>
      </c>
      <c r="X129" t="s">
        <v>22</v>
      </c>
      <c r="Z129" s="2" t="str">
        <f>IF(ISBLANK(Y129), "", ROUND(( (T131-6)*(T131-7) - (T129-6)*(T129-7) )/15, 0) + 1)</f>
        <v/>
      </c>
      <c r="AA129" t="str">
        <f t="shared" ref="AA129" si="130">B129</f>
        <v>Togekiss</v>
      </c>
      <c r="AB129" t="s">
        <v>1070</v>
      </c>
      <c r="AC129" t="s">
        <v>516</v>
      </c>
      <c r="AD129" t="str">
        <f>VLOOKUP(AC129,moves!A:B,2,FALSE)</f>
        <v>flying</v>
      </c>
      <c r="AE129">
        <f>VLOOKUP(AC129,moves!A:D,4,FALSE)</f>
        <v>4</v>
      </c>
      <c r="AF129">
        <f>VLOOKUP(AC129,moves!A:F,5,FALSE)</f>
        <v>0</v>
      </c>
      <c r="AG129">
        <v>0</v>
      </c>
      <c r="AH129">
        <v>1</v>
      </c>
      <c r="AI129" t="str" cm="1">
        <f t="array" ref="AI129">_xlfn.IFS(AG129=1, "starter", AH129=1, "legendary",T129&lt; 13, "weak",T129&lt; 17, "moderate", TRUE, "strong")</f>
        <v>legendary</v>
      </c>
      <c r="AK129">
        <v>3</v>
      </c>
      <c r="AL129">
        <v>0</v>
      </c>
      <c r="AM129">
        <v>2</v>
      </c>
    </row>
    <row r="130" spans="1:39" x14ac:dyDescent="0.25">
      <c r="A130">
        <v>193</v>
      </c>
      <c r="B130" t="s">
        <v>79</v>
      </c>
      <c r="C130" s="1" t="s">
        <v>7</v>
      </c>
      <c r="D130" s="1" t="s">
        <v>5</v>
      </c>
      <c r="E130">
        <v>65</v>
      </c>
      <c r="F130">
        <v>65</v>
      </c>
      <c r="G130">
        <v>45</v>
      </c>
      <c r="H130">
        <v>75</v>
      </c>
      <c r="I130">
        <v>45</v>
      </c>
      <c r="J130">
        <v>95</v>
      </c>
      <c r="K130" t="s">
        <v>403</v>
      </c>
      <c r="L130" t="s">
        <v>298</v>
      </c>
      <c r="M130" t="s">
        <v>302</v>
      </c>
      <c r="N130">
        <f t="shared" si="70"/>
        <v>8.1999999999999993</v>
      </c>
      <c r="O130">
        <f t="shared" si="71"/>
        <v>5.3</v>
      </c>
      <c r="P130">
        <v>0</v>
      </c>
      <c r="Q130">
        <v>0</v>
      </c>
      <c r="R130" s="2">
        <f t="shared" si="72"/>
        <v>8</v>
      </c>
      <c r="S130" s="2">
        <f t="shared" si="73"/>
        <v>5</v>
      </c>
      <c r="T130" s="2">
        <f t="shared" si="74"/>
        <v>13</v>
      </c>
      <c r="U130" t="str">
        <f t="shared" si="68"/>
        <v>bug</v>
      </c>
      <c r="V130" t="str">
        <f t="shared" si="123"/>
        <v>flying</v>
      </c>
      <c r="W130" t="s">
        <v>33</v>
      </c>
      <c r="X130" t="s">
        <v>9</v>
      </c>
      <c r="Y130" t="str">
        <f>B131</f>
        <v>Yanmega</v>
      </c>
      <c r="Z130" s="2">
        <f t="shared" si="69"/>
        <v>7</v>
      </c>
      <c r="AA130" t="str">
        <f t="shared" si="115"/>
        <v>Yanma</v>
      </c>
      <c r="AC130" t="s">
        <v>535</v>
      </c>
      <c r="AD130" t="str">
        <f>VLOOKUP(AC130,moves!A:B,2,FALSE)</f>
        <v>rock</v>
      </c>
      <c r="AE130">
        <f>VLOOKUP(AC130,moves!A:D,4,FALSE)</f>
        <v>2</v>
      </c>
      <c r="AF130" t="str">
        <f>VLOOKUP(AC130,moves!A:F,5,FALSE)</f>
        <v>boost</v>
      </c>
      <c r="AG130">
        <v>0</v>
      </c>
      <c r="AH130">
        <v>0</v>
      </c>
      <c r="AI130" t="str" cm="1">
        <f t="array" ref="AI130">_xlfn.IFS(AG130=1, "starter", AH130=1, "legendary",T130&lt; 13, "weak",T130&lt; 17, "moderate", TRUE, "strong")</f>
        <v>moderate</v>
      </c>
      <c r="AK130">
        <v>1</v>
      </c>
      <c r="AL130">
        <v>0</v>
      </c>
      <c r="AM130">
        <v>0</v>
      </c>
    </row>
    <row r="131" spans="1:39" x14ac:dyDescent="0.25">
      <c r="A131">
        <v>469</v>
      </c>
      <c r="B131" t="s">
        <v>223</v>
      </c>
      <c r="C131" s="1" t="s">
        <v>7</v>
      </c>
      <c r="D131" s="1" t="s">
        <v>5</v>
      </c>
      <c r="E131">
        <v>86</v>
      </c>
      <c r="F131">
        <v>76</v>
      </c>
      <c r="G131">
        <v>86</v>
      </c>
      <c r="H131">
        <v>116</v>
      </c>
      <c r="I131">
        <v>56</v>
      </c>
      <c r="J131">
        <v>95</v>
      </c>
      <c r="K131" t="s">
        <v>404</v>
      </c>
      <c r="L131" t="s">
        <v>298</v>
      </c>
      <c r="M131" t="s">
        <v>302</v>
      </c>
      <c r="N131">
        <f t="shared" si="70"/>
        <v>10.36</v>
      </c>
      <c r="O131">
        <f t="shared" si="71"/>
        <v>7.7</v>
      </c>
      <c r="P131">
        <v>0</v>
      </c>
      <c r="Q131">
        <v>0</v>
      </c>
      <c r="R131" s="2">
        <f t="shared" si="72"/>
        <v>10</v>
      </c>
      <c r="S131" s="2">
        <f t="shared" si="73"/>
        <v>8</v>
      </c>
      <c r="T131" s="2">
        <f t="shared" si="74"/>
        <v>18</v>
      </c>
      <c r="U131" t="str">
        <f t="shared" si="68"/>
        <v>bug</v>
      </c>
      <c r="V131" t="str">
        <f t="shared" si="123"/>
        <v>flying</v>
      </c>
      <c r="W131" t="s">
        <v>33</v>
      </c>
      <c r="X131" t="s">
        <v>9</v>
      </c>
      <c r="Z131" s="2" t="str">
        <f>IF(ISBLANK(Y131), "", ROUND(( (T133-6)*(T133-7) - (T131-6)*(T131-7) )/15, 0) + 1)</f>
        <v/>
      </c>
      <c r="AA131" t="str">
        <f t="shared" si="115"/>
        <v>Yanmega</v>
      </c>
      <c r="AC131" t="s">
        <v>600</v>
      </c>
      <c r="AD131" t="str">
        <f>VLOOKUP(AC131,moves!A:B,2,FALSE)</f>
        <v>bug</v>
      </c>
      <c r="AE131">
        <f>VLOOKUP(AC131,moves!A:D,4,FALSE)</f>
        <v>4</v>
      </c>
      <c r="AF131">
        <f>VLOOKUP(AC131,moves!A:F,5,FALSE)</f>
        <v>0</v>
      </c>
      <c r="AG131">
        <v>0</v>
      </c>
      <c r="AH131">
        <v>0</v>
      </c>
      <c r="AI131" t="str" cm="1">
        <f t="array" ref="AI131">_xlfn.IFS(AG131=1, "starter", AH131=1, "legendary",T131&lt; 13, "weak",T131&lt; 17, "moderate", TRUE, "strong")</f>
        <v>strong</v>
      </c>
      <c r="AK131">
        <v>2</v>
      </c>
      <c r="AL131">
        <v>0</v>
      </c>
      <c r="AM131">
        <v>0</v>
      </c>
    </row>
    <row r="132" spans="1:39" x14ac:dyDescent="0.25">
      <c r="A132" s="9" t="s">
        <v>1337</v>
      </c>
      <c r="B132" t="s">
        <v>1341</v>
      </c>
      <c r="C132" s="1" t="s">
        <v>7</v>
      </c>
      <c r="D132" s="1" t="s">
        <v>67</v>
      </c>
      <c r="E132">
        <v>86</v>
      </c>
      <c r="F132">
        <v>76</v>
      </c>
      <c r="G132">
        <v>86</v>
      </c>
      <c r="H132">
        <v>116</v>
      </c>
      <c r="I132">
        <v>56</v>
      </c>
      <c r="J132">
        <v>95</v>
      </c>
      <c r="K132" t="s">
        <v>595</v>
      </c>
      <c r="M132" t="s">
        <v>1339</v>
      </c>
      <c r="N132">
        <f t="shared" ref="N132" si="131">(0.4*J132 + 0.5*MAX(F132,H132) + 0.1*MIN(F132,H132)) / 10</f>
        <v>10.36</v>
      </c>
      <c r="O132">
        <f t="shared" ref="O132" si="132">(0.4*E132 + 0.3*G132 + 0.3*I132) / 10</f>
        <v>7.7</v>
      </c>
      <c r="P132">
        <v>2</v>
      </c>
      <c r="Q132">
        <v>1</v>
      </c>
      <c r="R132" s="2">
        <f t="shared" ref="R132" si="133">ROUND(N132,0)+P132</f>
        <v>12</v>
      </c>
      <c r="S132" s="2">
        <f t="shared" ref="S132" si="134">ROUND(O132,0)+Q132</f>
        <v>9</v>
      </c>
      <c r="T132" s="2">
        <f t="shared" ref="T132" si="135">SUM(ROUND(R132,0),ROUND(S132,0))</f>
        <v>21</v>
      </c>
      <c r="U132" t="str">
        <f t="shared" ref="U132" si="136">C132</f>
        <v>bug</v>
      </c>
      <c r="V132" t="str">
        <f t="shared" si="123"/>
        <v>dragon</v>
      </c>
      <c r="W132" t="s">
        <v>33</v>
      </c>
      <c r="X132" t="s">
        <v>9</v>
      </c>
      <c r="Z132" s="2" t="str">
        <f>IF(ISBLANK(Y132), "", ROUND(( (T134-6)*(T134-7) - (T132-6)*(T132-7) )/15, 0) + 1)</f>
        <v/>
      </c>
      <c r="AA132" t="s">
        <v>223</v>
      </c>
      <c r="AB132" t="s">
        <v>1344</v>
      </c>
      <c r="AC132" t="s">
        <v>1368</v>
      </c>
      <c r="AD132" t="str">
        <f>VLOOKUP(AC132,moves!A:B,2,FALSE)</f>
        <v>dragon</v>
      </c>
      <c r="AE132">
        <f>VLOOKUP(AC132,moves!A:D,4,FALSE)</f>
        <v>4</v>
      </c>
      <c r="AF132">
        <f>VLOOKUP(AC132,moves!A:F,5,FALSE)</f>
        <v>0</v>
      </c>
      <c r="AG132">
        <v>0</v>
      </c>
      <c r="AH132">
        <v>1</v>
      </c>
      <c r="AI132" t="str" cm="1">
        <f t="array" ref="AI132">_xlfn.IFS(AG132=1, "starter", AH132=1, "legendary",T132&lt; 13, "weak",T132&lt; 17, "moderate", TRUE, "strong")</f>
        <v>legendary</v>
      </c>
      <c r="AK132">
        <v>1</v>
      </c>
      <c r="AL132">
        <v>0</v>
      </c>
      <c r="AM132">
        <v>0</v>
      </c>
    </row>
    <row r="133" spans="1:39" x14ac:dyDescent="0.25">
      <c r="A133">
        <v>133</v>
      </c>
      <c r="B133" t="s">
        <v>58</v>
      </c>
      <c r="C133" s="1" t="s">
        <v>8</v>
      </c>
      <c r="E133">
        <v>55</v>
      </c>
      <c r="F133">
        <v>55</v>
      </c>
      <c r="G133">
        <v>50</v>
      </c>
      <c r="H133">
        <v>45</v>
      </c>
      <c r="I133">
        <v>65</v>
      </c>
      <c r="J133">
        <v>55</v>
      </c>
      <c r="K133" t="s">
        <v>405</v>
      </c>
      <c r="L133" t="s">
        <v>301</v>
      </c>
      <c r="M133" t="s">
        <v>300</v>
      </c>
      <c r="N133">
        <f t="shared" si="70"/>
        <v>5.4</v>
      </c>
      <c r="O133">
        <f t="shared" si="71"/>
        <v>5.65</v>
      </c>
      <c r="P133">
        <v>0</v>
      </c>
      <c r="Q133">
        <v>0</v>
      </c>
      <c r="R133" s="2">
        <f t="shared" si="72"/>
        <v>5</v>
      </c>
      <c r="S133" s="2">
        <f t="shared" si="73"/>
        <v>6</v>
      </c>
      <c r="T133" s="2">
        <f t="shared" si="74"/>
        <v>11</v>
      </c>
      <c r="U133" t="str">
        <f t="shared" si="68"/>
        <v>normal</v>
      </c>
      <c r="V133" t="s">
        <v>9</v>
      </c>
      <c r="W133" t="s">
        <v>16</v>
      </c>
      <c r="X133" t="s">
        <v>13</v>
      </c>
      <c r="Y133" t="s">
        <v>652</v>
      </c>
      <c r="Z133" s="2">
        <f t="shared" si="69"/>
        <v>8</v>
      </c>
      <c r="AA133" t="str">
        <f t="shared" si="115"/>
        <v>Eevee</v>
      </c>
      <c r="AC133" t="s">
        <v>736</v>
      </c>
      <c r="AD133" t="str">
        <f>VLOOKUP(AC133,moves!A:B,2,FALSE)</f>
        <v>normal</v>
      </c>
      <c r="AE133">
        <f>VLOOKUP(AC133,moves!A:D,4,FALSE)</f>
        <v>2</v>
      </c>
      <c r="AF133" t="str">
        <f>VLOOKUP(AC133,moves!A:F,5,FALSE)</f>
        <v>agile</v>
      </c>
      <c r="AG133">
        <v>0</v>
      </c>
      <c r="AH133">
        <v>0</v>
      </c>
      <c r="AI133" t="str" cm="1">
        <f t="array" ref="AI133">_xlfn.IFS(AG133=1, "starter", AH133=1, "legendary",T133&lt; 13, "weak",T133&lt; 17, "moderate", TRUE, "strong")</f>
        <v>weak</v>
      </c>
      <c r="AK133">
        <v>1</v>
      </c>
      <c r="AL133">
        <v>0</v>
      </c>
      <c r="AM133">
        <v>0</v>
      </c>
    </row>
    <row r="134" spans="1:39" x14ac:dyDescent="0.25">
      <c r="A134">
        <v>134</v>
      </c>
      <c r="B134" t="s">
        <v>59</v>
      </c>
      <c r="C134" s="1" t="s">
        <v>6</v>
      </c>
      <c r="E134">
        <v>130</v>
      </c>
      <c r="F134">
        <v>65</v>
      </c>
      <c r="G134">
        <v>60</v>
      </c>
      <c r="H134">
        <v>110</v>
      </c>
      <c r="I134">
        <v>95</v>
      </c>
      <c r="J134">
        <v>65</v>
      </c>
      <c r="K134" t="s">
        <v>406</v>
      </c>
      <c r="L134" t="s">
        <v>303</v>
      </c>
      <c r="M134" t="s">
        <v>302</v>
      </c>
      <c r="N134">
        <f t="shared" si="70"/>
        <v>8.75</v>
      </c>
      <c r="O134">
        <f t="shared" si="71"/>
        <v>9.85</v>
      </c>
      <c r="P134">
        <v>0</v>
      </c>
      <c r="Q134">
        <v>-1</v>
      </c>
      <c r="R134" s="2">
        <f t="shared" si="72"/>
        <v>9</v>
      </c>
      <c r="S134" s="2">
        <f t="shared" si="73"/>
        <v>9</v>
      </c>
      <c r="T134" s="2">
        <f t="shared" si="74"/>
        <v>18</v>
      </c>
      <c r="U134" t="str">
        <f t="shared" si="68"/>
        <v>water</v>
      </c>
      <c r="V134" t="s">
        <v>8</v>
      </c>
      <c r="W134" t="s">
        <v>13</v>
      </c>
      <c r="X134" t="s">
        <v>14</v>
      </c>
      <c r="Z134" s="2" t="str">
        <f t="shared" si="69"/>
        <v/>
      </c>
      <c r="AA134" t="str">
        <f t="shared" si="115"/>
        <v>Vaporeon</v>
      </c>
      <c r="AC134" t="s">
        <v>480</v>
      </c>
      <c r="AD134" t="str">
        <f>VLOOKUP(AC134,moves!A:B,2,FALSE)</f>
        <v>water</v>
      </c>
      <c r="AE134">
        <f>VLOOKUP(AC134,moves!A:D,4,FALSE)</f>
        <v>5</v>
      </c>
      <c r="AF134">
        <f>VLOOKUP(AC134,moves!A:F,5,FALSE)</f>
        <v>0</v>
      </c>
      <c r="AG134">
        <v>0</v>
      </c>
      <c r="AH134">
        <v>0</v>
      </c>
      <c r="AI134" t="str" cm="1">
        <f t="array" ref="AI134">_xlfn.IFS(AG134=1, "starter", AH134=1, "legendary",T134&lt; 13, "weak",T134&lt; 17, "moderate", TRUE, "strong")</f>
        <v>strong</v>
      </c>
      <c r="AK134">
        <v>2</v>
      </c>
      <c r="AL134">
        <v>0</v>
      </c>
      <c r="AM134">
        <v>0</v>
      </c>
    </row>
    <row r="135" spans="1:39" x14ac:dyDescent="0.25">
      <c r="A135">
        <v>135</v>
      </c>
      <c r="B135" t="s">
        <v>60</v>
      </c>
      <c r="C135" s="1" t="s">
        <v>11</v>
      </c>
      <c r="E135">
        <v>65</v>
      </c>
      <c r="F135">
        <v>65</v>
      </c>
      <c r="G135">
        <v>60</v>
      </c>
      <c r="H135">
        <v>110</v>
      </c>
      <c r="I135">
        <v>95</v>
      </c>
      <c r="J135">
        <v>130</v>
      </c>
      <c r="K135" t="s">
        <v>407</v>
      </c>
      <c r="L135" t="s">
        <v>301</v>
      </c>
      <c r="M135" t="s">
        <v>302</v>
      </c>
      <c r="N135">
        <f t="shared" si="70"/>
        <v>11.35</v>
      </c>
      <c r="O135">
        <f t="shared" si="71"/>
        <v>7.25</v>
      </c>
      <c r="P135">
        <v>0</v>
      </c>
      <c r="Q135">
        <v>0</v>
      </c>
      <c r="R135" s="2">
        <f t="shared" si="72"/>
        <v>11</v>
      </c>
      <c r="S135" s="2">
        <f t="shared" si="73"/>
        <v>7</v>
      </c>
      <c r="T135" s="2">
        <f t="shared" si="74"/>
        <v>18</v>
      </c>
      <c r="U135" t="str">
        <f t="shared" si="68"/>
        <v>electric</v>
      </c>
      <c r="V135" t="s">
        <v>8</v>
      </c>
      <c r="W135" t="s">
        <v>13</v>
      </c>
      <c r="X135" t="s">
        <v>42</v>
      </c>
      <c r="Z135" s="2" t="str">
        <f t="shared" si="69"/>
        <v/>
      </c>
      <c r="AA135" t="str">
        <f t="shared" si="115"/>
        <v>Jolteon</v>
      </c>
      <c r="AC135" t="s">
        <v>487</v>
      </c>
      <c r="AD135" t="str">
        <f>VLOOKUP(AC135,moves!A:B,2,FALSE)</f>
        <v>electric</v>
      </c>
      <c r="AE135">
        <f>VLOOKUP(AC135,moves!A:D,4,FALSE)</f>
        <v>5</v>
      </c>
      <c r="AF135">
        <f>VLOOKUP(AC135,moves!A:F,5,FALSE)</f>
        <v>0</v>
      </c>
      <c r="AG135">
        <v>0</v>
      </c>
      <c r="AH135">
        <v>0</v>
      </c>
      <c r="AI135" t="str" cm="1">
        <f t="array" ref="AI135">_xlfn.IFS(AG135=1, "starter", AH135=1, "legendary",T135&lt; 13, "weak",T135&lt; 17, "moderate", TRUE, "strong")</f>
        <v>strong</v>
      </c>
      <c r="AK135">
        <v>2</v>
      </c>
      <c r="AL135">
        <v>0</v>
      </c>
      <c r="AM135">
        <v>0</v>
      </c>
    </row>
    <row r="136" spans="1:39" x14ac:dyDescent="0.25">
      <c r="A136">
        <v>136</v>
      </c>
      <c r="B136" t="s">
        <v>61</v>
      </c>
      <c r="C136" s="1" t="s">
        <v>4</v>
      </c>
      <c r="E136">
        <v>65</v>
      </c>
      <c r="F136">
        <v>130</v>
      </c>
      <c r="G136">
        <v>60</v>
      </c>
      <c r="H136">
        <v>95</v>
      </c>
      <c r="I136">
        <v>110</v>
      </c>
      <c r="J136">
        <v>65</v>
      </c>
      <c r="K136" t="s">
        <v>323</v>
      </c>
      <c r="L136" t="s">
        <v>298</v>
      </c>
      <c r="M136" t="s">
        <v>302</v>
      </c>
      <c r="N136">
        <f t="shared" si="70"/>
        <v>10.050000000000001</v>
      </c>
      <c r="O136">
        <f t="shared" si="71"/>
        <v>7.7</v>
      </c>
      <c r="P136">
        <v>0</v>
      </c>
      <c r="Q136">
        <v>0</v>
      </c>
      <c r="R136" s="2">
        <f t="shared" si="72"/>
        <v>10</v>
      </c>
      <c r="S136" s="2">
        <f t="shared" si="73"/>
        <v>8</v>
      </c>
      <c r="T136" s="2">
        <f t="shared" si="74"/>
        <v>18</v>
      </c>
      <c r="U136" t="str">
        <f t="shared" si="68"/>
        <v>fire</v>
      </c>
      <c r="V136" t="s">
        <v>8</v>
      </c>
      <c r="W136" t="s">
        <v>13</v>
      </c>
      <c r="X136" t="s">
        <v>22</v>
      </c>
      <c r="Z136" s="2" t="str">
        <f t="shared" si="69"/>
        <v/>
      </c>
      <c r="AA136" t="str">
        <f t="shared" si="115"/>
        <v>Flareon</v>
      </c>
      <c r="AC136" t="s">
        <v>479</v>
      </c>
      <c r="AD136" t="str">
        <f>VLOOKUP(AC136,moves!A:B,2,FALSE)</f>
        <v>fire</v>
      </c>
      <c r="AE136">
        <f>VLOOKUP(AC136,moves!A:D,4,FALSE)</f>
        <v>5</v>
      </c>
      <c r="AF136">
        <f>VLOOKUP(AC136,moves!A:F,5,FALSE)</f>
        <v>0</v>
      </c>
      <c r="AG136">
        <v>0</v>
      </c>
      <c r="AH136">
        <v>0</v>
      </c>
      <c r="AI136" t="str" cm="1">
        <f t="array" ref="AI136">_xlfn.IFS(AG136=1, "starter", AH136=1, "legendary",T136&lt; 13, "weak",T136&lt; 17, "moderate", TRUE, "strong")</f>
        <v>strong</v>
      </c>
      <c r="AK136">
        <v>2</v>
      </c>
      <c r="AL136">
        <v>0</v>
      </c>
      <c r="AM136">
        <v>0</v>
      </c>
    </row>
    <row r="137" spans="1:39" x14ac:dyDescent="0.25">
      <c r="A137">
        <v>196</v>
      </c>
      <c r="B137" t="s">
        <v>82</v>
      </c>
      <c r="C137" s="1" t="s">
        <v>26</v>
      </c>
      <c r="E137">
        <v>65</v>
      </c>
      <c r="F137">
        <v>65</v>
      </c>
      <c r="G137">
        <v>60</v>
      </c>
      <c r="H137">
        <v>130</v>
      </c>
      <c r="I137">
        <v>95</v>
      </c>
      <c r="J137">
        <v>110</v>
      </c>
      <c r="K137" t="s">
        <v>408</v>
      </c>
      <c r="L137" t="s">
        <v>304</v>
      </c>
      <c r="M137" t="s">
        <v>302</v>
      </c>
      <c r="N137">
        <f t="shared" si="70"/>
        <v>11.55</v>
      </c>
      <c r="O137">
        <f t="shared" si="71"/>
        <v>7.25</v>
      </c>
      <c r="P137">
        <v>0</v>
      </c>
      <c r="Q137">
        <v>-1</v>
      </c>
      <c r="R137" s="2">
        <f t="shared" si="72"/>
        <v>12</v>
      </c>
      <c r="S137" s="2">
        <f t="shared" si="73"/>
        <v>6</v>
      </c>
      <c r="T137" s="2">
        <f t="shared" si="74"/>
        <v>18</v>
      </c>
      <c r="U137" t="str">
        <f t="shared" si="68"/>
        <v>psychic</v>
      </c>
      <c r="V137" t="s">
        <v>8</v>
      </c>
      <c r="W137" t="s">
        <v>13</v>
      </c>
      <c r="X137" t="s">
        <v>16</v>
      </c>
      <c r="Z137" s="2" t="str">
        <f t="shared" si="69"/>
        <v/>
      </c>
      <c r="AA137" t="str">
        <f t="shared" si="115"/>
        <v>Espeon</v>
      </c>
      <c r="AC137" t="s">
        <v>496</v>
      </c>
      <c r="AD137" t="str">
        <f>VLOOKUP(AC137,moves!A:B,2,FALSE)</f>
        <v>psychic</v>
      </c>
      <c r="AE137">
        <f>VLOOKUP(AC137,moves!A:D,4,FALSE)</f>
        <v>5</v>
      </c>
      <c r="AF137">
        <f>VLOOKUP(AC137,moves!A:F,5,FALSE)</f>
        <v>0</v>
      </c>
      <c r="AG137">
        <v>0</v>
      </c>
      <c r="AH137">
        <v>0</v>
      </c>
      <c r="AI137" t="str" cm="1">
        <f t="array" ref="AI137">_xlfn.IFS(AG137=1, "starter", AH137=1, "legendary",T137&lt; 13, "weak",T137&lt; 17, "moderate", TRUE, "strong")</f>
        <v>strong</v>
      </c>
      <c r="AK137">
        <v>2</v>
      </c>
      <c r="AL137">
        <v>0</v>
      </c>
      <c r="AM137">
        <v>0</v>
      </c>
    </row>
    <row r="138" spans="1:39" x14ac:dyDescent="0.25">
      <c r="A138">
        <v>197</v>
      </c>
      <c r="B138" t="s">
        <v>83</v>
      </c>
      <c r="C138" s="1" t="s">
        <v>9</v>
      </c>
      <c r="E138">
        <v>95</v>
      </c>
      <c r="F138">
        <v>65</v>
      </c>
      <c r="G138">
        <v>110</v>
      </c>
      <c r="H138">
        <v>60</v>
      </c>
      <c r="I138">
        <v>130</v>
      </c>
      <c r="J138">
        <v>65</v>
      </c>
      <c r="K138" t="s">
        <v>409</v>
      </c>
      <c r="L138" t="s">
        <v>304</v>
      </c>
      <c r="M138" t="s">
        <v>299</v>
      </c>
      <c r="N138">
        <f t="shared" si="70"/>
        <v>6.45</v>
      </c>
      <c r="O138">
        <f t="shared" si="71"/>
        <v>11</v>
      </c>
      <c r="P138">
        <v>0</v>
      </c>
      <c r="Q138">
        <v>1</v>
      </c>
      <c r="R138" s="2">
        <f t="shared" si="72"/>
        <v>6</v>
      </c>
      <c r="S138" s="2">
        <f t="shared" si="73"/>
        <v>12</v>
      </c>
      <c r="T138" s="2">
        <f t="shared" si="74"/>
        <v>18</v>
      </c>
      <c r="U138" t="str">
        <f t="shared" si="68"/>
        <v>dark</v>
      </c>
      <c r="V138" t="s">
        <v>8</v>
      </c>
      <c r="W138" t="s">
        <v>13</v>
      </c>
      <c r="X138" t="s">
        <v>39</v>
      </c>
      <c r="Z138" s="2" t="str">
        <f t="shared" si="69"/>
        <v/>
      </c>
      <c r="AA138" t="str">
        <f t="shared" si="115"/>
        <v>Umbreon</v>
      </c>
      <c r="AC138" t="s">
        <v>505</v>
      </c>
      <c r="AD138" t="str">
        <f>VLOOKUP(AC138,moves!A:B,2,FALSE)</f>
        <v>dark</v>
      </c>
      <c r="AE138">
        <f>VLOOKUP(AC138,moves!A:D,4,FALSE)</f>
        <v>4</v>
      </c>
      <c r="AF138">
        <f>VLOOKUP(AC138,moves!A:F,5,FALSE)</f>
        <v>0</v>
      </c>
      <c r="AG138">
        <v>0</v>
      </c>
      <c r="AH138">
        <v>0</v>
      </c>
      <c r="AI138" t="str" cm="1">
        <f t="array" ref="AI138">_xlfn.IFS(AG138=1, "starter", AH138=1, "legendary",T138&lt; 13, "weak",T138&lt; 17, "moderate", TRUE, "strong")</f>
        <v>strong</v>
      </c>
      <c r="AK138">
        <v>2</v>
      </c>
      <c r="AL138">
        <v>0</v>
      </c>
      <c r="AM138">
        <v>0</v>
      </c>
    </row>
    <row r="139" spans="1:39" x14ac:dyDescent="0.25">
      <c r="A139">
        <v>470</v>
      </c>
      <c r="B139" t="s">
        <v>224</v>
      </c>
      <c r="C139" s="1" t="s">
        <v>2</v>
      </c>
      <c r="E139">
        <v>65</v>
      </c>
      <c r="F139">
        <v>110</v>
      </c>
      <c r="G139">
        <v>130</v>
      </c>
      <c r="H139">
        <v>60</v>
      </c>
      <c r="I139">
        <v>65</v>
      </c>
      <c r="J139">
        <v>95</v>
      </c>
      <c r="K139" t="s">
        <v>410</v>
      </c>
      <c r="L139" t="s">
        <v>298</v>
      </c>
      <c r="M139" t="s">
        <v>299</v>
      </c>
      <c r="N139">
        <f t="shared" si="70"/>
        <v>9.9</v>
      </c>
      <c r="O139">
        <f t="shared" si="71"/>
        <v>8.4499999999999993</v>
      </c>
      <c r="P139">
        <v>0</v>
      </c>
      <c r="Q139">
        <v>0</v>
      </c>
      <c r="R139" s="2">
        <f t="shared" si="72"/>
        <v>10</v>
      </c>
      <c r="S139" s="2">
        <f t="shared" si="73"/>
        <v>8</v>
      </c>
      <c r="T139" s="2">
        <f t="shared" si="74"/>
        <v>18</v>
      </c>
      <c r="U139" t="str">
        <f t="shared" si="68"/>
        <v>grass</v>
      </c>
      <c r="V139" t="s">
        <v>8</v>
      </c>
      <c r="W139" t="s">
        <v>13</v>
      </c>
      <c r="X139" t="s">
        <v>7</v>
      </c>
      <c r="Z139" s="2" t="str">
        <f t="shared" si="69"/>
        <v/>
      </c>
      <c r="AA139" t="str">
        <f t="shared" si="115"/>
        <v>Leafeon</v>
      </c>
      <c r="AC139" t="s">
        <v>744</v>
      </c>
      <c r="AD139" t="str">
        <f>VLOOKUP(AC139,moves!A:B,2,FALSE)</f>
        <v>grass</v>
      </c>
      <c r="AE139">
        <f>VLOOKUP(AC139,moves!A:D,4,FALSE)</f>
        <v>4</v>
      </c>
      <c r="AF139">
        <f>VLOOKUP(AC139,moves!A:F,5,FALSE)</f>
        <v>0</v>
      </c>
      <c r="AG139">
        <v>0</v>
      </c>
      <c r="AH139">
        <v>0</v>
      </c>
      <c r="AI139" t="str" cm="1">
        <f t="array" ref="AI139">_xlfn.IFS(AG139=1, "starter", AH139=1, "legendary",T139&lt; 13, "weak",T139&lt; 17, "moderate", TRUE, "strong")</f>
        <v>strong</v>
      </c>
      <c r="AK139">
        <v>2</v>
      </c>
      <c r="AL139">
        <v>0</v>
      </c>
      <c r="AM139">
        <v>0</v>
      </c>
    </row>
    <row r="140" spans="1:39" x14ac:dyDescent="0.25">
      <c r="A140">
        <v>471</v>
      </c>
      <c r="B140" t="s">
        <v>225</v>
      </c>
      <c r="C140" s="1" t="s">
        <v>14</v>
      </c>
      <c r="E140">
        <v>65</v>
      </c>
      <c r="F140">
        <v>60</v>
      </c>
      <c r="G140">
        <v>110</v>
      </c>
      <c r="H140">
        <v>130</v>
      </c>
      <c r="I140">
        <v>95</v>
      </c>
      <c r="J140">
        <v>65</v>
      </c>
      <c r="K140" t="s">
        <v>411</v>
      </c>
      <c r="L140" t="s">
        <v>301</v>
      </c>
      <c r="M140" t="s">
        <v>299</v>
      </c>
      <c r="N140">
        <f t="shared" si="70"/>
        <v>9.6999999999999993</v>
      </c>
      <c r="O140">
        <f t="shared" si="71"/>
        <v>8.75</v>
      </c>
      <c r="P140">
        <v>0</v>
      </c>
      <c r="Q140">
        <v>-1</v>
      </c>
      <c r="R140" s="2">
        <f t="shared" si="72"/>
        <v>10</v>
      </c>
      <c r="S140" s="2">
        <f t="shared" si="73"/>
        <v>8</v>
      </c>
      <c r="T140" s="2">
        <f t="shared" si="74"/>
        <v>18</v>
      </c>
      <c r="U140" t="str">
        <f t="shared" si="68"/>
        <v>ice</v>
      </c>
      <c r="V140" t="s">
        <v>8</v>
      </c>
      <c r="W140" t="s">
        <v>13</v>
      </c>
      <c r="X140" t="s">
        <v>6</v>
      </c>
      <c r="Z140" s="2" t="str">
        <f t="shared" si="69"/>
        <v/>
      </c>
      <c r="AA140" t="str">
        <f t="shared" si="115"/>
        <v>Glaceon</v>
      </c>
      <c r="AC140" t="s">
        <v>489</v>
      </c>
      <c r="AD140" t="str">
        <f>VLOOKUP(AC140,moves!A:B,2,FALSE)</f>
        <v>ice</v>
      </c>
      <c r="AE140">
        <f>VLOOKUP(AC140,moves!A:D,4,FALSE)</f>
        <v>5</v>
      </c>
      <c r="AF140">
        <f>VLOOKUP(AC140,moves!A:F,5,FALSE)</f>
        <v>0</v>
      </c>
      <c r="AG140">
        <v>0</v>
      </c>
      <c r="AH140">
        <v>0</v>
      </c>
      <c r="AI140" t="str" cm="1">
        <f t="array" ref="AI140">_xlfn.IFS(AG140=1, "starter", AH140=1, "legendary",T140&lt; 13, "weak",T140&lt; 17, "moderate", TRUE, "strong")</f>
        <v>strong</v>
      </c>
      <c r="AK140">
        <v>2</v>
      </c>
      <c r="AL140">
        <v>0</v>
      </c>
      <c r="AM140">
        <v>0</v>
      </c>
    </row>
    <row r="141" spans="1:39" x14ac:dyDescent="0.25">
      <c r="A141">
        <v>700</v>
      </c>
      <c r="B141" t="s">
        <v>650</v>
      </c>
      <c r="C141" s="1" t="s">
        <v>16</v>
      </c>
      <c r="E141">
        <v>95</v>
      </c>
      <c r="F141">
        <v>65</v>
      </c>
      <c r="G141">
        <v>65</v>
      </c>
      <c r="H141">
        <v>110</v>
      </c>
      <c r="I141">
        <v>130</v>
      </c>
      <c r="J141">
        <v>60</v>
      </c>
      <c r="K141" t="s">
        <v>651</v>
      </c>
      <c r="L141" t="s">
        <v>298</v>
      </c>
      <c r="M141" t="s">
        <v>300</v>
      </c>
      <c r="N141">
        <f t="shared" si="70"/>
        <v>8.5500000000000007</v>
      </c>
      <c r="O141">
        <f t="shared" si="71"/>
        <v>9.65</v>
      </c>
      <c r="P141">
        <v>0</v>
      </c>
      <c r="Q141">
        <v>-1</v>
      </c>
      <c r="R141" s="2">
        <f t="shared" si="72"/>
        <v>9</v>
      </c>
      <c r="S141" s="2">
        <f t="shared" si="73"/>
        <v>9</v>
      </c>
      <c r="T141" s="2">
        <f t="shared" si="74"/>
        <v>18</v>
      </c>
      <c r="U141" t="str">
        <f t="shared" si="68"/>
        <v>fairy</v>
      </c>
      <c r="V141" t="s">
        <v>8</v>
      </c>
      <c r="W141" t="s">
        <v>13</v>
      </c>
      <c r="X141" t="s">
        <v>4</v>
      </c>
      <c r="Z141" s="2" t="str">
        <f t="shared" si="69"/>
        <v/>
      </c>
      <c r="AA141" t="str">
        <f t="shared" si="115"/>
        <v>Sylveon</v>
      </c>
      <c r="AC141" t="s">
        <v>536</v>
      </c>
      <c r="AD141" t="str">
        <f>VLOOKUP(AC141,moves!A:B,2,FALSE)</f>
        <v>fairy</v>
      </c>
      <c r="AE141">
        <f>VLOOKUP(AC141,moves!A:D,4,FALSE)</f>
        <v>5</v>
      </c>
      <c r="AF141">
        <f>VLOOKUP(AC141,moves!A:F,5,FALSE)</f>
        <v>0</v>
      </c>
      <c r="AG141">
        <v>0</v>
      </c>
      <c r="AH141">
        <v>0</v>
      </c>
      <c r="AI141" t="str" cm="1">
        <f t="array" ref="AI141">_xlfn.IFS(AG141=1, "starter", AH141=1, "legendary",T141&lt; 13, "weak",T141&lt; 17, "moderate", TRUE, "strong")</f>
        <v>strong</v>
      </c>
      <c r="AK141">
        <v>2</v>
      </c>
      <c r="AL141">
        <v>0</v>
      </c>
      <c r="AM141">
        <v>0</v>
      </c>
    </row>
    <row r="142" spans="1:39" x14ac:dyDescent="0.25">
      <c r="A142">
        <v>207</v>
      </c>
      <c r="B142" t="s">
        <v>87</v>
      </c>
      <c r="C142" s="1" t="s">
        <v>13</v>
      </c>
      <c r="D142" s="1" t="s">
        <v>5</v>
      </c>
      <c r="E142">
        <v>65</v>
      </c>
      <c r="F142">
        <v>75</v>
      </c>
      <c r="G142">
        <v>105</v>
      </c>
      <c r="H142">
        <v>35</v>
      </c>
      <c r="I142">
        <v>65</v>
      </c>
      <c r="J142">
        <v>85</v>
      </c>
      <c r="K142" t="s">
        <v>412</v>
      </c>
      <c r="L142" t="s">
        <v>304</v>
      </c>
      <c r="M142" t="s">
        <v>299</v>
      </c>
      <c r="N142">
        <f t="shared" si="70"/>
        <v>7.5</v>
      </c>
      <c r="O142">
        <f t="shared" si="71"/>
        <v>7.7</v>
      </c>
      <c r="P142">
        <v>0</v>
      </c>
      <c r="Q142">
        <v>0</v>
      </c>
      <c r="R142" s="2">
        <f t="shared" si="72"/>
        <v>8</v>
      </c>
      <c r="S142" s="2">
        <f t="shared" si="73"/>
        <v>8</v>
      </c>
      <c r="T142" s="2">
        <f t="shared" si="74"/>
        <v>16</v>
      </c>
      <c r="U142" t="str">
        <f t="shared" si="68"/>
        <v>ground</v>
      </c>
      <c r="V142" t="str">
        <f t="shared" ref="V142:V151" si="137">IF(D142 = 0, "", D142)</f>
        <v>flying</v>
      </c>
      <c r="W142" t="s">
        <v>3</v>
      </c>
      <c r="X142" t="s">
        <v>7</v>
      </c>
      <c r="Y142" t="str">
        <f>B143</f>
        <v>Gliscor</v>
      </c>
      <c r="Z142" s="2">
        <f t="shared" si="69"/>
        <v>4</v>
      </c>
      <c r="AA142" t="str">
        <f t="shared" si="115"/>
        <v>Gligar</v>
      </c>
      <c r="AC142" t="s">
        <v>583</v>
      </c>
      <c r="AD142" t="str">
        <f>VLOOKUP(AC142,moves!A:B,2,FALSE)</f>
        <v>flying</v>
      </c>
      <c r="AE142">
        <f>VLOOKUP(AC142,moves!A:D,4,FALSE)</f>
        <v>3</v>
      </c>
      <c r="AF142" t="str">
        <f>VLOOKUP(AC142,moves!A:F,5,FALSE)</f>
        <v>switch</v>
      </c>
      <c r="AG142">
        <v>0</v>
      </c>
      <c r="AH142">
        <v>0</v>
      </c>
      <c r="AI142" t="str" cm="1">
        <f t="array" ref="AI142">_xlfn.IFS(AG142=1, "starter", AH142=1, "legendary",T142&lt; 13, "weak",T142&lt; 17, "moderate", TRUE, "strong")</f>
        <v>moderate</v>
      </c>
      <c r="AK142">
        <v>1</v>
      </c>
      <c r="AL142">
        <v>0</v>
      </c>
      <c r="AM142">
        <v>0</v>
      </c>
    </row>
    <row r="143" spans="1:39" x14ac:dyDescent="0.25">
      <c r="A143">
        <v>472</v>
      </c>
      <c r="B143" t="s">
        <v>226</v>
      </c>
      <c r="C143" s="1" t="s">
        <v>13</v>
      </c>
      <c r="D143" s="1" t="s">
        <v>5</v>
      </c>
      <c r="E143">
        <v>75</v>
      </c>
      <c r="F143">
        <v>95</v>
      </c>
      <c r="G143">
        <v>125</v>
      </c>
      <c r="H143">
        <v>45</v>
      </c>
      <c r="I143">
        <v>75</v>
      </c>
      <c r="J143">
        <v>95</v>
      </c>
      <c r="K143" t="s">
        <v>413</v>
      </c>
      <c r="L143" t="s">
        <v>304</v>
      </c>
      <c r="M143" t="s">
        <v>299</v>
      </c>
      <c r="N143">
        <f t="shared" si="70"/>
        <v>9</v>
      </c>
      <c r="O143">
        <f t="shared" si="71"/>
        <v>9</v>
      </c>
      <c r="P143">
        <v>0</v>
      </c>
      <c r="Q143">
        <v>0</v>
      </c>
      <c r="R143" s="2">
        <f t="shared" si="72"/>
        <v>9</v>
      </c>
      <c r="S143" s="2">
        <f t="shared" si="73"/>
        <v>9</v>
      </c>
      <c r="T143" s="2">
        <f t="shared" si="74"/>
        <v>18</v>
      </c>
      <c r="U143" t="str">
        <f t="shared" si="68"/>
        <v>ground</v>
      </c>
      <c r="V143" t="str">
        <f t="shared" si="137"/>
        <v>flying</v>
      </c>
      <c r="W143" t="s">
        <v>3</v>
      </c>
      <c r="X143" t="s">
        <v>7</v>
      </c>
      <c r="Z143" s="2" t="str">
        <f t="shared" si="69"/>
        <v/>
      </c>
      <c r="AA143" t="str">
        <f t="shared" si="115"/>
        <v>Gliscor</v>
      </c>
      <c r="AC143" t="s">
        <v>485</v>
      </c>
      <c r="AD143" t="str">
        <f>VLOOKUP(AC143,moves!A:B,2,FALSE)</f>
        <v>ground</v>
      </c>
      <c r="AE143">
        <f>VLOOKUP(AC143,moves!A:D,4,FALSE)</f>
        <v>5</v>
      </c>
      <c r="AF143">
        <f>VLOOKUP(AC143,moves!A:F,5,FALSE)</f>
        <v>0</v>
      </c>
      <c r="AG143">
        <v>0</v>
      </c>
      <c r="AH143">
        <v>0</v>
      </c>
      <c r="AI143" t="str" cm="1">
        <f t="array" ref="AI143">_xlfn.IFS(AG143=1, "starter", AH143=1, "legendary",T143&lt; 13, "weak",T143&lt; 17, "moderate", TRUE, "strong")</f>
        <v>strong</v>
      </c>
      <c r="AK143">
        <v>2</v>
      </c>
      <c r="AL143">
        <v>0</v>
      </c>
      <c r="AM143">
        <v>0</v>
      </c>
    </row>
    <row r="144" spans="1:39" x14ac:dyDescent="0.25">
      <c r="A144">
        <v>220</v>
      </c>
      <c r="B144" t="s">
        <v>93</v>
      </c>
      <c r="C144" s="1" t="s">
        <v>14</v>
      </c>
      <c r="D144" s="1" t="s">
        <v>13</v>
      </c>
      <c r="E144">
        <v>50</v>
      </c>
      <c r="F144">
        <v>50</v>
      </c>
      <c r="G144">
        <v>40</v>
      </c>
      <c r="H144">
        <v>30</v>
      </c>
      <c r="I144">
        <v>30</v>
      </c>
      <c r="J144">
        <v>50</v>
      </c>
      <c r="K144" t="s">
        <v>414</v>
      </c>
      <c r="L144" t="s">
        <v>301</v>
      </c>
      <c r="M144" t="s">
        <v>299</v>
      </c>
      <c r="N144">
        <f t="shared" si="70"/>
        <v>4.8</v>
      </c>
      <c r="O144">
        <f t="shared" si="71"/>
        <v>4.0999999999999996</v>
      </c>
      <c r="P144">
        <v>0</v>
      </c>
      <c r="Q144">
        <v>1</v>
      </c>
      <c r="R144" s="2">
        <f t="shared" si="72"/>
        <v>5</v>
      </c>
      <c r="S144" s="2">
        <f t="shared" si="73"/>
        <v>5</v>
      </c>
      <c r="T144" s="2">
        <f t="shared" si="74"/>
        <v>10</v>
      </c>
      <c r="U144" t="str">
        <f t="shared" si="68"/>
        <v>ice</v>
      </c>
      <c r="V144" t="str">
        <f t="shared" si="137"/>
        <v>ground</v>
      </c>
      <c r="W144" t="s">
        <v>33</v>
      </c>
      <c r="X144" t="s">
        <v>22</v>
      </c>
      <c r="Y144" t="str">
        <f>B145</f>
        <v>Piloswine</v>
      </c>
      <c r="Z144" s="2">
        <f t="shared" si="69"/>
        <v>5</v>
      </c>
      <c r="AA144" t="str">
        <f t="shared" si="115"/>
        <v>Swinub</v>
      </c>
      <c r="AC144" t="s">
        <v>535</v>
      </c>
      <c r="AD144" t="str">
        <f>VLOOKUP(AC144,moves!A:B,2,FALSE)</f>
        <v>rock</v>
      </c>
      <c r="AE144">
        <f>VLOOKUP(AC144,moves!A:D,4,FALSE)</f>
        <v>2</v>
      </c>
      <c r="AF144" t="str">
        <f>VLOOKUP(AC144,moves!A:F,5,FALSE)</f>
        <v>boost</v>
      </c>
      <c r="AG144">
        <v>1</v>
      </c>
      <c r="AH144">
        <v>0</v>
      </c>
      <c r="AI144" t="str" cm="1">
        <f t="array" ref="AI144">_xlfn.IFS(AG144=1, "starter", AH144=1, "legendary",T144&lt; 13, "weak",T144&lt; 17, "moderate", TRUE, "strong")</f>
        <v>starter</v>
      </c>
      <c r="AK144">
        <v>1</v>
      </c>
      <c r="AL144">
        <v>0</v>
      </c>
      <c r="AM144">
        <v>0</v>
      </c>
    </row>
    <row r="145" spans="1:39" x14ac:dyDescent="0.25">
      <c r="A145">
        <v>221</v>
      </c>
      <c r="B145" t="s">
        <v>94</v>
      </c>
      <c r="C145" s="1" t="s">
        <v>14</v>
      </c>
      <c r="D145" s="1" t="s">
        <v>13</v>
      </c>
      <c r="E145">
        <v>100</v>
      </c>
      <c r="F145">
        <v>100</v>
      </c>
      <c r="G145">
        <v>80</v>
      </c>
      <c r="H145">
        <v>60</v>
      </c>
      <c r="I145">
        <v>60</v>
      </c>
      <c r="J145">
        <v>50</v>
      </c>
      <c r="K145" t="s">
        <v>415</v>
      </c>
      <c r="L145" t="s">
        <v>301</v>
      </c>
      <c r="M145" t="s">
        <v>299</v>
      </c>
      <c r="N145">
        <f t="shared" si="70"/>
        <v>7.6</v>
      </c>
      <c r="O145">
        <f t="shared" si="71"/>
        <v>8.1999999999999993</v>
      </c>
      <c r="P145">
        <v>-1</v>
      </c>
      <c r="Q145">
        <v>0</v>
      </c>
      <c r="R145" s="2">
        <f t="shared" si="72"/>
        <v>7</v>
      </c>
      <c r="S145" s="2">
        <f t="shared" si="73"/>
        <v>8</v>
      </c>
      <c r="T145" s="2">
        <f t="shared" si="74"/>
        <v>15</v>
      </c>
      <c r="U145" t="str">
        <f t="shared" si="68"/>
        <v>ice</v>
      </c>
      <c r="V145" t="str">
        <f t="shared" si="137"/>
        <v>ground</v>
      </c>
      <c r="W145" t="s">
        <v>33</v>
      </c>
      <c r="X145" t="s">
        <v>22</v>
      </c>
      <c r="Y145" t="str">
        <f>B146</f>
        <v>Mamoswine</v>
      </c>
      <c r="Z145" s="2">
        <f t="shared" si="69"/>
        <v>7</v>
      </c>
      <c r="AA145" t="str">
        <f t="shared" si="115"/>
        <v>Piloswine</v>
      </c>
      <c r="AC145" t="s">
        <v>638</v>
      </c>
      <c r="AD145" t="str">
        <f>VLOOKUP(AC145,moves!A:B,2,FALSE)</f>
        <v>ice</v>
      </c>
      <c r="AE145">
        <f>VLOOKUP(AC145,moves!A:D,4,FALSE)</f>
        <v>3</v>
      </c>
      <c r="AF145">
        <f>VLOOKUP(AC145,moves!A:F,5,FALSE)</f>
        <v>0</v>
      </c>
      <c r="AG145">
        <v>0</v>
      </c>
      <c r="AH145">
        <v>0</v>
      </c>
      <c r="AI145" t="str" cm="1">
        <f t="array" ref="AI145">_xlfn.IFS(AG145=1, "starter", AH145=1, "legendary",T145&lt; 13, "weak",T145&lt; 17, "moderate", TRUE, "strong")</f>
        <v>moderate</v>
      </c>
      <c r="AK145">
        <v>2</v>
      </c>
      <c r="AL145">
        <v>0</v>
      </c>
      <c r="AM145">
        <v>0</v>
      </c>
    </row>
    <row r="146" spans="1:39" x14ac:dyDescent="0.25">
      <c r="A146">
        <v>473</v>
      </c>
      <c r="B146" t="s">
        <v>227</v>
      </c>
      <c r="C146" s="1" t="s">
        <v>14</v>
      </c>
      <c r="D146" s="1" t="s">
        <v>13</v>
      </c>
      <c r="E146">
        <v>110</v>
      </c>
      <c r="F146">
        <v>130</v>
      </c>
      <c r="G146">
        <v>80</v>
      </c>
      <c r="H146">
        <v>70</v>
      </c>
      <c r="I146">
        <v>60</v>
      </c>
      <c r="J146">
        <v>80</v>
      </c>
      <c r="K146" t="s">
        <v>416</v>
      </c>
      <c r="L146" t="s">
        <v>301</v>
      </c>
      <c r="M146" t="s">
        <v>299</v>
      </c>
      <c r="N146">
        <f t="shared" si="70"/>
        <v>10.4</v>
      </c>
      <c r="O146">
        <f t="shared" si="71"/>
        <v>8.6</v>
      </c>
      <c r="P146">
        <v>0</v>
      </c>
      <c r="Q146">
        <v>0</v>
      </c>
      <c r="R146" s="2">
        <f t="shared" si="72"/>
        <v>10</v>
      </c>
      <c r="S146" s="2">
        <f t="shared" si="73"/>
        <v>9</v>
      </c>
      <c r="T146" s="2">
        <f t="shared" si="74"/>
        <v>19</v>
      </c>
      <c r="U146" t="str">
        <f t="shared" si="68"/>
        <v>ice</v>
      </c>
      <c r="V146" t="str">
        <f t="shared" si="137"/>
        <v>ground</v>
      </c>
      <c r="W146" t="s">
        <v>33</v>
      </c>
      <c r="X146" t="s">
        <v>22</v>
      </c>
      <c r="Z146" s="2" t="str">
        <f>IF(ISBLANK(Y146), "", ROUND(( (T148-6)*(T148-7) - (T146-6)*(T146-7) )/15, 0) + 1)</f>
        <v/>
      </c>
      <c r="AA146" t="str">
        <f t="shared" si="115"/>
        <v>Mamoswine</v>
      </c>
      <c r="AC146" t="s">
        <v>485</v>
      </c>
      <c r="AD146" t="str">
        <f>VLOOKUP(AC146,moves!A:B,2,FALSE)</f>
        <v>ground</v>
      </c>
      <c r="AE146">
        <f>VLOOKUP(AC146,moves!A:D,4,FALSE)</f>
        <v>5</v>
      </c>
      <c r="AF146">
        <f>VLOOKUP(AC146,moves!A:F,5,FALSE)</f>
        <v>0</v>
      </c>
      <c r="AG146">
        <v>0</v>
      </c>
      <c r="AH146">
        <v>0</v>
      </c>
      <c r="AI146" t="str" cm="1">
        <f t="array" ref="AI146">_xlfn.IFS(AG146=1, "starter", AH146=1, "legendary",T146&lt; 13, "weak",T146&lt; 17, "moderate", TRUE, "strong")</f>
        <v>strong</v>
      </c>
      <c r="AK146">
        <v>3</v>
      </c>
      <c r="AL146">
        <v>0</v>
      </c>
      <c r="AM146">
        <v>1</v>
      </c>
    </row>
    <row r="147" spans="1:39" x14ac:dyDescent="0.25">
      <c r="A147" s="31" t="s">
        <v>1049</v>
      </c>
      <c r="B147" t="s">
        <v>227</v>
      </c>
      <c r="C147" s="1" t="s">
        <v>14</v>
      </c>
      <c r="D147" s="1" t="s">
        <v>13</v>
      </c>
      <c r="E147">
        <v>110</v>
      </c>
      <c r="F147">
        <v>130</v>
      </c>
      <c r="G147">
        <v>80</v>
      </c>
      <c r="H147">
        <v>70</v>
      </c>
      <c r="I147">
        <v>60</v>
      </c>
      <c r="J147">
        <v>80</v>
      </c>
      <c r="K147" t="s">
        <v>416</v>
      </c>
      <c r="M147" t="s">
        <v>797</v>
      </c>
      <c r="N147">
        <f t="shared" ref="N147" si="138">(0.4*J147 + 0.5*MAX(F147,H147) + 0.1*MIN(F147,H147)) / 10</f>
        <v>10.4</v>
      </c>
      <c r="O147">
        <f t="shared" ref="O147" si="139">(0.4*E147 + 0.3*G147 + 0.3*I147) / 10</f>
        <v>8.6</v>
      </c>
      <c r="P147">
        <v>2</v>
      </c>
      <c r="Q147">
        <v>2</v>
      </c>
      <c r="R147" s="2">
        <f t="shared" ref="R147" si="140">ROUND(N147,0)+P147</f>
        <v>12</v>
      </c>
      <c r="S147" s="2">
        <f t="shared" ref="S147" si="141">ROUND(O147,0)+Q147</f>
        <v>11</v>
      </c>
      <c r="T147" s="2">
        <f t="shared" ref="T147" si="142">SUM(ROUND(R147,0),ROUND(S147,0))</f>
        <v>23</v>
      </c>
      <c r="U147" t="str">
        <f t="shared" ref="U147" si="143">C147</f>
        <v>ice</v>
      </c>
      <c r="V147" t="str">
        <f t="shared" ref="V147" si="144">IF(D147 = 0, "", D147)</f>
        <v>ground</v>
      </c>
      <c r="W147" t="s">
        <v>33</v>
      </c>
      <c r="X147" t="s">
        <v>22</v>
      </c>
      <c r="Z147" s="2" t="str">
        <f>IF(ISBLANK(Y147), "", ROUND(( (T149-6)*(T149-7) - (T147-6)*(T147-7) )/15, 0) + 1)</f>
        <v/>
      </c>
      <c r="AA147" t="str">
        <f t="shared" ref="AA147" si="145">B147</f>
        <v>Mamoswine</v>
      </c>
      <c r="AB147" t="s">
        <v>1070</v>
      </c>
      <c r="AC147" t="s">
        <v>485</v>
      </c>
      <c r="AD147" t="str">
        <f>VLOOKUP(AC147,moves!A:B,2,FALSE)</f>
        <v>ground</v>
      </c>
      <c r="AE147">
        <f>VLOOKUP(AC147,moves!A:D,4,FALSE)</f>
        <v>5</v>
      </c>
      <c r="AF147">
        <f>VLOOKUP(AC147,moves!A:F,5,FALSE)</f>
        <v>0</v>
      </c>
      <c r="AG147">
        <v>0</v>
      </c>
      <c r="AH147">
        <v>1</v>
      </c>
      <c r="AI147" t="str" cm="1">
        <f t="array" ref="AI147">_xlfn.IFS(AG147=1, "starter", AH147=1, "legendary",T147&lt; 13, "weak",T147&lt; 17, "moderate", TRUE, "strong")</f>
        <v>legendary</v>
      </c>
      <c r="AK147">
        <v>3</v>
      </c>
      <c r="AL147">
        <v>0</v>
      </c>
      <c r="AM147">
        <v>2</v>
      </c>
    </row>
    <row r="148" spans="1:39" x14ac:dyDescent="0.25">
      <c r="A148">
        <v>280</v>
      </c>
      <c r="B148" t="s">
        <v>116</v>
      </c>
      <c r="C148" s="1" t="s">
        <v>26</v>
      </c>
      <c r="D148" s="1" t="s">
        <v>16</v>
      </c>
      <c r="E148">
        <v>28</v>
      </c>
      <c r="F148">
        <v>25</v>
      </c>
      <c r="G148">
        <v>25</v>
      </c>
      <c r="H148">
        <v>45</v>
      </c>
      <c r="I148">
        <v>35</v>
      </c>
      <c r="J148">
        <v>40</v>
      </c>
      <c r="K148" t="s">
        <v>417</v>
      </c>
      <c r="L148" t="s">
        <v>298</v>
      </c>
      <c r="M148" t="s">
        <v>299</v>
      </c>
      <c r="N148">
        <f t="shared" si="70"/>
        <v>4.0999999999999996</v>
      </c>
      <c r="O148">
        <f t="shared" si="71"/>
        <v>2.9200000000000004</v>
      </c>
      <c r="P148">
        <v>0</v>
      </c>
      <c r="Q148">
        <v>0</v>
      </c>
      <c r="R148" s="2">
        <f t="shared" si="72"/>
        <v>4</v>
      </c>
      <c r="S148" s="2">
        <f t="shared" si="73"/>
        <v>3</v>
      </c>
      <c r="T148" s="2">
        <f t="shared" si="74"/>
        <v>7</v>
      </c>
      <c r="U148" t="str">
        <f t="shared" si="68"/>
        <v>psychic</v>
      </c>
      <c r="V148" t="str">
        <f t="shared" si="137"/>
        <v>fairy</v>
      </c>
      <c r="W148" t="s">
        <v>42</v>
      </c>
      <c r="X148" t="s">
        <v>8</v>
      </c>
      <c r="Y148" t="str">
        <f>B149</f>
        <v>Kirlia</v>
      </c>
      <c r="Z148" s="2">
        <f t="shared" si="69"/>
        <v>2</v>
      </c>
      <c r="AA148" t="str">
        <f t="shared" si="115"/>
        <v>Ralts</v>
      </c>
      <c r="AC148" t="s">
        <v>541</v>
      </c>
      <c r="AD148" t="str">
        <f>VLOOKUP(AC148,moves!A:B,2,FALSE)</f>
        <v>psychic</v>
      </c>
      <c r="AE148">
        <f>VLOOKUP(AC148,moves!A:D,4,FALSE)</f>
        <v>1</v>
      </c>
      <c r="AF148" t="str">
        <f>VLOOKUP(AC148,moves!A:F,5,FALSE)</f>
        <v>switch</v>
      </c>
      <c r="AG148">
        <v>0</v>
      </c>
      <c r="AH148">
        <v>0</v>
      </c>
      <c r="AI148" t="str" cm="1">
        <f t="array" ref="AI148">_xlfn.IFS(AG148=1, "starter", AH148=1, "legendary",T148&lt; 13, "weak",T148&lt; 17, "moderate", TRUE, "strong")</f>
        <v>weak</v>
      </c>
      <c r="AK148">
        <v>1</v>
      </c>
      <c r="AL148">
        <v>0</v>
      </c>
      <c r="AM148">
        <v>0</v>
      </c>
    </row>
    <row r="149" spans="1:39" x14ac:dyDescent="0.25">
      <c r="A149">
        <v>281</v>
      </c>
      <c r="B149" t="s">
        <v>117</v>
      </c>
      <c r="C149" s="1" t="s">
        <v>26</v>
      </c>
      <c r="D149" s="1" t="s">
        <v>16</v>
      </c>
      <c r="E149">
        <v>38</v>
      </c>
      <c r="F149">
        <v>35</v>
      </c>
      <c r="G149">
        <v>35</v>
      </c>
      <c r="H149">
        <v>65</v>
      </c>
      <c r="I149">
        <v>55</v>
      </c>
      <c r="J149">
        <v>50</v>
      </c>
      <c r="K149" t="s">
        <v>418</v>
      </c>
      <c r="L149" t="s">
        <v>298</v>
      </c>
      <c r="M149" t="s">
        <v>299</v>
      </c>
      <c r="N149">
        <f t="shared" si="70"/>
        <v>5.6</v>
      </c>
      <c r="O149">
        <f t="shared" si="71"/>
        <v>4.2200000000000006</v>
      </c>
      <c r="P149">
        <v>0</v>
      </c>
      <c r="Q149">
        <v>0</v>
      </c>
      <c r="R149" s="2">
        <f t="shared" si="72"/>
        <v>6</v>
      </c>
      <c r="S149" s="2">
        <f t="shared" si="73"/>
        <v>4</v>
      </c>
      <c r="T149" s="2">
        <f t="shared" si="74"/>
        <v>10</v>
      </c>
      <c r="U149" t="str">
        <f t="shared" si="68"/>
        <v>psychic</v>
      </c>
      <c r="V149" t="str">
        <f t="shared" si="137"/>
        <v>fairy</v>
      </c>
      <c r="W149" t="s">
        <v>42</v>
      </c>
      <c r="X149" t="s">
        <v>8</v>
      </c>
      <c r="Y149" t="s">
        <v>463</v>
      </c>
      <c r="Z149" s="2">
        <f t="shared" si="69"/>
        <v>9</v>
      </c>
      <c r="AA149" t="str">
        <f t="shared" si="115"/>
        <v>Kirlia</v>
      </c>
      <c r="AC149" t="s">
        <v>497</v>
      </c>
      <c r="AD149" t="str">
        <f>VLOOKUP(AC149,moves!A:B,2,FALSE)</f>
        <v>psychic</v>
      </c>
      <c r="AE149">
        <f>VLOOKUP(AC149,moves!A:D,4,FALSE)</f>
        <v>2</v>
      </c>
      <c r="AF149">
        <f>VLOOKUP(AC149,moves!A:F,5,FALSE)</f>
        <v>0</v>
      </c>
      <c r="AG149">
        <v>0</v>
      </c>
      <c r="AH149">
        <v>0</v>
      </c>
      <c r="AI149" t="str" cm="1">
        <f t="array" ref="AI149">_xlfn.IFS(AG149=1, "starter", AH149=1, "legendary",T149&lt; 13, "weak",T149&lt; 17, "moderate", TRUE, "strong")</f>
        <v>weak</v>
      </c>
      <c r="AK149">
        <v>2</v>
      </c>
      <c r="AL149">
        <v>0</v>
      </c>
      <c r="AM149">
        <v>0</v>
      </c>
    </row>
    <row r="150" spans="1:39" x14ac:dyDescent="0.25">
      <c r="A150">
        <v>282</v>
      </c>
      <c r="B150" t="s">
        <v>118</v>
      </c>
      <c r="C150" s="1" t="s">
        <v>26</v>
      </c>
      <c r="D150" s="1" t="s">
        <v>16</v>
      </c>
      <c r="E150">
        <v>68</v>
      </c>
      <c r="F150">
        <v>65</v>
      </c>
      <c r="G150">
        <v>65</v>
      </c>
      <c r="H150">
        <v>125</v>
      </c>
      <c r="I150">
        <v>115</v>
      </c>
      <c r="J150">
        <v>80</v>
      </c>
      <c r="K150" t="s">
        <v>419</v>
      </c>
      <c r="L150" t="s">
        <v>298</v>
      </c>
      <c r="M150" t="s">
        <v>299</v>
      </c>
      <c r="N150">
        <f t="shared" si="70"/>
        <v>10.1</v>
      </c>
      <c r="O150">
        <f t="shared" si="71"/>
        <v>8.120000000000001</v>
      </c>
      <c r="P150">
        <v>0</v>
      </c>
      <c r="Q150">
        <v>0</v>
      </c>
      <c r="R150" s="2">
        <f t="shared" si="72"/>
        <v>10</v>
      </c>
      <c r="S150" s="2">
        <f t="shared" si="73"/>
        <v>8</v>
      </c>
      <c r="T150" s="2">
        <f t="shared" si="74"/>
        <v>18</v>
      </c>
      <c r="U150" t="str">
        <f t="shared" ref="U150:U227" si="146">C150</f>
        <v>psychic</v>
      </c>
      <c r="V150" t="str">
        <f t="shared" si="137"/>
        <v>fairy</v>
      </c>
      <c r="W150" t="s">
        <v>42</v>
      </c>
      <c r="X150" t="s">
        <v>14</v>
      </c>
      <c r="Z150" s="2" t="str">
        <f t="shared" ref="Z150:Z227" si="147">IF(ISBLANK(Y150), "", ROUND(( (T151-6)*(T151-7) - (T150-6)*(T150-7) )/15, 0) + 1)</f>
        <v/>
      </c>
      <c r="AA150" t="str">
        <f t="shared" si="115"/>
        <v>Gardevoir</v>
      </c>
      <c r="AC150" t="s">
        <v>536</v>
      </c>
      <c r="AD150" t="str">
        <f>VLOOKUP(AC150,moves!A:B,2,FALSE)</f>
        <v>fairy</v>
      </c>
      <c r="AE150">
        <f>VLOOKUP(AC150,moves!A:D,4,FALSE)</f>
        <v>5</v>
      </c>
      <c r="AF150">
        <f>VLOOKUP(AC150,moves!A:F,5,FALSE)</f>
        <v>0</v>
      </c>
      <c r="AG150">
        <v>0</v>
      </c>
      <c r="AH150">
        <v>0</v>
      </c>
      <c r="AI150" t="str" cm="1">
        <f t="array" ref="AI150">_xlfn.IFS(AG150=1, "starter", AH150=1, "legendary",T150&lt; 13, "weak",T150&lt; 17, "moderate", TRUE, "strong")</f>
        <v>strong</v>
      </c>
      <c r="AK150">
        <v>3</v>
      </c>
      <c r="AL150">
        <v>0</v>
      </c>
      <c r="AM150">
        <v>0</v>
      </c>
    </row>
    <row r="151" spans="1:39" x14ac:dyDescent="0.25">
      <c r="A151">
        <v>475</v>
      </c>
      <c r="B151" t="s">
        <v>228</v>
      </c>
      <c r="C151" s="1" t="s">
        <v>26</v>
      </c>
      <c r="D151" s="1" t="s">
        <v>22</v>
      </c>
      <c r="E151">
        <v>68</v>
      </c>
      <c r="F151">
        <v>125</v>
      </c>
      <c r="G151">
        <v>65</v>
      </c>
      <c r="H151">
        <v>65</v>
      </c>
      <c r="I151">
        <v>115</v>
      </c>
      <c r="J151">
        <v>80</v>
      </c>
      <c r="K151" t="s">
        <v>420</v>
      </c>
      <c r="L151" t="s">
        <v>298</v>
      </c>
      <c r="M151" t="s">
        <v>299</v>
      </c>
      <c r="N151">
        <f t="shared" ref="N151:N228" si="148">(0.4*J151 + 0.5*MAX(F151,H151) + 0.1*MIN(F151,H151)) / 10</f>
        <v>10.1</v>
      </c>
      <c r="O151">
        <f t="shared" ref="O151:O228" si="149">(0.4*E151 + 0.3*G151 + 0.3*I151) / 10</f>
        <v>8.120000000000001</v>
      </c>
      <c r="P151">
        <v>0</v>
      </c>
      <c r="Q151">
        <v>0</v>
      </c>
      <c r="R151" s="2">
        <f t="shared" ref="R151:R228" si="150">ROUND(N151,0)+P151</f>
        <v>10</v>
      </c>
      <c r="S151" s="2">
        <f t="shared" ref="S151:S228" si="151">ROUND(O151,0)+Q151</f>
        <v>8</v>
      </c>
      <c r="T151" s="2">
        <f t="shared" ref="T151:T228" si="152">SUM(ROUND(R151,0),ROUND(S151,0))</f>
        <v>18</v>
      </c>
      <c r="U151" t="str">
        <f t="shared" si="146"/>
        <v>psychic</v>
      </c>
      <c r="V151" t="str">
        <f t="shared" si="137"/>
        <v>fighting</v>
      </c>
      <c r="W151" t="s">
        <v>2</v>
      </c>
      <c r="X151" t="s">
        <v>3</v>
      </c>
      <c r="Z151" s="2" t="str">
        <f t="shared" si="147"/>
        <v/>
      </c>
      <c r="AA151" t="str">
        <f t="shared" si="115"/>
        <v>Gallade</v>
      </c>
      <c r="AC151" t="s">
        <v>493</v>
      </c>
      <c r="AD151" t="str">
        <f>VLOOKUP(AC151,moves!A:B,2,FALSE)</f>
        <v>fighting</v>
      </c>
      <c r="AE151">
        <f>VLOOKUP(AC151,moves!A:D,4,FALSE)</f>
        <v>5</v>
      </c>
      <c r="AF151">
        <f>VLOOKUP(AC151,moves!A:F,5,FALSE)</f>
        <v>0</v>
      </c>
      <c r="AG151">
        <v>0</v>
      </c>
      <c r="AH151">
        <v>0</v>
      </c>
      <c r="AI151" t="str" cm="1">
        <f t="array" ref="AI151">_xlfn.IFS(AG151=1, "starter", AH151=1, "legendary",T151&lt; 13, "weak",T151&lt; 17, "moderate", TRUE, "strong")</f>
        <v>strong</v>
      </c>
      <c r="AK151">
        <v>3</v>
      </c>
      <c r="AL151">
        <v>0</v>
      </c>
      <c r="AM151">
        <v>0</v>
      </c>
    </row>
    <row r="152" spans="1:39" x14ac:dyDescent="0.25">
      <c r="A152">
        <v>299</v>
      </c>
      <c r="B152" t="s">
        <v>120</v>
      </c>
      <c r="C152" s="1" t="s">
        <v>33</v>
      </c>
      <c r="E152">
        <v>30</v>
      </c>
      <c r="F152">
        <v>45</v>
      </c>
      <c r="G152">
        <v>135</v>
      </c>
      <c r="H152">
        <v>45</v>
      </c>
      <c r="I152">
        <v>90</v>
      </c>
      <c r="J152">
        <v>30</v>
      </c>
      <c r="K152" t="s">
        <v>421</v>
      </c>
      <c r="L152" t="s">
        <v>301</v>
      </c>
      <c r="M152" t="s">
        <v>299</v>
      </c>
      <c r="N152">
        <f t="shared" si="148"/>
        <v>3.9</v>
      </c>
      <c r="O152">
        <f t="shared" si="149"/>
        <v>7.95</v>
      </c>
      <c r="P152">
        <v>0</v>
      </c>
      <c r="Q152">
        <v>0</v>
      </c>
      <c r="R152" s="2">
        <f t="shared" si="150"/>
        <v>4</v>
      </c>
      <c r="S152" s="2">
        <f t="shared" si="151"/>
        <v>8</v>
      </c>
      <c r="T152" s="2">
        <f t="shared" si="152"/>
        <v>12</v>
      </c>
      <c r="U152" t="str">
        <f t="shared" si="146"/>
        <v>rock</v>
      </c>
      <c r="V152" s="1" t="s">
        <v>39</v>
      </c>
      <c r="W152" t="s">
        <v>11</v>
      </c>
      <c r="X152" t="s">
        <v>22</v>
      </c>
      <c r="Y152" t="str">
        <f>B153</f>
        <v>Probopass</v>
      </c>
      <c r="Z152" s="2">
        <f t="shared" si="147"/>
        <v>6</v>
      </c>
      <c r="AA152" t="str">
        <f t="shared" si="115"/>
        <v>Nosepass</v>
      </c>
      <c r="AC152" t="s">
        <v>501</v>
      </c>
      <c r="AD152" t="str">
        <f>VLOOKUP(AC152,moves!A:B,2,FALSE)</f>
        <v>rock</v>
      </c>
      <c r="AE152">
        <f>VLOOKUP(AC152,moves!A:D,4,FALSE)</f>
        <v>5</v>
      </c>
      <c r="AF152">
        <f>VLOOKUP(AC152,moves!A:F,5,FALSE)</f>
        <v>0</v>
      </c>
      <c r="AG152">
        <v>0</v>
      </c>
      <c r="AH152">
        <v>0</v>
      </c>
      <c r="AI152" t="str" cm="1">
        <f t="array" ref="AI152">_xlfn.IFS(AG152=1, "starter", AH152=1, "legendary",T152&lt; 13, "weak",T152&lt; 17, "moderate", TRUE, "strong")</f>
        <v>weak</v>
      </c>
      <c r="AK152">
        <v>1</v>
      </c>
      <c r="AL152">
        <v>0</v>
      </c>
      <c r="AM152">
        <v>0</v>
      </c>
    </row>
    <row r="153" spans="1:39" x14ac:dyDescent="0.25">
      <c r="A153">
        <v>476</v>
      </c>
      <c r="B153" t="s">
        <v>229</v>
      </c>
      <c r="C153" s="1" t="s">
        <v>33</v>
      </c>
      <c r="D153" s="1" t="s">
        <v>39</v>
      </c>
      <c r="E153">
        <v>60</v>
      </c>
      <c r="F153">
        <v>55</v>
      </c>
      <c r="G153">
        <v>145</v>
      </c>
      <c r="H153">
        <v>75</v>
      </c>
      <c r="I153">
        <v>150</v>
      </c>
      <c r="J153">
        <v>40</v>
      </c>
      <c r="K153" t="s">
        <v>421</v>
      </c>
      <c r="L153" t="s">
        <v>301</v>
      </c>
      <c r="M153" t="s">
        <v>299</v>
      </c>
      <c r="N153">
        <f t="shared" si="148"/>
        <v>5.9</v>
      </c>
      <c r="O153">
        <f t="shared" si="149"/>
        <v>11.25</v>
      </c>
      <c r="P153">
        <v>0</v>
      </c>
      <c r="Q153">
        <v>0</v>
      </c>
      <c r="R153" s="2">
        <f t="shared" si="150"/>
        <v>6</v>
      </c>
      <c r="S153" s="2">
        <f t="shared" si="151"/>
        <v>11</v>
      </c>
      <c r="T153" s="2">
        <f t="shared" si="152"/>
        <v>17</v>
      </c>
      <c r="U153" t="str">
        <f t="shared" si="146"/>
        <v>rock</v>
      </c>
      <c r="V153" t="str">
        <f>IF(D153 = 0, "", D153)</f>
        <v>steel</v>
      </c>
      <c r="W153" t="s">
        <v>11</v>
      </c>
      <c r="X153" t="s">
        <v>22</v>
      </c>
      <c r="Z153" s="2" t="str">
        <f t="shared" si="147"/>
        <v/>
      </c>
      <c r="AA153" t="str">
        <f t="shared" si="115"/>
        <v>Probopass</v>
      </c>
      <c r="AC153" t="s">
        <v>573</v>
      </c>
      <c r="AD153" t="str">
        <f>VLOOKUP(AC153,moves!A:B,2,FALSE)</f>
        <v>electric</v>
      </c>
      <c r="AE153">
        <f>VLOOKUP(AC153,moves!A:D,4,FALSE)</f>
        <v>5</v>
      </c>
      <c r="AF153">
        <f>VLOOKUP(AC153,moves!A:F,5,FALSE)</f>
        <v>0</v>
      </c>
      <c r="AG153">
        <v>0</v>
      </c>
      <c r="AH153">
        <v>0</v>
      </c>
      <c r="AI153" t="str" cm="1">
        <f t="array" ref="AI153">_xlfn.IFS(AG153=1, "starter", AH153=1, "legendary",T153&lt; 13, "weak",T153&lt; 17, "moderate", TRUE, "strong")</f>
        <v>strong</v>
      </c>
      <c r="AK153">
        <v>2</v>
      </c>
      <c r="AL153">
        <v>0</v>
      </c>
      <c r="AM153">
        <v>0</v>
      </c>
    </row>
    <row r="154" spans="1:39" x14ac:dyDescent="0.25">
      <c r="A154">
        <v>355</v>
      </c>
      <c r="B154" t="s">
        <v>128</v>
      </c>
      <c r="C154" s="1" t="s">
        <v>42</v>
      </c>
      <c r="E154">
        <v>20</v>
      </c>
      <c r="F154">
        <v>40</v>
      </c>
      <c r="G154">
        <v>90</v>
      </c>
      <c r="H154">
        <v>30</v>
      </c>
      <c r="I154">
        <v>90</v>
      </c>
      <c r="J154">
        <v>25</v>
      </c>
      <c r="K154" t="s">
        <v>422</v>
      </c>
      <c r="L154" t="s">
        <v>304</v>
      </c>
      <c r="M154" t="s">
        <v>299</v>
      </c>
      <c r="N154">
        <f t="shared" si="148"/>
        <v>3.3</v>
      </c>
      <c r="O154">
        <f t="shared" si="149"/>
        <v>6.2</v>
      </c>
      <c r="P154">
        <v>0</v>
      </c>
      <c r="Q154">
        <v>1</v>
      </c>
      <c r="R154" s="2">
        <f t="shared" si="150"/>
        <v>3</v>
      </c>
      <c r="S154" s="2">
        <f t="shared" si="151"/>
        <v>7</v>
      </c>
      <c r="T154" s="2">
        <f t="shared" si="152"/>
        <v>10</v>
      </c>
      <c r="U154" t="str">
        <f t="shared" si="146"/>
        <v>ghost</v>
      </c>
      <c r="V154" t="s">
        <v>14</v>
      </c>
      <c r="W154" t="s">
        <v>13</v>
      </c>
      <c r="X154" t="s">
        <v>22</v>
      </c>
      <c r="Y154" t="str">
        <f>B155</f>
        <v>Dusclops</v>
      </c>
      <c r="Z154" s="2">
        <f t="shared" si="147"/>
        <v>4</v>
      </c>
      <c r="AA154" t="str">
        <f t="shared" si="115"/>
        <v>Duskull</v>
      </c>
      <c r="AC154" t="s">
        <v>549</v>
      </c>
      <c r="AD154" t="str">
        <f>VLOOKUP(AC154,moves!A:B,2,FALSE)</f>
        <v>ghost</v>
      </c>
      <c r="AE154">
        <f>VLOOKUP(AC154,moves!A:D,4,FALSE)</f>
        <v>1</v>
      </c>
      <c r="AF154" t="str">
        <f>VLOOKUP(AC154,moves!A:F,5,FALSE)</f>
        <v>agile</v>
      </c>
      <c r="AG154">
        <v>1</v>
      </c>
      <c r="AH154">
        <v>0</v>
      </c>
      <c r="AI154" t="str" cm="1">
        <f t="array" ref="AI154">_xlfn.IFS(AG154=1, "starter", AH154=1, "legendary",T154&lt; 13, "weak",T154&lt; 17, "moderate", TRUE, "strong")</f>
        <v>starter</v>
      </c>
      <c r="AK154">
        <v>1</v>
      </c>
      <c r="AL154">
        <v>0</v>
      </c>
      <c r="AM154">
        <v>0</v>
      </c>
    </row>
    <row r="155" spans="1:39" x14ac:dyDescent="0.25">
      <c r="A155">
        <v>356</v>
      </c>
      <c r="B155" t="s">
        <v>129</v>
      </c>
      <c r="C155" s="1" t="s">
        <v>42</v>
      </c>
      <c r="E155">
        <v>40</v>
      </c>
      <c r="F155">
        <v>70</v>
      </c>
      <c r="G155">
        <v>130</v>
      </c>
      <c r="H155">
        <v>60</v>
      </c>
      <c r="I155">
        <v>130</v>
      </c>
      <c r="J155">
        <v>25</v>
      </c>
      <c r="K155" t="s">
        <v>423</v>
      </c>
      <c r="L155" t="s">
        <v>304</v>
      </c>
      <c r="M155" t="s">
        <v>299</v>
      </c>
      <c r="N155">
        <f t="shared" si="148"/>
        <v>5.0999999999999996</v>
      </c>
      <c r="O155">
        <f t="shared" si="149"/>
        <v>9.4</v>
      </c>
      <c r="P155">
        <v>0</v>
      </c>
      <c r="Q155">
        <v>0</v>
      </c>
      <c r="R155" s="2">
        <f t="shared" si="150"/>
        <v>5</v>
      </c>
      <c r="S155" s="2">
        <f t="shared" si="151"/>
        <v>9</v>
      </c>
      <c r="T155" s="2">
        <f t="shared" si="152"/>
        <v>14</v>
      </c>
      <c r="U155" t="str">
        <f t="shared" si="146"/>
        <v>ghost</v>
      </c>
      <c r="V155" t="s">
        <v>14</v>
      </c>
      <c r="W155" t="s">
        <v>13</v>
      </c>
      <c r="X155" t="s">
        <v>22</v>
      </c>
      <c r="Y155" t="str">
        <f>B156</f>
        <v>Dusknoir</v>
      </c>
      <c r="Z155" s="2">
        <f t="shared" si="147"/>
        <v>6</v>
      </c>
      <c r="AA155" t="str">
        <f t="shared" si="115"/>
        <v>Dusclops</v>
      </c>
      <c r="AC155" t="s">
        <v>502</v>
      </c>
      <c r="AD155" t="str">
        <f>VLOOKUP(AC155,moves!A:B,2,FALSE)</f>
        <v>ghost</v>
      </c>
      <c r="AE155">
        <f>VLOOKUP(AC155,moves!A:D,4,FALSE)</f>
        <v>3</v>
      </c>
      <c r="AF155">
        <f>VLOOKUP(AC155,moves!A:F,5,FALSE)</f>
        <v>0</v>
      </c>
      <c r="AG155">
        <v>0</v>
      </c>
      <c r="AH155">
        <v>0</v>
      </c>
      <c r="AI155" t="str" cm="1">
        <f t="array" ref="AI155">_xlfn.IFS(AG155=1, "starter", AH155=1, "legendary",T155&lt; 13, "weak",T155&lt; 17, "moderate", TRUE, "strong")</f>
        <v>moderate</v>
      </c>
      <c r="AK155">
        <v>2</v>
      </c>
      <c r="AL155">
        <v>0</v>
      </c>
      <c r="AM155">
        <v>0</v>
      </c>
    </row>
    <row r="156" spans="1:39" x14ac:dyDescent="0.25">
      <c r="A156">
        <v>477</v>
      </c>
      <c r="B156" t="s">
        <v>230</v>
      </c>
      <c r="C156" s="1" t="s">
        <v>42</v>
      </c>
      <c r="E156">
        <v>45</v>
      </c>
      <c r="F156">
        <v>100</v>
      </c>
      <c r="G156">
        <v>135</v>
      </c>
      <c r="H156">
        <v>65</v>
      </c>
      <c r="I156">
        <v>135</v>
      </c>
      <c r="J156">
        <v>45</v>
      </c>
      <c r="K156" t="s">
        <v>424</v>
      </c>
      <c r="L156" t="s">
        <v>304</v>
      </c>
      <c r="M156" t="s">
        <v>299</v>
      </c>
      <c r="N156">
        <f t="shared" si="148"/>
        <v>7.45</v>
      </c>
      <c r="O156">
        <f t="shared" si="149"/>
        <v>9.9</v>
      </c>
      <c r="P156">
        <v>0</v>
      </c>
      <c r="Q156">
        <v>1</v>
      </c>
      <c r="R156" s="2">
        <f t="shared" si="150"/>
        <v>7</v>
      </c>
      <c r="S156" s="2">
        <f t="shared" si="151"/>
        <v>11</v>
      </c>
      <c r="T156" s="2">
        <f t="shared" si="152"/>
        <v>18</v>
      </c>
      <c r="U156" t="str">
        <f t="shared" si="146"/>
        <v>ghost</v>
      </c>
      <c r="V156" t="s">
        <v>14</v>
      </c>
      <c r="W156" t="s">
        <v>13</v>
      </c>
      <c r="X156" t="s">
        <v>22</v>
      </c>
      <c r="Z156" s="2" t="str">
        <f>IF(ISBLANK(Y156), "", ROUND(( (T158-6)*(T158-7) - (T156-6)*(T156-7) )/15, 0) + 1)</f>
        <v/>
      </c>
      <c r="AA156" t="str">
        <f t="shared" si="115"/>
        <v>Dusknoir</v>
      </c>
      <c r="AC156" t="s">
        <v>599</v>
      </c>
      <c r="AD156" t="str">
        <f>VLOOKUP(AC156,moves!A:B,2,FALSE)</f>
        <v>ice</v>
      </c>
      <c r="AE156">
        <f>VLOOKUP(AC156,moves!A:D,4,FALSE)</f>
        <v>4</v>
      </c>
      <c r="AF156">
        <f>VLOOKUP(AC156,moves!A:F,5,FALSE)</f>
        <v>0</v>
      </c>
      <c r="AG156">
        <v>0</v>
      </c>
      <c r="AH156">
        <v>0</v>
      </c>
      <c r="AI156" t="str" cm="1">
        <f t="array" ref="AI156">_xlfn.IFS(AG156=1, "starter", AH156=1, "legendary",T156&lt; 13, "weak",T156&lt; 17, "moderate", TRUE, "strong")</f>
        <v>strong</v>
      </c>
      <c r="AK156">
        <v>3</v>
      </c>
      <c r="AL156">
        <v>0</v>
      </c>
      <c r="AM156">
        <v>1</v>
      </c>
    </row>
    <row r="157" spans="1:39" x14ac:dyDescent="0.25">
      <c r="A157" s="31" t="s">
        <v>1050</v>
      </c>
      <c r="B157" t="s">
        <v>230</v>
      </c>
      <c r="C157" s="1" t="s">
        <v>42</v>
      </c>
      <c r="E157">
        <v>45</v>
      </c>
      <c r="F157">
        <v>100</v>
      </c>
      <c r="G157">
        <v>135</v>
      </c>
      <c r="H157">
        <v>65</v>
      </c>
      <c r="I157">
        <v>135</v>
      </c>
      <c r="J157">
        <v>45</v>
      </c>
      <c r="K157" t="s">
        <v>424</v>
      </c>
      <c r="M157" t="s">
        <v>797</v>
      </c>
      <c r="N157">
        <f t="shared" ref="N157" si="153">(0.4*J157 + 0.5*MAX(F157,H157) + 0.1*MIN(F157,H157)) / 10</f>
        <v>7.45</v>
      </c>
      <c r="O157">
        <f t="shared" ref="O157" si="154">(0.4*E157 + 0.3*G157 + 0.3*I157) / 10</f>
        <v>9.9</v>
      </c>
      <c r="P157">
        <v>2</v>
      </c>
      <c r="Q157">
        <v>3</v>
      </c>
      <c r="R157" s="2">
        <f t="shared" ref="R157" si="155">ROUND(N157,0)+P157</f>
        <v>9</v>
      </c>
      <c r="S157" s="2">
        <f t="shared" ref="S157" si="156">ROUND(O157,0)+Q157</f>
        <v>13</v>
      </c>
      <c r="T157" s="2">
        <f t="shared" ref="T157" si="157">SUM(ROUND(R157,0),ROUND(S157,0))</f>
        <v>22</v>
      </c>
      <c r="U157" t="str">
        <f t="shared" ref="U157" si="158">C157</f>
        <v>ghost</v>
      </c>
      <c r="V157" t="s">
        <v>14</v>
      </c>
      <c r="W157" t="s">
        <v>13</v>
      </c>
      <c r="X157" t="s">
        <v>22</v>
      </c>
      <c r="Z157" s="2" t="str">
        <f>IF(ISBLANK(Y157), "", ROUND(( (T159-6)*(T159-7) - (T157-6)*(T157-7) )/15, 0) + 1)</f>
        <v/>
      </c>
      <c r="AA157" t="str">
        <f t="shared" ref="AA157" si="159">B157</f>
        <v>Dusknoir</v>
      </c>
      <c r="AB157" t="s">
        <v>1070</v>
      </c>
      <c r="AC157" t="s">
        <v>599</v>
      </c>
      <c r="AD157" t="str">
        <f>VLOOKUP(AC157,moves!A:B,2,FALSE)</f>
        <v>ice</v>
      </c>
      <c r="AE157">
        <f>VLOOKUP(AC157,moves!A:D,4,FALSE)</f>
        <v>4</v>
      </c>
      <c r="AF157">
        <f>VLOOKUP(AC157,moves!A:F,5,FALSE)</f>
        <v>0</v>
      </c>
      <c r="AG157">
        <v>0</v>
      </c>
      <c r="AH157">
        <v>1</v>
      </c>
      <c r="AI157" t="str" cm="1">
        <f t="array" ref="AI157">_xlfn.IFS(AG157=1, "starter", AH157=1, "legendary",T157&lt; 13, "weak",T157&lt; 17, "moderate", TRUE, "strong")</f>
        <v>legendary</v>
      </c>
      <c r="AK157">
        <v>3</v>
      </c>
      <c r="AL157">
        <v>0</v>
      </c>
      <c r="AM157">
        <v>2</v>
      </c>
    </row>
    <row r="158" spans="1:39" x14ac:dyDescent="0.25">
      <c r="A158">
        <v>361</v>
      </c>
      <c r="B158" t="s">
        <v>132</v>
      </c>
      <c r="C158" s="1" t="s">
        <v>14</v>
      </c>
      <c r="E158">
        <v>50</v>
      </c>
      <c r="F158">
        <v>50</v>
      </c>
      <c r="G158">
        <v>50</v>
      </c>
      <c r="H158">
        <v>50</v>
      </c>
      <c r="I158">
        <v>50</v>
      </c>
      <c r="J158">
        <v>50</v>
      </c>
      <c r="K158" t="s">
        <v>425</v>
      </c>
      <c r="L158" t="s">
        <v>301</v>
      </c>
      <c r="M158" t="s">
        <v>299</v>
      </c>
      <c r="N158">
        <f t="shared" si="148"/>
        <v>5</v>
      </c>
      <c r="O158">
        <f t="shared" si="149"/>
        <v>5</v>
      </c>
      <c r="P158">
        <v>0</v>
      </c>
      <c r="Q158">
        <v>0</v>
      </c>
      <c r="R158" s="2">
        <f t="shared" si="150"/>
        <v>5</v>
      </c>
      <c r="S158" s="2">
        <f t="shared" si="151"/>
        <v>5</v>
      </c>
      <c r="T158" s="2">
        <f t="shared" si="152"/>
        <v>10</v>
      </c>
      <c r="U158" t="str">
        <f t="shared" si="146"/>
        <v>ice</v>
      </c>
      <c r="V158" s="1" t="s">
        <v>8</v>
      </c>
      <c r="W158" t="s">
        <v>9</v>
      </c>
      <c r="X158" t="s">
        <v>42</v>
      </c>
      <c r="Y158" t="s">
        <v>464</v>
      </c>
      <c r="Z158" s="2">
        <f t="shared" si="147"/>
        <v>6</v>
      </c>
      <c r="AA158" t="str">
        <f t="shared" si="115"/>
        <v>Snorunt</v>
      </c>
      <c r="AC158" t="s">
        <v>491</v>
      </c>
      <c r="AD158" t="str">
        <f>VLOOKUP(AC158,moves!A:B,2,FALSE)</f>
        <v>ice</v>
      </c>
      <c r="AE158">
        <f>VLOOKUP(AC158,moves!A:D,4,FALSE)</f>
        <v>2</v>
      </c>
      <c r="AF158">
        <f>VLOOKUP(AC158,moves!A:F,5,FALSE)</f>
        <v>0</v>
      </c>
      <c r="AG158">
        <v>0</v>
      </c>
      <c r="AH158">
        <v>0</v>
      </c>
      <c r="AI158" t="str" cm="1">
        <f t="array" ref="AI158">_xlfn.IFS(AG158=1, "starter", AH158=1, "legendary",T158&lt; 13, "weak",T158&lt; 17, "moderate", TRUE, "strong")</f>
        <v>weak</v>
      </c>
      <c r="AK158">
        <v>1</v>
      </c>
      <c r="AL158">
        <v>0</v>
      </c>
      <c r="AM158">
        <v>0</v>
      </c>
    </row>
    <row r="159" spans="1:39" x14ac:dyDescent="0.25">
      <c r="A159">
        <v>362</v>
      </c>
      <c r="B159" t="s">
        <v>133</v>
      </c>
      <c r="C159" s="1" t="s">
        <v>14</v>
      </c>
      <c r="E159">
        <v>80</v>
      </c>
      <c r="F159">
        <v>80</v>
      </c>
      <c r="G159">
        <v>80</v>
      </c>
      <c r="H159">
        <v>80</v>
      </c>
      <c r="I159">
        <v>80</v>
      </c>
      <c r="J159">
        <v>80</v>
      </c>
      <c r="K159" t="s">
        <v>426</v>
      </c>
      <c r="L159" t="s">
        <v>301</v>
      </c>
      <c r="M159" t="s">
        <v>299</v>
      </c>
      <c r="N159">
        <f t="shared" si="148"/>
        <v>8</v>
      </c>
      <c r="O159">
        <f t="shared" si="149"/>
        <v>8</v>
      </c>
      <c r="P159">
        <v>0</v>
      </c>
      <c r="Q159">
        <v>0</v>
      </c>
      <c r="R159" s="2">
        <f t="shared" si="150"/>
        <v>8</v>
      </c>
      <c r="S159" s="2">
        <f t="shared" si="151"/>
        <v>8</v>
      </c>
      <c r="T159" s="2">
        <f t="shared" si="152"/>
        <v>16</v>
      </c>
      <c r="U159" t="str">
        <f t="shared" si="146"/>
        <v>ice</v>
      </c>
      <c r="V159" s="1" t="s">
        <v>8</v>
      </c>
      <c r="W159" t="s">
        <v>9</v>
      </c>
      <c r="X159" t="s">
        <v>13</v>
      </c>
      <c r="Z159" s="2" t="str">
        <f t="shared" si="147"/>
        <v/>
      </c>
      <c r="AA159" t="str">
        <f t="shared" si="115"/>
        <v>Glalie</v>
      </c>
      <c r="AC159" t="s">
        <v>505</v>
      </c>
      <c r="AD159" t="str">
        <f>VLOOKUP(AC159,moves!A:B,2,FALSE)</f>
        <v>dark</v>
      </c>
      <c r="AE159">
        <f>VLOOKUP(AC159,moves!A:D,4,FALSE)</f>
        <v>4</v>
      </c>
      <c r="AF159">
        <f>VLOOKUP(AC159,moves!A:F,5,FALSE)</f>
        <v>0</v>
      </c>
      <c r="AG159">
        <v>0</v>
      </c>
      <c r="AH159">
        <v>0</v>
      </c>
      <c r="AI159" t="str" cm="1">
        <f t="array" ref="AI159">_xlfn.IFS(AG159=1, "starter", AH159=1, "legendary",T159&lt; 13, "weak",T159&lt; 17, "moderate", TRUE, "strong")</f>
        <v>moderate</v>
      </c>
      <c r="AK159">
        <v>2</v>
      </c>
      <c r="AL159">
        <v>0</v>
      </c>
      <c r="AM159">
        <v>0</v>
      </c>
    </row>
    <row r="160" spans="1:39" x14ac:dyDescent="0.25">
      <c r="A160">
        <v>478</v>
      </c>
      <c r="B160" t="s">
        <v>231</v>
      </c>
      <c r="C160" s="1" t="s">
        <v>14</v>
      </c>
      <c r="D160" s="1" t="s">
        <v>42</v>
      </c>
      <c r="E160">
        <v>70</v>
      </c>
      <c r="F160">
        <v>80</v>
      </c>
      <c r="G160">
        <v>70</v>
      </c>
      <c r="H160">
        <v>80</v>
      </c>
      <c r="I160">
        <v>70</v>
      </c>
      <c r="J160">
        <v>110</v>
      </c>
      <c r="K160" t="s">
        <v>427</v>
      </c>
      <c r="L160" t="s">
        <v>301</v>
      </c>
      <c r="M160" t="s">
        <v>299</v>
      </c>
      <c r="N160">
        <f t="shared" si="148"/>
        <v>9.1999999999999993</v>
      </c>
      <c r="O160">
        <f t="shared" si="149"/>
        <v>7</v>
      </c>
      <c r="P160">
        <v>0</v>
      </c>
      <c r="Q160">
        <v>0</v>
      </c>
      <c r="R160" s="2">
        <f t="shared" si="150"/>
        <v>9</v>
      </c>
      <c r="S160" s="2">
        <f t="shared" si="151"/>
        <v>7</v>
      </c>
      <c r="T160" s="2">
        <f t="shared" si="152"/>
        <v>16</v>
      </c>
      <c r="U160" t="str">
        <f t="shared" si="146"/>
        <v>ice</v>
      </c>
      <c r="V160" s="1" t="s">
        <v>8</v>
      </c>
      <c r="W160" t="s">
        <v>42</v>
      </c>
      <c r="X160" t="s">
        <v>16</v>
      </c>
      <c r="Z160" s="2" t="str">
        <f t="shared" si="147"/>
        <v/>
      </c>
      <c r="AA160" t="str">
        <f t="shared" si="115"/>
        <v>Froslass</v>
      </c>
      <c r="AC160" t="s">
        <v>1223</v>
      </c>
      <c r="AD160" t="str">
        <f>VLOOKUP(AC160,moves!A:B,2,FALSE)</f>
        <v>ghost</v>
      </c>
      <c r="AE160">
        <f>VLOOKUP(AC160,moves!A:D,4,FALSE)</f>
        <v>1</v>
      </c>
      <c r="AF160">
        <f>VLOOKUP(AC160,moves!A:F,5,FALSE)</f>
        <v>0</v>
      </c>
      <c r="AG160">
        <v>0</v>
      </c>
      <c r="AH160">
        <v>0</v>
      </c>
      <c r="AI160" t="str" cm="1">
        <f t="array" ref="AI160">_xlfn.IFS(AG160=1, "starter", AH160=1, "legendary",T160&lt; 13, "weak",T160&lt; 17, "moderate", TRUE, "strong")</f>
        <v>moderate</v>
      </c>
      <c r="AK160">
        <v>2</v>
      </c>
      <c r="AL160">
        <v>0</v>
      </c>
      <c r="AM160">
        <v>0</v>
      </c>
    </row>
    <row r="161" spans="1:39" x14ac:dyDescent="0.25">
      <c r="A161">
        <v>479</v>
      </c>
      <c r="B161" t="s">
        <v>232</v>
      </c>
      <c r="C161" s="1" t="s">
        <v>11</v>
      </c>
      <c r="D161" s="1" t="s">
        <v>42</v>
      </c>
      <c r="E161">
        <v>50</v>
      </c>
      <c r="F161">
        <v>65</v>
      </c>
      <c r="G161">
        <v>107</v>
      </c>
      <c r="H161">
        <v>105</v>
      </c>
      <c r="I161">
        <v>107</v>
      </c>
      <c r="J161">
        <v>86</v>
      </c>
      <c r="K161" t="s">
        <v>461</v>
      </c>
      <c r="L161" t="s">
        <v>298</v>
      </c>
      <c r="M161" t="s">
        <v>299</v>
      </c>
      <c r="N161">
        <f t="shared" si="148"/>
        <v>9.34</v>
      </c>
      <c r="O161">
        <f t="shared" si="149"/>
        <v>8.42</v>
      </c>
      <c r="P161">
        <v>3</v>
      </c>
      <c r="Q161">
        <v>0</v>
      </c>
      <c r="R161" s="2">
        <f t="shared" si="150"/>
        <v>12</v>
      </c>
      <c r="S161" s="2">
        <f t="shared" si="151"/>
        <v>8</v>
      </c>
      <c r="T161" s="2">
        <f t="shared" si="152"/>
        <v>20</v>
      </c>
      <c r="U161" t="str">
        <f t="shared" si="146"/>
        <v>electric</v>
      </c>
      <c r="V161" t="str">
        <f t="shared" ref="V161:V171" si="160">IF(D161 = 0, "", D161)</f>
        <v>ghost</v>
      </c>
      <c r="W161" t="s">
        <v>8</v>
      </c>
      <c r="X161" t="s">
        <v>26</v>
      </c>
      <c r="Z161" s="2" t="str">
        <f t="shared" ref="Z161:Z166" si="161">IF(ISBLANK(Y161), "", ROUND(( (T167-6)*(T167-7) - (T161-6)*(T161-7) )/15, 0) + 1)</f>
        <v/>
      </c>
      <c r="AA161" t="str">
        <f t="shared" si="115"/>
        <v>Rotom</v>
      </c>
      <c r="AC161" t="s">
        <v>548</v>
      </c>
      <c r="AD161" t="str">
        <f>VLOOKUP(AC161,moves!A:B,2,FALSE)</f>
        <v>ghost</v>
      </c>
      <c r="AE161">
        <f>VLOOKUP(AC161,moves!A:D,4,FALSE)</f>
        <v>3</v>
      </c>
      <c r="AF161" t="str">
        <f>VLOOKUP(AC161,moves!A:F,5,FALSE)</f>
        <v>transform</v>
      </c>
      <c r="AG161">
        <v>0</v>
      </c>
      <c r="AH161">
        <v>1</v>
      </c>
      <c r="AI161" t="str" cm="1">
        <f t="array" ref="AI161">_xlfn.IFS(AG161=1, "starter", AH161=1, "legendary",T161&lt; 13, "weak",T161&lt; 17, "moderate", TRUE, "strong")</f>
        <v>legendary</v>
      </c>
      <c r="AK161">
        <v>1</v>
      </c>
      <c r="AL161">
        <v>0</v>
      </c>
      <c r="AM161">
        <v>1</v>
      </c>
    </row>
    <row r="162" spans="1:39" x14ac:dyDescent="0.25">
      <c r="A162" t="s">
        <v>1018</v>
      </c>
      <c r="B162" t="s">
        <v>232</v>
      </c>
      <c r="C162" s="1" t="s">
        <v>11</v>
      </c>
      <c r="D162" s="1" t="s">
        <v>5</v>
      </c>
      <c r="E162">
        <v>50</v>
      </c>
      <c r="F162">
        <v>65</v>
      </c>
      <c r="G162">
        <v>107</v>
      </c>
      <c r="H162">
        <v>105</v>
      </c>
      <c r="I162">
        <v>107</v>
      </c>
      <c r="J162">
        <v>86</v>
      </c>
      <c r="K162" t="s">
        <v>461</v>
      </c>
      <c r="L162" t="s">
        <v>298</v>
      </c>
      <c r="M162" t="s">
        <v>299</v>
      </c>
      <c r="N162">
        <f t="shared" ref="N162:N164" si="162">(0.4*J162 + 0.5*MAX(F162,H162) + 0.1*MIN(F162,H162)) / 10</f>
        <v>9.34</v>
      </c>
      <c r="O162">
        <f t="shared" ref="O162:O164" si="163">(0.4*E162 + 0.3*G162 + 0.3*I162) / 10</f>
        <v>8.42</v>
      </c>
      <c r="P162">
        <v>3</v>
      </c>
      <c r="Q162">
        <v>0</v>
      </c>
      <c r="R162" s="2">
        <f t="shared" ref="R162:R164" si="164">ROUND(N162,0)+P162</f>
        <v>12</v>
      </c>
      <c r="S162" s="2">
        <f t="shared" ref="S162:S164" si="165">ROUND(O162,0)+Q162</f>
        <v>8</v>
      </c>
      <c r="T162" s="2">
        <f t="shared" ref="T162:T164" si="166">SUM(ROUND(R162,0),ROUND(S162,0))</f>
        <v>20</v>
      </c>
      <c r="U162" t="str">
        <f t="shared" ref="U162:U164" si="167">C162</f>
        <v>electric</v>
      </c>
      <c r="V162" t="str">
        <f t="shared" si="160"/>
        <v>flying</v>
      </c>
      <c r="W162" t="s">
        <v>8</v>
      </c>
      <c r="X162" t="s">
        <v>26</v>
      </c>
      <c r="Z162" s="2" t="str">
        <f t="shared" si="161"/>
        <v/>
      </c>
      <c r="AA162" t="s">
        <v>1011</v>
      </c>
      <c r="AB162" t="s">
        <v>1058</v>
      </c>
      <c r="AC162" t="s">
        <v>516</v>
      </c>
      <c r="AD162" t="str">
        <f>VLOOKUP(AC162,moves!A:B,2,FALSE)</f>
        <v>flying</v>
      </c>
      <c r="AE162">
        <f>VLOOKUP(AC162,moves!A:D,4,FALSE)</f>
        <v>4</v>
      </c>
      <c r="AF162">
        <f>VLOOKUP(AC162,moves!A:F,5,FALSE)</f>
        <v>0</v>
      </c>
      <c r="AG162">
        <v>0</v>
      </c>
      <c r="AH162">
        <v>1</v>
      </c>
      <c r="AI162" t="str" cm="1">
        <f t="array" ref="AI162">_xlfn.IFS(AG162=1, "starter", AH162=1, "legendary",T162&lt; 13, "weak",T162&lt; 17, "moderate", TRUE, "strong")</f>
        <v>legendary</v>
      </c>
      <c r="AK162">
        <v>1</v>
      </c>
      <c r="AL162">
        <v>0</v>
      </c>
      <c r="AM162">
        <v>2</v>
      </c>
    </row>
    <row r="163" spans="1:39" x14ac:dyDescent="0.25">
      <c r="A163" t="s">
        <v>1019</v>
      </c>
      <c r="B163" t="s">
        <v>232</v>
      </c>
      <c r="C163" s="1" t="s">
        <v>11</v>
      </c>
      <c r="D163" s="1" t="s">
        <v>14</v>
      </c>
      <c r="E163">
        <v>50</v>
      </c>
      <c r="F163">
        <v>65</v>
      </c>
      <c r="G163">
        <v>107</v>
      </c>
      <c r="H163">
        <v>105</v>
      </c>
      <c r="I163">
        <v>107</v>
      </c>
      <c r="J163">
        <v>86</v>
      </c>
      <c r="K163" t="s">
        <v>461</v>
      </c>
      <c r="L163" t="s">
        <v>298</v>
      </c>
      <c r="M163" t="s">
        <v>299</v>
      </c>
      <c r="N163">
        <f t="shared" si="162"/>
        <v>9.34</v>
      </c>
      <c r="O163">
        <f t="shared" si="163"/>
        <v>8.42</v>
      </c>
      <c r="P163">
        <v>3</v>
      </c>
      <c r="Q163">
        <v>0</v>
      </c>
      <c r="R163" s="2">
        <f t="shared" si="164"/>
        <v>12</v>
      </c>
      <c r="S163" s="2">
        <f t="shared" si="165"/>
        <v>8</v>
      </c>
      <c r="T163" s="2">
        <f t="shared" si="166"/>
        <v>20</v>
      </c>
      <c r="U163" t="str">
        <f t="shared" si="167"/>
        <v>electric</v>
      </c>
      <c r="V163" t="str">
        <f t="shared" si="160"/>
        <v>ice</v>
      </c>
      <c r="W163" t="s">
        <v>8</v>
      </c>
      <c r="X163" t="s">
        <v>26</v>
      </c>
      <c r="Z163" s="2" t="str">
        <f t="shared" si="161"/>
        <v/>
      </c>
      <c r="AA163" t="s">
        <v>1012</v>
      </c>
      <c r="AB163" t="s">
        <v>1059</v>
      </c>
      <c r="AC163" t="s">
        <v>489</v>
      </c>
      <c r="AD163" t="str">
        <f>VLOOKUP(AC163,moves!A:B,2,FALSE)</f>
        <v>ice</v>
      </c>
      <c r="AE163">
        <f>VLOOKUP(AC163,moves!A:D,4,FALSE)</f>
        <v>5</v>
      </c>
      <c r="AF163">
        <f>VLOOKUP(AC163,moves!A:F,5,FALSE)</f>
        <v>0</v>
      </c>
      <c r="AG163">
        <v>0</v>
      </c>
      <c r="AH163">
        <v>1</v>
      </c>
      <c r="AI163" t="str" cm="1">
        <f t="array" ref="AI163">_xlfn.IFS(AG163=1, "starter", AH163=1, "legendary",T163&lt; 13, "weak",T163&lt; 17, "moderate", TRUE, "strong")</f>
        <v>legendary</v>
      </c>
      <c r="AK163">
        <v>1</v>
      </c>
      <c r="AL163">
        <v>0</v>
      </c>
      <c r="AM163">
        <v>3</v>
      </c>
    </row>
    <row r="164" spans="1:39" x14ac:dyDescent="0.25">
      <c r="A164" t="s">
        <v>1020</v>
      </c>
      <c r="B164" t="s">
        <v>232</v>
      </c>
      <c r="C164" s="1" t="s">
        <v>11</v>
      </c>
      <c r="D164" s="1" t="s">
        <v>4</v>
      </c>
      <c r="E164">
        <v>50</v>
      </c>
      <c r="F164">
        <v>65</v>
      </c>
      <c r="G164">
        <v>107</v>
      </c>
      <c r="H164">
        <v>105</v>
      </c>
      <c r="I164">
        <v>107</v>
      </c>
      <c r="J164">
        <v>86</v>
      </c>
      <c r="K164" t="s">
        <v>461</v>
      </c>
      <c r="L164" t="s">
        <v>298</v>
      </c>
      <c r="M164" t="s">
        <v>299</v>
      </c>
      <c r="N164">
        <f t="shared" si="162"/>
        <v>9.34</v>
      </c>
      <c r="O164">
        <f t="shared" si="163"/>
        <v>8.42</v>
      </c>
      <c r="P164">
        <v>3</v>
      </c>
      <c r="Q164">
        <v>0</v>
      </c>
      <c r="R164" s="2">
        <f t="shared" si="164"/>
        <v>12</v>
      </c>
      <c r="S164" s="2">
        <f t="shared" si="165"/>
        <v>8</v>
      </c>
      <c r="T164" s="2">
        <f t="shared" si="166"/>
        <v>20</v>
      </c>
      <c r="U164" t="str">
        <f t="shared" si="167"/>
        <v>electric</v>
      </c>
      <c r="V164" t="str">
        <f t="shared" si="160"/>
        <v>fire</v>
      </c>
      <c r="W164" t="s">
        <v>8</v>
      </c>
      <c r="X164" t="s">
        <v>26</v>
      </c>
      <c r="Z164" s="2" t="str">
        <f t="shared" si="161"/>
        <v/>
      </c>
      <c r="AA164" t="s">
        <v>1013</v>
      </c>
      <c r="AB164" t="s">
        <v>1060</v>
      </c>
      <c r="AC164" t="s">
        <v>1010</v>
      </c>
      <c r="AD164" t="str">
        <f>VLOOKUP(AC164,moves!A:B,2,FALSE)</f>
        <v>fire</v>
      </c>
      <c r="AE164">
        <f>VLOOKUP(AC164,moves!A:D,4,FALSE)</f>
        <v>5</v>
      </c>
      <c r="AF164">
        <f>VLOOKUP(AC164,moves!A:F,5,FALSE)</f>
        <v>0</v>
      </c>
      <c r="AG164">
        <v>0</v>
      </c>
      <c r="AH164">
        <v>1</v>
      </c>
      <c r="AI164" t="str" cm="1">
        <f t="array" ref="AI164">_xlfn.IFS(AG164=1, "starter", AH164=1, "legendary",T164&lt; 13, "weak",T164&lt; 17, "moderate", TRUE, "strong")</f>
        <v>legendary</v>
      </c>
      <c r="AK164">
        <v>1</v>
      </c>
      <c r="AL164">
        <v>0</v>
      </c>
      <c r="AM164">
        <v>4</v>
      </c>
    </row>
    <row r="165" spans="1:39" x14ac:dyDescent="0.25">
      <c r="A165" t="s">
        <v>1021</v>
      </c>
      <c r="B165" t="s">
        <v>232</v>
      </c>
      <c r="C165" s="1" t="s">
        <v>11</v>
      </c>
      <c r="D165" s="1" t="s">
        <v>2</v>
      </c>
      <c r="E165">
        <v>50</v>
      </c>
      <c r="F165">
        <v>65</v>
      </c>
      <c r="G165">
        <v>107</v>
      </c>
      <c r="H165">
        <v>105</v>
      </c>
      <c r="I165">
        <v>107</v>
      </c>
      <c r="J165">
        <v>86</v>
      </c>
      <c r="K165" t="s">
        <v>461</v>
      </c>
      <c r="L165" t="s">
        <v>298</v>
      </c>
      <c r="M165" t="s">
        <v>299</v>
      </c>
      <c r="N165">
        <f t="shared" ref="N165:N166" si="168">(0.4*J165 + 0.5*MAX(F165,H165) + 0.1*MIN(F165,H165)) / 10</f>
        <v>9.34</v>
      </c>
      <c r="O165">
        <f t="shared" ref="O165:O166" si="169">(0.4*E165 + 0.3*G165 + 0.3*I165) / 10</f>
        <v>8.42</v>
      </c>
      <c r="P165">
        <v>3</v>
      </c>
      <c r="Q165">
        <v>0</v>
      </c>
      <c r="R165" s="2">
        <f t="shared" ref="R165:R166" si="170">ROUND(N165,0)+P165</f>
        <v>12</v>
      </c>
      <c r="S165" s="2">
        <f t="shared" ref="S165:S166" si="171">ROUND(O165,0)+Q165</f>
        <v>8</v>
      </c>
      <c r="T165" s="2">
        <f t="shared" ref="T165:T166" si="172">SUM(ROUND(R165,0),ROUND(S165,0))</f>
        <v>20</v>
      </c>
      <c r="U165" t="str">
        <f t="shared" ref="U165:U166" si="173">C165</f>
        <v>electric</v>
      </c>
      <c r="V165" t="str">
        <f t="shared" si="160"/>
        <v>grass</v>
      </c>
      <c r="W165" t="s">
        <v>8</v>
      </c>
      <c r="X165" t="s">
        <v>26</v>
      </c>
      <c r="Z165" s="2" t="str">
        <f t="shared" si="161"/>
        <v/>
      </c>
      <c r="AA165" t="s">
        <v>1014</v>
      </c>
      <c r="AB165" t="s">
        <v>1061</v>
      </c>
      <c r="AC165" t="s">
        <v>598</v>
      </c>
      <c r="AD165" t="str">
        <f>VLOOKUP(AC165,moves!A:B,2,FALSE)</f>
        <v>grass</v>
      </c>
      <c r="AE165">
        <f>VLOOKUP(AC165,moves!A:D,4,FALSE)</f>
        <v>5</v>
      </c>
      <c r="AF165">
        <f>VLOOKUP(AC165,moves!A:F,5,FALSE)</f>
        <v>0</v>
      </c>
      <c r="AG165">
        <v>0</v>
      </c>
      <c r="AH165">
        <v>1</v>
      </c>
      <c r="AI165" t="str" cm="1">
        <f t="array" ref="AI165">_xlfn.IFS(AG165=1, "starter", AH165=1, "legendary",T165&lt; 13, "weak",T165&lt; 17, "moderate", TRUE, "strong")</f>
        <v>legendary</v>
      </c>
      <c r="AK165">
        <v>1</v>
      </c>
      <c r="AL165">
        <v>0</v>
      </c>
      <c r="AM165">
        <v>5</v>
      </c>
    </row>
    <row r="166" spans="1:39" x14ac:dyDescent="0.25">
      <c r="A166" t="s">
        <v>1022</v>
      </c>
      <c r="B166" t="s">
        <v>232</v>
      </c>
      <c r="C166" s="1" t="s">
        <v>11</v>
      </c>
      <c r="D166" s="1" t="s">
        <v>6</v>
      </c>
      <c r="E166">
        <v>50</v>
      </c>
      <c r="F166">
        <v>65</v>
      </c>
      <c r="G166">
        <v>107</v>
      </c>
      <c r="H166">
        <v>105</v>
      </c>
      <c r="I166">
        <v>107</v>
      </c>
      <c r="J166">
        <v>86</v>
      </c>
      <c r="K166" t="s">
        <v>461</v>
      </c>
      <c r="L166" t="s">
        <v>298</v>
      </c>
      <c r="M166" t="s">
        <v>299</v>
      </c>
      <c r="N166">
        <f t="shared" si="168"/>
        <v>9.34</v>
      </c>
      <c r="O166">
        <f t="shared" si="169"/>
        <v>8.42</v>
      </c>
      <c r="P166">
        <v>3</v>
      </c>
      <c r="Q166">
        <v>0</v>
      </c>
      <c r="R166" s="2">
        <f t="shared" si="170"/>
        <v>12</v>
      </c>
      <c r="S166" s="2">
        <f t="shared" si="171"/>
        <v>8</v>
      </c>
      <c r="T166" s="2">
        <f t="shared" si="172"/>
        <v>20</v>
      </c>
      <c r="U166" t="str">
        <f t="shared" si="173"/>
        <v>electric</v>
      </c>
      <c r="V166" t="str">
        <f t="shared" si="160"/>
        <v>water</v>
      </c>
      <c r="W166" t="s">
        <v>8</v>
      </c>
      <c r="X166" t="s">
        <v>26</v>
      </c>
      <c r="Z166" s="2" t="str">
        <f t="shared" si="161"/>
        <v/>
      </c>
      <c r="AA166" t="s">
        <v>1015</v>
      </c>
      <c r="AB166" t="s">
        <v>1062</v>
      </c>
      <c r="AC166" t="s">
        <v>480</v>
      </c>
      <c r="AD166" t="str">
        <f>VLOOKUP(AC166,moves!A:B,2,FALSE)</f>
        <v>water</v>
      </c>
      <c r="AE166">
        <f>VLOOKUP(AC166,moves!A:D,4,FALSE)</f>
        <v>5</v>
      </c>
      <c r="AF166">
        <f>VLOOKUP(AC166,moves!A:F,5,FALSE)</f>
        <v>0</v>
      </c>
      <c r="AG166">
        <v>0</v>
      </c>
      <c r="AH166">
        <v>1</v>
      </c>
      <c r="AI166" t="str" cm="1">
        <f t="array" ref="AI166">_xlfn.IFS(AG166=1, "starter", AH166=1, "legendary",T166&lt; 13, "weak",T166&lt; 17, "moderate", TRUE, "strong")</f>
        <v>legendary</v>
      </c>
      <c r="AK166">
        <v>1</v>
      </c>
      <c r="AL166">
        <v>0</v>
      </c>
      <c r="AM166">
        <v>6</v>
      </c>
    </row>
    <row r="167" spans="1:39" x14ac:dyDescent="0.25">
      <c r="A167">
        <v>483</v>
      </c>
      <c r="B167" t="s">
        <v>236</v>
      </c>
      <c r="C167" s="1" t="s">
        <v>39</v>
      </c>
      <c r="D167" s="1" t="s">
        <v>67</v>
      </c>
      <c r="E167">
        <v>100</v>
      </c>
      <c r="F167">
        <v>120</v>
      </c>
      <c r="G167">
        <v>120</v>
      </c>
      <c r="H167">
        <v>150</v>
      </c>
      <c r="I167">
        <v>100</v>
      </c>
      <c r="J167">
        <v>90</v>
      </c>
      <c r="K167" t="s">
        <v>457</v>
      </c>
      <c r="L167" t="s">
        <v>313</v>
      </c>
      <c r="M167" t="s">
        <v>551</v>
      </c>
      <c r="N167">
        <f t="shared" si="148"/>
        <v>12.3</v>
      </c>
      <c r="O167">
        <f t="shared" si="149"/>
        <v>10.6</v>
      </c>
      <c r="P167">
        <v>0</v>
      </c>
      <c r="Q167">
        <v>0</v>
      </c>
      <c r="R167" s="2">
        <f t="shared" si="150"/>
        <v>12</v>
      </c>
      <c r="S167" s="2">
        <f t="shared" si="151"/>
        <v>11</v>
      </c>
      <c r="T167" s="2">
        <f t="shared" si="152"/>
        <v>23</v>
      </c>
      <c r="U167" t="str">
        <f t="shared" si="146"/>
        <v>steel</v>
      </c>
      <c r="V167" t="str">
        <f t="shared" si="160"/>
        <v>dragon</v>
      </c>
      <c r="W167" t="s">
        <v>13</v>
      </c>
      <c r="X167" t="s">
        <v>4</v>
      </c>
      <c r="Z167" s="2" t="str">
        <f>IF(ISBLANK(Y167), "", ROUND(( (T169-6)*(T169-7) - (T167-6)*(T167-7) )/15, 0) + 1)</f>
        <v/>
      </c>
      <c r="AA167" t="str">
        <f t="shared" si="115"/>
        <v>Dialga</v>
      </c>
      <c r="AB167" t="s">
        <v>1216</v>
      </c>
      <c r="AC167" t="s">
        <v>504</v>
      </c>
      <c r="AD167" t="str">
        <f>VLOOKUP(AC167,moves!A:B,2,FALSE)</f>
        <v>dragon</v>
      </c>
      <c r="AE167">
        <f>VLOOKUP(AC167,moves!A:D,4,FALSE)</f>
        <v>6</v>
      </c>
      <c r="AF167" t="str">
        <f>VLOOKUP(AC167,moves!A:F,5,FALSE)</f>
        <v>decisive</v>
      </c>
      <c r="AG167">
        <v>0</v>
      </c>
      <c r="AH167">
        <v>1</v>
      </c>
      <c r="AI167" t="str" cm="1">
        <f t="array" ref="AI167">_xlfn.IFS(AG167=1, "starter", AH167=1, "legendary",T167&lt; 13, "weak",T167&lt; 17, "moderate", TRUE, "strong")</f>
        <v>legendary</v>
      </c>
      <c r="AK167">
        <v>1</v>
      </c>
      <c r="AL167">
        <v>0</v>
      </c>
      <c r="AM167">
        <v>1</v>
      </c>
    </row>
    <row r="168" spans="1:39" x14ac:dyDescent="0.25">
      <c r="A168" t="s">
        <v>1003</v>
      </c>
      <c r="B168" t="s">
        <v>236</v>
      </c>
      <c r="C168" s="1" t="s">
        <v>39</v>
      </c>
      <c r="D168" s="1" t="s">
        <v>67</v>
      </c>
      <c r="E168">
        <v>100</v>
      </c>
      <c r="F168">
        <v>120</v>
      </c>
      <c r="G168">
        <v>120</v>
      </c>
      <c r="H168">
        <v>150</v>
      </c>
      <c r="I168">
        <v>100</v>
      </c>
      <c r="J168">
        <v>90</v>
      </c>
      <c r="K168" t="s">
        <v>457</v>
      </c>
      <c r="L168" t="s">
        <v>313</v>
      </c>
      <c r="M168" t="s">
        <v>551</v>
      </c>
      <c r="N168">
        <f t="shared" ref="N168" si="174">(0.4*J168 + 0.5*MAX(F168,H168) + 0.1*MIN(F168,H168)) / 10</f>
        <v>12.3</v>
      </c>
      <c r="O168">
        <f t="shared" ref="O168" si="175">(0.4*E168 + 0.3*G168 + 0.3*I168) / 10</f>
        <v>10.6</v>
      </c>
      <c r="P168">
        <v>0</v>
      </c>
      <c r="Q168">
        <v>1</v>
      </c>
      <c r="R168" s="2">
        <f t="shared" ref="R168" si="176">ROUND(N168,0)+P168</f>
        <v>12</v>
      </c>
      <c r="S168" s="2">
        <f t="shared" ref="S168" si="177">ROUND(O168,0)+Q168</f>
        <v>12</v>
      </c>
      <c r="T168" s="2">
        <f t="shared" ref="T168" si="178">SUM(ROUND(R168,0),ROUND(S168,0))</f>
        <v>24</v>
      </c>
      <c r="U168" t="str">
        <f t="shared" ref="U168" si="179">C168</f>
        <v>steel</v>
      </c>
      <c r="V168" t="str">
        <f t="shared" si="160"/>
        <v>dragon</v>
      </c>
      <c r="W168" t="s">
        <v>13</v>
      </c>
      <c r="X168" t="s">
        <v>4</v>
      </c>
      <c r="Z168" s="2" t="str">
        <f>IF(ISBLANK(Y168), "", ROUND(( (T171-6)*(T171-7) - (T168-6)*(T168-7) )/15, 0) + 1)</f>
        <v/>
      </c>
      <c r="AA168" t="s">
        <v>1381</v>
      </c>
      <c r="AB168" t="s">
        <v>1383</v>
      </c>
      <c r="AC168" t="s">
        <v>1261</v>
      </c>
      <c r="AD168" t="str">
        <f>VLOOKUP(AC168,moves!A:B,2,FALSE)</f>
        <v>steel</v>
      </c>
      <c r="AE168">
        <f>VLOOKUP(AC168,moves!A:D,4,FALSE)</f>
        <v>4</v>
      </c>
      <c r="AF168">
        <f>VLOOKUP(AC168,moves!A:F,5,FALSE)</f>
        <v>0</v>
      </c>
      <c r="AG168">
        <v>0</v>
      </c>
      <c r="AH168">
        <v>1</v>
      </c>
      <c r="AI168" t="str" cm="1">
        <f t="array" ref="AI168">_xlfn.IFS(AG168=1, "starter", AH168=1, "legendary",T168&lt; 13, "weak",T168&lt; 17, "moderate", TRUE, "strong")</f>
        <v>legendary</v>
      </c>
      <c r="AK168">
        <v>1</v>
      </c>
      <c r="AL168">
        <v>0</v>
      </c>
      <c r="AM168">
        <v>2</v>
      </c>
    </row>
    <row r="169" spans="1:39" x14ac:dyDescent="0.25">
      <c r="A169">
        <v>484</v>
      </c>
      <c r="B169" t="s">
        <v>237</v>
      </c>
      <c r="C169" s="1" t="s">
        <v>6</v>
      </c>
      <c r="D169" s="1" t="s">
        <v>67</v>
      </c>
      <c r="E169">
        <v>90</v>
      </c>
      <c r="F169">
        <v>120</v>
      </c>
      <c r="G169">
        <v>100</v>
      </c>
      <c r="H169">
        <v>150</v>
      </c>
      <c r="I169">
        <v>120</v>
      </c>
      <c r="J169">
        <v>100</v>
      </c>
      <c r="K169" t="s">
        <v>456</v>
      </c>
      <c r="L169" t="s">
        <v>313</v>
      </c>
      <c r="M169" t="s">
        <v>551</v>
      </c>
      <c r="N169">
        <f t="shared" si="148"/>
        <v>12.7</v>
      </c>
      <c r="O169">
        <f t="shared" si="149"/>
        <v>10.199999999999999</v>
      </c>
      <c r="P169">
        <v>0</v>
      </c>
      <c r="Q169">
        <v>0</v>
      </c>
      <c r="R169" s="2">
        <f t="shared" si="150"/>
        <v>13</v>
      </c>
      <c r="S169" s="2">
        <f t="shared" si="151"/>
        <v>10</v>
      </c>
      <c r="T169" s="2">
        <f t="shared" si="152"/>
        <v>23</v>
      </c>
      <c r="U169" t="str">
        <f t="shared" si="146"/>
        <v>water</v>
      </c>
      <c r="V169" t="str">
        <f t="shared" si="160"/>
        <v>dragon</v>
      </c>
      <c r="W169" t="s">
        <v>11</v>
      </c>
      <c r="X169" t="s">
        <v>14</v>
      </c>
      <c r="Z169" s="2" t="str">
        <f>IF(ISBLANK(Y169), "", ROUND(( (T171-6)*(T171-7) - (T169-6)*(T169-7) )/15, 0) + 1)</f>
        <v/>
      </c>
      <c r="AA169" t="str">
        <f t="shared" si="115"/>
        <v>Palkia</v>
      </c>
      <c r="AB169" t="s">
        <v>1216</v>
      </c>
      <c r="AC169" t="s">
        <v>478</v>
      </c>
      <c r="AD169" t="str">
        <f>VLOOKUP(AC169,moves!A:B,2,FALSE)</f>
        <v>dragon</v>
      </c>
      <c r="AE169">
        <f>VLOOKUP(AC169,moves!A:D,4,FALSE)</f>
        <v>4</v>
      </c>
      <c r="AF169">
        <f>VLOOKUP(AC169,moves!A:F,5,FALSE)</f>
        <v>0</v>
      </c>
      <c r="AG169">
        <v>0</v>
      </c>
      <c r="AH169">
        <v>1</v>
      </c>
      <c r="AI169" t="str" cm="1">
        <f t="array" ref="AI169">_xlfn.IFS(AG169=1, "starter", AH169=1, "legendary",T169&lt; 13, "weak",T169&lt; 17, "moderate", TRUE, "strong")</f>
        <v>legendary</v>
      </c>
      <c r="AK169">
        <v>1</v>
      </c>
      <c r="AL169">
        <v>0</v>
      </c>
      <c r="AM169">
        <v>1</v>
      </c>
    </row>
    <row r="170" spans="1:39" x14ac:dyDescent="0.25">
      <c r="A170" t="s">
        <v>1004</v>
      </c>
      <c r="B170" t="s">
        <v>237</v>
      </c>
      <c r="C170" s="1" t="s">
        <v>6</v>
      </c>
      <c r="D170" s="1" t="s">
        <v>67</v>
      </c>
      <c r="E170">
        <v>90</v>
      </c>
      <c r="F170">
        <v>120</v>
      </c>
      <c r="G170">
        <v>100</v>
      </c>
      <c r="H170">
        <v>150</v>
      </c>
      <c r="I170">
        <v>120</v>
      </c>
      <c r="J170">
        <v>100</v>
      </c>
      <c r="K170" t="s">
        <v>456</v>
      </c>
      <c r="L170" t="s">
        <v>313</v>
      </c>
      <c r="M170" t="s">
        <v>551</v>
      </c>
      <c r="N170">
        <f t="shared" ref="N170" si="180">(0.4*J170 + 0.5*MAX(F170,H170) + 0.1*MIN(F170,H170)) / 10</f>
        <v>12.7</v>
      </c>
      <c r="O170">
        <f t="shared" ref="O170" si="181">(0.4*E170 + 0.3*G170 + 0.3*I170) / 10</f>
        <v>10.199999999999999</v>
      </c>
      <c r="P170">
        <v>-1</v>
      </c>
      <c r="Q170">
        <v>2</v>
      </c>
      <c r="R170" s="2">
        <f t="shared" ref="R170" si="182">ROUND(N170,0)+P170</f>
        <v>12</v>
      </c>
      <c r="S170" s="2">
        <f t="shared" ref="S170" si="183">ROUND(O170,0)+Q170</f>
        <v>12</v>
      </c>
      <c r="T170" s="2">
        <f t="shared" ref="T170" si="184">SUM(ROUND(R170,0),ROUND(S170,0))</f>
        <v>24</v>
      </c>
      <c r="U170" t="str">
        <f t="shared" ref="U170" si="185">C170</f>
        <v>water</v>
      </c>
      <c r="V170" t="str">
        <f t="shared" si="160"/>
        <v>dragon</v>
      </c>
      <c r="W170" t="s">
        <v>11</v>
      </c>
      <c r="X170" t="s">
        <v>14</v>
      </c>
      <c r="Z170" s="2" t="str">
        <f>IF(ISBLANK(Y170), "", ROUND(( (T172-6)*(T172-7) - (T170-6)*(T170-7) )/15, 0) + 1)</f>
        <v/>
      </c>
      <c r="AA170" t="s">
        <v>1382</v>
      </c>
      <c r="AB170" t="s">
        <v>1383</v>
      </c>
      <c r="AC170" t="s">
        <v>1187</v>
      </c>
      <c r="AD170" t="str">
        <f>VLOOKUP(AC170,moves!A:B,2,FALSE)</f>
        <v>water</v>
      </c>
      <c r="AE170">
        <f>VLOOKUP(AC170,moves!A:D,4,FALSE)</f>
        <v>6</v>
      </c>
      <c r="AF170" t="str">
        <f>VLOOKUP(AC170,moves!A:F,5,FALSE)</f>
        <v>decisive</v>
      </c>
      <c r="AG170">
        <v>0</v>
      </c>
      <c r="AH170">
        <v>1</v>
      </c>
      <c r="AI170" t="str" cm="1">
        <f t="array" ref="AI170">_xlfn.IFS(AG170=1, "starter", AH170=1, "legendary",T170&lt; 13, "weak",T170&lt; 17, "moderate", TRUE, "strong")</f>
        <v>legendary</v>
      </c>
      <c r="AK170">
        <v>1</v>
      </c>
      <c r="AL170">
        <v>0</v>
      </c>
      <c r="AM170">
        <v>2</v>
      </c>
    </row>
    <row r="171" spans="1:39" x14ac:dyDescent="0.25">
      <c r="A171">
        <v>485</v>
      </c>
      <c r="B171" t="s">
        <v>238</v>
      </c>
      <c r="C171" s="1" t="s">
        <v>4</v>
      </c>
      <c r="D171" s="1" t="s">
        <v>39</v>
      </c>
      <c r="E171">
        <v>91</v>
      </c>
      <c r="F171">
        <v>90</v>
      </c>
      <c r="G171">
        <v>106</v>
      </c>
      <c r="H171">
        <v>130</v>
      </c>
      <c r="I171">
        <v>106</v>
      </c>
      <c r="J171">
        <v>77</v>
      </c>
      <c r="K171" t="s">
        <v>455</v>
      </c>
      <c r="L171" t="s">
        <v>304</v>
      </c>
      <c r="M171" t="s">
        <v>302</v>
      </c>
      <c r="N171">
        <f t="shared" si="148"/>
        <v>10.48</v>
      </c>
      <c r="O171">
        <f t="shared" si="149"/>
        <v>9.9999999999999982</v>
      </c>
      <c r="P171">
        <v>0</v>
      </c>
      <c r="Q171">
        <v>0</v>
      </c>
      <c r="R171" s="2">
        <f t="shared" si="150"/>
        <v>10</v>
      </c>
      <c r="S171" s="2">
        <f t="shared" si="151"/>
        <v>10</v>
      </c>
      <c r="T171" s="2">
        <f t="shared" si="152"/>
        <v>20</v>
      </c>
      <c r="U171" t="str">
        <f t="shared" si="146"/>
        <v>fire</v>
      </c>
      <c r="V171" t="str">
        <f t="shared" si="160"/>
        <v>steel</v>
      </c>
      <c r="W171" t="s">
        <v>13</v>
      </c>
      <c r="X171" t="s">
        <v>33</v>
      </c>
      <c r="Z171" s="2" t="str">
        <f t="shared" si="147"/>
        <v/>
      </c>
      <c r="AA171" t="str">
        <f t="shared" si="115"/>
        <v>Heatran</v>
      </c>
      <c r="AC171" t="s">
        <v>537</v>
      </c>
      <c r="AD171" t="str">
        <f>VLOOKUP(AC171,moves!A:B,2,FALSE)</f>
        <v>fire</v>
      </c>
      <c r="AE171">
        <f>VLOOKUP(AC171,moves!A:D,4,FALSE)</f>
        <v>4</v>
      </c>
      <c r="AF171" t="str">
        <f>VLOOKUP(AC171,moves!A:F,5,FALSE)</f>
        <v>trap</v>
      </c>
      <c r="AG171">
        <v>0</v>
      </c>
      <c r="AH171">
        <v>1</v>
      </c>
      <c r="AI171" t="str" cm="1">
        <f t="array" ref="AI171">_xlfn.IFS(AG171=1, "starter", AH171=1, "legendary",T171&lt; 13, "weak",T171&lt; 17, "moderate", TRUE, "strong")</f>
        <v>legendary</v>
      </c>
      <c r="AK171">
        <v>1</v>
      </c>
      <c r="AL171">
        <v>0</v>
      </c>
      <c r="AM171">
        <v>0</v>
      </c>
    </row>
    <row r="172" spans="1:39" x14ac:dyDescent="0.25">
      <c r="A172">
        <v>486</v>
      </c>
      <c r="B172" t="s">
        <v>239</v>
      </c>
      <c r="C172" s="1" t="s">
        <v>8</v>
      </c>
      <c r="E172">
        <v>110</v>
      </c>
      <c r="F172">
        <f>160/2</f>
        <v>80</v>
      </c>
      <c r="G172">
        <v>110</v>
      </c>
      <c r="H172">
        <v>80</v>
      </c>
      <c r="I172">
        <v>110</v>
      </c>
      <c r="J172">
        <f>100/2</f>
        <v>50</v>
      </c>
      <c r="K172" t="s">
        <v>454</v>
      </c>
      <c r="L172" t="s">
        <v>301</v>
      </c>
      <c r="M172" t="s">
        <v>299</v>
      </c>
      <c r="N172">
        <f t="shared" si="148"/>
        <v>6.8</v>
      </c>
      <c r="O172">
        <f t="shared" si="149"/>
        <v>11</v>
      </c>
      <c r="P172">
        <v>2</v>
      </c>
      <c r="Q172">
        <v>0</v>
      </c>
      <c r="R172" s="2">
        <f t="shared" si="150"/>
        <v>9</v>
      </c>
      <c r="S172" s="2">
        <f t="shared" si="151"/>
        <v>11</v>
      </c>
      <c r="T172" s="2">
        <f t="shared" si="152"/>
        <v>20</v>
      </c>
      <c r="U172" t="str">
        <f t="shared" si="146"/>
        <v>normal</v>
      </c>
      <c r="V172" t="s">
        <v>13</v>
      </c>
      <c r="W172" t="s">
        <v>22</v>
      </c>
      <c r="X172" t="s">
        <v>39</v>
      </c>
      <c r="Z172" s="2" t="str">
        <f t="shared" si="147"/>
        <v/>
      </c>
      <c r="AA172" t="str">
        <f t="shared" si="115"/>
        <v>Regigigas</v>
      </c>
      <c r="AC172" t="s">
        <v>1374</v>
      </c>
      <c r="AD172" t="str">
        <f>VLOOKUP(AC172,moves!A:B,2,FALSE)</f>
        <v>normal</v>
      </c>
      <c r="AE172">
        <f>VLOOKUP(AC172,moves!A:D,4,FALSE)</f>
        <v>2</v>
      </c>
      <c r="AF172" t="str">
        <f>VLOOKUP(AC172,moves!A:F,5,FALSE)</f>
        <v>boost</v>
      </c>
      <c r="AG172">
        <v>0</v>
      </c>
      <c r="AH172">
        <v>1</v>
      </c>
      <c r="AI172" t="str" cm="1">
        <f t="array" ref="AI172">_xlfn.IFS(AG172=1, "starter", AH172=1, "legendary",T172&lt; 13, "weak",T172&lt; 17, "moderate", TRUE, "strong")</f>
        <v>legendary</v>
      </c>
      <c r="AK172">
        <v>1</v>
      </c>
      <c r="AL172">
        <v>0</v>
      </c>
      <c r="AM172">
        <v>0</v>
      </c>
    </row>
    <row r="173" spans="1:39" x14ac:dyDescent="0.25">
      <c r="A173">
        <v>487</v>
      </c>
      <c r="B173" t="s">
        <v>240</v>
      </c>
      <c r="C173" s="1" t="s">
        <v>42</v>
      </c>
      <c r="D173" s="1" t="s">
        <v>67</v>
      </c>
      <c r="E173">
        <v>150</v>
      </c>
      <c r="F173">
        <v>100</v>
      </c>
      <c r="G173">
        <v>120</v>
      </c>
      <c r="H173">
        <v>100</v>
      </c>
      <c r="I173">
        <v>120</v>
      </c>
      <c r="J173">
        <v>90</v>
      </c>
      <c r="K173" t="s">
        <v>453</v>
      </c>
      <c r="L173" t="s">
        <v>313</v>
      </c>
      <c r="M173" t="s">
        <v>551</v>
      </c>
      <c r="N173">
        <f t="shared" si="148"/>
        <v>9.6</v>
      </c>
      <c r="O173">
        <f t="shared" si="149"/>
        <v>13.2</v>
      </c>
      <c r="P173">
        <v>0</v>
      </c>
      <c r="Q173">
        <v>0</v>
      </c>
      <c r="R173" s="2">
        <f t="shared" si="150"/>
        <v>10</v>
      </c>
      <c r="S173" s="2">
        <f t="shared" si="151"/>
        <v>13</v>
      </c>
      <c r="T173" s="2">
        <f t="shared" si="152"/>
        <v>23</v>
      </c>
      <c r="U173" t="str">
        <f t="shared" si="146"/>
        <v>ghost</v>
      </c>
      <c r="V173" t="str">
        <f>IF(D173 = 0, "", D173)</f>
        <v>dragon</v>
      </c>
      <c r="W173" t="s">
        <v>22</v>
      </c>
      <c r="X173" t="s">
        <v>11</v>
      </c>
      <c r="Z173" s="2" t="str">
        <f>IF(ISBLANK(Y173), "", ROUND(( (T175-6)*(T175-7) - (T173-6)*(T173-7) )/15, 0) + 1)</f>
        <v/>
      </c>
      <c r="AA173" t="str">
        <f t="shared" si="115"/>
        <v>Giratina</v>
      </c>
      <c r="AB173" t="s">
        <v>1216</v>
      </c>
      <c r="AC173" t="s">
        <v>523</v>
      </c>
      <c r="AD173" t="str">
        <f>VLOOKUP(AC173,moves!A:B,2,FALSE)</f>
        <v>ghost</v>
      </c>
      <c r="AE173">
        <f>VLOOKUP(AC173,moves!A:D,4,FALSE)</f>
        <v>5</v>
      </c>
      <c r="AF173">
        <f>VLOOKUP(AC173,moves!A:F,5,FALSE)</f>
        <v>0</v>
      </c>
      <c r="AG173">
        <v>0</v>
      </c>
      <c r="AH173">
        <v>1</v>
      </c>
      <c r="AI173" t="str" cm="1">
        <f t="array" ref="AI173">_xlfn.IFS(AG173=1, "starter", AH173=1, "legendary",T173&lt; 13, "weak",T173&lt; 17, "moderate", TRUE, "strong")</f>
        <v>legendary</v>
      </c>
      <c r="AK173">
        <v>1</v>
      </c>
      <c r="AL173">
        <v>0</v>
      </c>
      <c r="AM173">
        <v>1</v>
      </c>
    </row>
    <row r="174" spans="1:39" x14ac:dyDescent="0.25">
      <c r="A174" t="s">
        <v>1005</v>
      </c>
      <c r="B174" t="s">
        <v>240</v>
      </c>
      <c r="C174" s="1" t="s">
        <v>42</v>
      </c>
      <c r="D174" s="1" t="s">
        <v>67</v>
      </c>
      <c r="E174">
        <v>150</v>
      </c>
      <c r="F174">
        <v>100</v>
      </c>
      <c r="G174">
        <v>120</v>
      </c>
      <c r="H174">
        <v>100</v>
      </c>
      <c r="I174">
        <v>120</v>
      </c>
      <c r="J174">
        <v>90</v>
      </c>
      <c r="K174" t="s">
        <v>453</v>
      </c>
      <c r="L174" t="s">
        <v>313</v>
      </c>
      <c r="M174" t="s">
        <v>551</v>
      </c>
      <c r="N174">
        <f t="shared" ref="N174" si="186">(0.4*J174 + 0.5*MAX(F174,H174) + 0.1*MIN(F174,H174)) / 10</f>
        <v>9.6</v>
      </c>
      <c r="O174">
        <f t="shared" ref="O174" si="187">(0.4*E174 + 0.3*G174 + 0.3*I174) / 10</f>
        <v>13.2</v>
      </c>
      <c r="P174">
        <v>2</v>
      </c>
      <c r="Q174">
        <v>-1</v>
      </c>
      <c r="R174" s="2">
        <f t="shared" ref="R174" si="188">ROUND(N174,0)+P174</f>
        <v>12</v>
      </c>
      <c r="S174" s="2">
        <f t="shared" ref="S174" si="189">ROUND(O174,0)+Q174</f>
        <v>12</v>
      </c>
      <c r="T174" s="2">
        <f t="shared" ref="T174" si="190">SUM(ROUND(R174,0),ROUND(S174,0))</f>
        <v>24</v>
      </c>
      <c r="U174" t="str">
        <f t="shared" ref="U174" si="191">C174</f>
        <v>ghost</v>
      </c>
      <c r="V174" t="str">
        <f>IF(D174 = 0, "", D174)</f>
        <v>dragon</v>
      </c>
      <c r="W174" t="s">
        <v>22</v>
      </c>
      <c r="X174" t="s">
        <v>11</v>
      </c>
      <c r="Z174" s="2" t="str">
        <f>IF(ISBLANK(Y174), "", ROUND(( (T176-6)*(T176-7) - (T174-6)*(T174-7) )/15, 0) + 1)</f>
        <v/>
      </c>
      <c r="AA174" t="s">
        <v>1009</v>
      </c>
      <c r="AB174" t="s">
        <v>1383</v>
      </c>
      <c r="AC174" t="s">
        <v>1189</v>
      </c>
      <c r="AD174" t="str">
        <f>VLOOKUP(AC174,moves!A:B,2,FALSE)</f>
        <v>dragon</v>
      </c>
      <c r="AE174">
        <f>VLOOKUP(AC174,moves!A:D,4,FALSE)</f>
        <v>5</v>
      </c>
      <c r="AF174">
        <f>VLOOKUP(AC174,moves!A:F,5,FALSE)</f>
        <v>0</v>
      </c>
      <c r="AG174">
        <v>0</v>
      </c>
      <c r="AH174">
        <v>1</v>
      </c>
      <c r="AI174" t="str" cm="1">
        <f t="array" ref="AI174">_xlfn.IFS(AG174=1, "starter", AH174=1, "legendary",T174&lt; 13, "weak",T174&lt; 17, "moderate", TRUE, "strong")</f>
        <v>legendary</v>
      </c>
      <c r="AK174">
        <v>1</v>
      </c>
      <c r="AL174">
        <v>0</v>
      </c>
      <c r="AM174">
        <v>2</v>
      </c>
    </row>
    <row r="175" spans="1:39" x14ac:dyDescent="0.25">
      <c r="A175">
        <v>488</v>
      </c>
      <c r="B175" t="s">
        <v>241</v>
      </c>
      <c r="C175" s="1" t="s">
        <v>26</v>
      </c>
      <c r="E175">
        <v>120</v>
      </c>
      <c r="F175">
        <v>70</v>
      </c>
      <c r="G175">
        <v>120</v>
      </c>
      <c r="H175">
        <v>75</v>
      </c>
      <c r="I175">
        <v>130</v>
      </c>
      <c r="J175">
        <v>85</v>
      </c>
      <c r="K175" t="s">
        <v>452</v>
      </c>
      <c r="L175" t="s">
        <v>298</v>
      </c>
      <c r="M175" t="s">
        <v>299</v>
      </c>
      <c r="N175">
        <f t="shared" si="148"/>
        <v>7.85</v>
      </c>
      <c r="O175">
        <f t="shared" si="149"/>
        <v>12.3</v>
      </c>
      <c r="P175">
        <v>0</v>
      </c>
      <c r="Q175">
        <v>0</v>
      </c>
      <c r="R175" s="2">
        <f t="shared" si="150"/>
        <v>8</v>
      </c>
      <c r="S175" s="2">
        <f t="shared" si="151"/>
        <v>12</v>
      </c>
      <c r="T175" s="2">
        <f t="shared" si="152"/>
        <v>20</v>
      </c>
      <c r="U175" t="str">
        <f t="shared" si="146"/>
        <v>psychic</v>
      </c>
      <c r="V175" t="s">
        <v>16</v>
      </c>
      <c r="W175" t="s">
        <v>14</v>
      </c>
      <c r="X175" t="s">
        <v>2</v>
      </c>
      <c r="Z175" s="2" t="str">
        <f t="shared" si="147"/>
        <v/>
      </c>
      <c r="AA175" t="str">
        <f t="shared" si="115"/>
        <v>Cresselia</v>
      </c>
      <c r="AC175" t="s">
        <v>965</v>
      </c>
      <c r="AD175" t="str">
        <f>VLOOKUP(AC175,moves!A:B,2,FALSE)</f>
        <v>psychic</v>
      </c>
      <c r="AE175">
        <f>VLOOKUP(AC175,moves!A:D,4,FALSE)</f>
        <v>2</v>
      </c>
      <c r="AF175" t="str">
        <f>VLOOKUP(AC175,moves!A:F,5,FALSE)</f>
        <v>agile</v>
      </c>
      <c r="AG175">
        <v>0</v>
      </c>
      <c r="AH175">
        <v>1</v>
      </c>
      <c r="AI175" t="str" cm="1">
        <f t="array" ref="AI175">_xlfn.IFS(AG175=1, "starter", AH175=1, "legendary",T175&lt; 13, "weak",T175&lt; 17, "moderate", TRUE, "strong")</f>
        <v>legendary</v>
      </c>
      <c r="AK175">
        <v>1</v>
      </c>
      <c r="AL175">
        <v>0</v>
      </c>
      <c r="AM175">
        <v>0</v>
      </c>
    </row>
    <row r="176" spans="1:39" x14ac:dyDescent="0.25">
      <c r="A176">
        <v>489</v>
      </c>
      <c r="B176" t="s">
        <v>242</v>
      </c>
      <c r="C176" s="1" t="s">
        <v>6</v>
      </c>
      <c r="E176">
        <v>80</v>
      </c>
      <c r="F176">
        <v>80</v>
      </c>
      <c r="G176">
        <v>80</v>
      </c>
      <c r="H176">
        <v>80</v>
      </c>
      <c r="I176">
        <v>80</v>
      </c>
      <c r="J176">
        <v>80</v>
      </c>
      <c r="K176" t="s">
        <v>451</v>
      </c>
      <c r="L176" t="s">
        <v>303</v>
      </c>
      <c r="M176" t="s">
        <v>302</v>
      </c>
      <c r="N176">
        <f t="shared" si="148"/>
        <v>8</v>
      </c>
      <c r="O176">
        <f t="shared" si="149"/>
        <v>8</v>
      </c>
      <c r="P176">
        <v>0</v>
      </c>
      <c r="Q176">
        <v>0</v>
      </c>
      <c r="R176" s="2">
        <f t="shared" si="150"/>
        <v>8</v>
      </c>
      <c r="S176" s="2">
        <f t="shared" si="151"/>
        <v>8</v>
      </c>
      <c r="T176" s="2">
        <f t="shared" si="152"/>
        <v>16</v>
      </c>
      <c r="U176" t="str">
        <f t="shared" si="146"/>
        <v>water</v>
      </c>
      <c r="V176" s="1" t="s">
        <v>8</v>
      </c>
      <c r="W176" t="s">
        <v>16</v>
      </c>
      <c r="X176" t="s">
        <v>14</v>
      </c>
      <c r="Z176" s="2" t="str">
        <f t="shared" si="147"/>
        <v/>
      </c>
      <c r="AA176" t="str">
        <f t="shared" si="115"/>
        <v>Phione</v>
      </c>
      <c r="AC176" t="s">
        <v>580</v>
      </c>
      <c r="AD176" t="str">
        <f>VLOOKUP(AC176,moves!A:B,2,FALSE)</f>
        <v>water</v>
      </c>
      <c r="AE176">
        <f>VLOOKUP(AC176,moves!A:D,4,FALSE)</f>
        <v>4</v>
      </c>
      <c r="AF176">
        <f>VLOOKUP(AC176,moves!A:F,5,FALSE)</f>
        <v>0</v>
      </c>
      <c r="AG176">
        <v>0</v>
      </c>
      <c r="AH176">
        <v>0</v>
      </c>
      <c r="AI176" t="str" cm="1">
        <f t="array" ref="AI176">_xlfn.IFS(AG176=1, "starter", AH176=1, "legendary",T176&lt; 13, "weak",T176&lt; 17, "moderate", TRUE, "strong")</f>
        <v>moderate</v>
      </c>
      <c r="AK176">
        <v>1</v>
      </c>
      <c r="AL176">
        <v>0</v>
      </c>
      <c r="AM176">
        <v>0</v>
      </c>
    </row>
    <row r="177" spans="1:39" x14ac:dyDescent="0.25">
      <c r="A177">
        <v>490</v>
      </c>
      <c r="B177" t="s">
        <v>243</v>
      </c>
      <c r="C177" s="1" t="s">
        <v>6</v>
      </c>
      <c r="E177">
        <v>100</v>
      </c>
      <c r="F177">
        <v>100</v>
      </c>
      <c r="G177">
        <v>100</v>
      </c>
      <c r="H177">
        <v>100</v>
      </c>
      <c r="I177">
        <v>100</v>
      </c>
      <c r="J177">
        <v>100</v>
      </c>
      <c r="K177" t="s">
        <v>450</v>
      </c>
      <c r="L177" t="s">
        <v>303</v>
      </c>
      <c r="M177" t="s">
        <v>299</v>
      </c>
      <c r="N177">
        <f t="shared" si="148"/>
        <v>10</v>
      </c>
      <c r="O177">
        <f t="shared" si="149"/>
        <v>10</v>
      </c>
      <c r="P177">
        <v>0</v>
      </c>
      <c r="Q177">
        <v>0</v>
      </c>
      <c r="R177" s="2">
        <f t="shared" si="150"/>
        <v>10</v>
      </c>
      <c r="S177" s="2">
        <f t="shared" si="151"/>
        <v>10</v>
      </c>
      <c r="T177" s="2">
        <f t="shared" si="152"/>
        <v>20</v>
      </c>
      <c r="U177" t="str">
        <f t="shared" si="146"/>
        <v>water</v>
      </c>
      <c r="V177" t="s">
        <v>26</v>
      </c>
      <c r="W177" t="s">
        <v>16</v>
      </c>
      <c r="X177" t="s">
        <v>14</v>
      </c>
      <c r="Z177" s="2" t="str">
        <f t="shared" si="147"/>
        <v/>
      </c>
      <c r="AA177" t="str">
        <f t="shared" si="115"/>
        <v>Manaphy</v>
      </c>
      <c r="AC177" t="s">
        <v>1054</v>
      </c>
      <c r="AD177" t="str">
        <f>VLOOKUP(AC177,moves!A:B,2,FALSE)</f>
        <v>psychic</v>
      </c>
      <c r="AE177">
        <f>VLOOKUP(AC177,moves!A:D,4,FALSE)</f>
        <v>4</v>
      </c>
      <c r="AF177" t="str">
        <f>VLOOKUP(AC177,moves!A:F,5,FALSE)</f>
        <v>switch</v>
      </c>
      <c r="AG177">
        <v>0</v>
      </c>
      <c r="AH177">
        <v>1</v>
      </c>
      <c r="AI177" t="str" cm="1">
        <f t="array" ref="AI177">_xlfn.IFS(AG177=1, "starter", AH177=1, "legendary",T177&lt; 13, "weak",T177&lt; 17, "moderate", TRUE, "strong")</f>
        <v>legendary</v>
      </c>
      <c r="AK177">
        <v>1</v>
      </c>
      <c r="AL177">
        <v>0</v>
      </c>
      <c r="AM177">
        <v>0</v>
      </c>
    </row>
    <row r="178" spans="1:39" x14ac:dyDescent="0.25">
      <c r="A178">
        <v>491</v>
      </c>
      <c r="B178" t="s">
        <v>244</v>
      </c>
      <c r="C178" s="1" t="s">
        <v>9</v>
      </c>
      <c r="E178">
        <v>70</v>
      </c>
      <c r="F178">
        <v>90</v>
      </c>
      <c r="G178">
        <v>90</v>
      </c>
      <c r="H178">
        <v>135</v>
      </c>
      <c r="I178">
        <v>90</v>
      </c>
      <c r="J178">
        <v>125</v>
      </c>
      <c r="K178" t="s">
        <v>449</v>
      </c>
      <c r="L178" t="s">
        <v>298</v>
      </c>
      <c r="M178" t="s">
        <v>299</v>
      </c>
      <c r="N178">
        <f t="shared" si="148"/>
        <v>12.65</v>
      </c>
      <c r="O178">
        <f t="shared" si="149"/>
        <v>8.1999999999999993</v>
      </c>
      <c r="P178">
        <v>-1</v>
      </c>
      <c r="Q178">
        <v>0</v>
      </c>
      <c r="R178" s="2">
        <f t="shared" si="150"/>
        <v>12</v>
      </c>
      <c r="S178" s="2">
        <f t="shared" si="151"/>
        <v>8</v>
      </c>
      <c r="T178" s="2">
        <f t="shared" si="152"/>
        <v>20</v>
      </c>
      <c r="U178" t="str">
        <f t="shared" si="146"/>
        <v>dark</v>
      </c>
      <c r="V178" t="s">
        <v>26</v>
      </c>
      <c r="W178" t="s">
        <v>42</v>
      </c>
      <c r="X178" t="s">
        <v>14</v>
      </c>
      <c r="Z178" s="2" t="str">
        <f>IF(ISBLANK(Y178), "", ROUND(( (T179-6)*(T179-7) - (T178-6)*(T178-7) )/15, 0) + 1)</f>
        <v/>
      </c>
      <c r="AA178" t="str">
        <f t="shared" si="115"/>
        <v>Darkrai</v>
      </c>
      <c r="AC178" t="s">
        <v>506</v>
      </c>
      <c r="AD178" t="str">
        <f>VLOOKUP(AC178,moves!A:B,2,FALSE)</f>
        <v>dark</v>
      </c>
      <c r="AE178">
        <f>VLOOKUP(AC178,moves!A:D,4,FALSE)</f>
        <v>2</v>
      </c>
      <c r="AF178" t="str">
        <f>VLOOKUP(AC178,moves!A:F,5,FALSE)</f>
        <v>agile</v>
      </c>
      <c r="AG178">
        <v>0</v>
      </c>
      <c r="AH178">
        <v>1</v>
      </c>
      <c r="AI178" t="str" cm="1">
        <f t="array" ref="AI178">_xlfn.IFS(AG178=1, "starter", AH178=1, "legendary",T178&lt; 13, "weak",T178&lt; 17, "moderate", TRUE, "strong")</f>
        <v>legendary</v>
      </c>
      <c r="AK178">
        <v>1</v>
      </c>
      <c r="AL178">
        <v>0</v>
      </c>
      <c r="AM178">
        <v>0</v>
      </c>
    </row>
    <row r="179" spans="1:39" x14ac:dyDescent="0.25">
      <c r="A179">
        <v>492</v>
      </c>
      <c r="B179" t="s">
        <v>245</v>
      </c>
      <c r="C179" s="1" t="s">
        <v>2</v>
      </c>
      <c r="E179">
        <v>100</v>
      </c>
      <c r="F179">
        <v>100</v>
      </c>
      <c r="G179">
        <v>100</v>
      </c>
      <c r="H179">
        <v>100</v>
      </c>
      <c r="I179">
        <v>100</v>
      </c>
      <c r="J179">
        <v>100</v>
      </c>
      <c r="K179" t="s">
        <v>448</v>
      </c>
      <c r="L179" t="s">
        <v>301</v>
      </c>
      <c r="M179" t="s">
        <v>302</v>
      </c>
      <c r="N179">
        <f t="shared" si="148"/>
        <v>10</v>
      </c>
      <c r="O179">
        <f t="shared" si="149"/>
        <v>10</v>
      </c>
      <c r="P179">
        <v>1</v>
      </c>
      <c r="Q179">
        <v>-1</v>
      </c>
      <c r="R179" s="2">
        <f t="shared" si="150"/>
        <v>11</v>
      </c>
      <c r="S179" s="2">
        <f t="shared" si="151"/>
        <v>9</v>
      </c>
      <c r="T179" s="2">
        <f t="shared" si="152"/>
        <v>20</v>
      </c>
      <c r="U179" t="str">
        <f t="shared" si="146"/>
        <v>grass</v>
      </c>
      <c r="V179" t="s">
        <v>8</v>
      </c>
      <c r="W179" t="s">
        <v>16</v>
      </c>
      <c r="X179" t="s">
        <v>26</v>
      </c>
      <c r="Z179" s="2" t="str">
        <f>IF(ISBLANK(Y179), "", ROUND(( (T181-6)*(T181-7) - (T179-6)*(T179-7) )/15, 0) + 1)</f>
        <v/>
      </c>
      <c r="AA179" t="str">
        <f t="shared" si="115"/>
        <v>Shaymin</v>
      </c>
      <c r="AC179" t="s">
        <v>538</v>
      </c>
      <c r="AD179" t="str">
        <f>VLOOKUP(AC179,moves!A:B,2,FALSE)</f>
        <v>grass</v>
      </c>
      <c r="AE179">
        <f>VLOOKUP(AC179,moves!A:D,4,FALSE)</f>
        <v>4</v>
      </c>
      <c r="AF179" t="str">
        <f>VLOOKUP(AC179,moves!A:F,5,FALSE)</f>
        <v>transform</v>
      </c>
      <c r="AG179">
        <v>0</v>
      </c>
      <c r="AH179">
        <v>1</v>
      </c>
      <c r="AI179" t="str" cm="1">
        <f t="array" ref="AI179">_xlfn.IFS(AG179=1, "starter", AH179=1, "legendary",T179&lt; 13, "weak",T179&lt; 17, "moderate", TRUE, "strong")</f>
        <v>legendary</v>
      </c>
      <c r="AK179">
        <v>1</v>
      </c>
      <c r="AL179">
        <v>0</v>
      </c>
      <c r="AM179">
        <v>1</v>
      </c>
    </row>
    <row r="180" spans="1:39" x14ac:dyDescent="0.25">
      <c r="A180" t="s">
        <v>1017</v>
      </c>
      <c r="B180" t="s">
        <v>245</v>
      </c>
      <c r="C180" s="1" t="s">
        <v>2</v>
      </c>
      <c r="D180" s="1" t="s">
        <v>5</v>
      </c>
      <c r="E180">
        <v>100</v>
      </c>
      <c r="F180">
        <v>103</v>
      </c>
      <c r="G180">
        <v>75</v>
      </c>
      <c r="H180">
        <v>120</v>
      </c>
      <c r="I180">
        <v>75</v>
      </c>
      <c r="J180">
        <v>127</v>
      </c>
      <c r="K180" t="s">
        <v>448</v>
      </c>
      <c r="L180" t="s">
        <v>301</v>
      </c>
      <c r="M180" t="s">
        <v>302</v>
      </c>
      <c r="N180">
        <f t="shared" ref="N180" si="192">(0.4*J180 + 0.5*MAX(F180,H180) + 0.1*MIN(F180,H180)) / 10</f>
        <v>12.110000000000001</v>
      </c>
      <c r="O180">
        <f t="shared" ref="O180" si="193">(0.4*E180 + 0.3*G180 + 0.3*I180) / 10</f>
        <v>8.5</v>
      </c>
      <c r="P180">
        <v>-1</v>
      </c>
      <c r="Q180">
        <v>0</v>
      </c>
      <c r="R180" s="2">
        <f t="shared" ref="R180" si="194">ROUND(N180,0)+P180</f>
        <v>11</v>
      </c>
      <c r="S180" s="2">
        <f t="shared" ref="S180" si="195">ROUND(O180,0)+Q180</f>
        <v>9</v>
      </c>
      <c r="T180" s="2">
        <f t="shared" ref="T180" si="196">SUM(ROUND(R180,0),ROUND(S180,0))</f>
        <v>20</v>
      </c>
      <c r="U180" t="str">
        <f t="shared" ref="U180" si="197">C180</f>
        <v>grass</v>
      </c>
      <c r="V180" t="str">
        <f>IF(D180 = 0, "", D180)</f>
        <v>flying</v>
      </c>
      <c r="W180" t="s">
        <v>16</v>
      </c>
      <c r="X180" t="s">
        <v>26</v>
      </c>
      <c r="Z180" s="2" t="str">
        <f>IF(ISBLANK(Y180), "", ROUND(( (T182-6)*(T182-7) - (T180-6)*(T180-7) )/15, 0) + 1)</f>
        <v/>
      </c>
      <c r="AA180" t="s">
        <v>1016</v>
      </c>
      <c r="AB180" t="s">
        <v>1065</v>
      </c>
      <c r="AC180" t="s">
        <v>1454</v>
      </c>
      <c r="AD180" t="str">
        <f>VLOOKUP(AC180,moves!A:B,2,FALSE)</f>
        <v>flying</v>
      </c>
      <c r="AE180">
        <f>VLOOKUP(AC180,moves!A:D,4,FALSE)</f>
        <v>5</v>
      </c>
      <c r="AF180">
        <f>VLOOKUP(AC180,moves!A:F,5,FALSE)</f>
        <v>0</v>
      </c>
      <c r="AG180">
        <v>0</v>
      </c>
      <c r="AH180">
        <v>1</v>
      </c>
      <c r="AI180" t="str" cm="1">
        <f t="array" ref="AI180">_xlfn.IFS(AG180=1, "starter", AH180=1, "legendary",T180&lt; 13, "weak",T180&lt; 17, "moderate", TRUE, "strong")</f>
        <v>legendary</v>
      </c>
      <c r="AK180">
        <v>1</v>
      </c>
      <c r="AL180">
        <v>0</v>
      </c>
      <c r="AM180">
        <v>2</v>
      </c>
    </row>
    <row r="181" spans="1:39" x14ac:dyDescent="0.25">
      <c r="A181">
        <v>228</v>
      </c>
      <c r="B181" t="s">
        <v>99</v>
      </c>
      <c r="C181" s="1" t="s">
        <v>9</v>
      </c>
      <c r="D181" s="1" t="s">
        <v>4</v>
      </c>
      <c r="E181">
        <v>45</v>
      </c>
      <c r="F181">
        <v>60</v>
      </c>
      <c r="G181">
        <v>30</v>
      </c>
      <c r="H181">
        <v>80</v>
      </c>
      <c r="I181">
        <v>50</v>
      </c>
      <c r="J181">
        <v>65</v>
      </c>
      <c r="K181" t="s">
        <v>428</v>
      </c>
      <c r="L181" t="s">
        <v>301</v>
      </c>
      <c r="M181" t="s">
        <v>302</v>
      </c>
      <c r="N181">
        <f t="shared" si="148"/>
        <v>7.2</v>
      </c>
      <c r="O181">
        <f t="shared" si="149"/>
        <v>4.2</v>
      </c>
      <c r="P181">
        <v>0</v>
      </c>
      <c r="Q181">
        <v>0</v>
      </c>
      <c r="R181" s="2">
        <f t="shared" si="150"/>
        <v>7</v>
      </c>
      <c r="S181" s="2">
        <f t="shared" si="151"/>
        <v>4</v>
      </c>
      <c r="T181" s="2">
        <f t="shared" si="152"/>
        <v>11</v>
      </c>
      <c r="U181" t="str">
        <f t="shared" si="146"/>
        <v>dark</v>
      </c>
      <c r="V181" t="str">
        <f>IF(D181 = 0, "", D181)</f>
        <v>fire</v>
      </c>
      <c r="W181" t="s">
        <v>8</v>
      </c>
      <c r="X181" t="s">
        <v>3</v>
      </c>
      <c r="Y181" t="str">
        <f>B182</f>
        <v>Houndoom</v>
      </c>
      <c r="Z181" s="2">
        <f t="shared" si="147"/>
        <v>7</v>
      </c>
      <c r="AA181" t="str">
        <f t="shared" si="115"/>
        <v>Houndour</v>
      </c>
      <c r="AC181" t="s">
        <v>528</v>
      </c>
      <c r="AD181" t="str">
        <f>VLOOKUP(AC181,moves!A:B,2,FALSE)</f>
        <v>dark</v>
      </c>
      <c r="AE181">
        <f>VLOOKUP(AC181,moves!A:D,4,FALSE)</f>
        <v>3</v>
      </c>
      <c r="AF181">
        <f>VLOOKUP(AC181,moves!A:F,5,FALSE)</f>
        <v>0</v>
      </c>
      <c r="AG181">
        <v>0</v>
      </c>
      <c r="AH181">
        <v>0</v>
      </c>
      <c r="AI181" t="str" cm="1">
        <f t="array" ref="AI181">_xlfn.IFS(AG181=1, "starter", AH181=1, "legendary",T181&lt; 13, "weak",T181&lt; 17, "moderate", TRUE, "strong")</f>
        <v>weak</v>
      </c>
      <c r="AK181">
        <v>1</v>
      </c>
      <c r="AL181">
        <v>0</v>
      </c>
      <c r="AM181">
        <v>0</v>
      </c>
    </row>
    <row r="182" spans="1:39" x14ac:dyDescent="0.25">
      <c r="A182">
        <v>229</v>
      </c>
      <c r="B182" t="s">
        <v>100</v>
      </c>
      <c r="C182" s="1" t="s">
        <v>9</v>
      </c>
      <c r="D182" s="1" t="s">
        <v>4</v>
      </c>
      <c r="E182">
        <v>75</v>
      </c>
      <c r="F182">
        <v>90</v>
      </c>
      <c r="G182">
        <v>50</v>
      </c>
      <c r="H182">
        <v>110</v>
      </c>
      <c r="I182">
        <v>80</v>
      </c>
      <c r="J182">
        <v>95</v>
      </c>
      <c r="K182" t="s">
        <v>428</v>
      </c>
      <c r="L182" t="s">
        <v>301</v>
      </c>
      <c r="M182" t="s">
        <v>302</v>
      </c>
      <c r="N182">
        <f t="shared" si="148"/>
        <v>10.199999999999999</v>
      </c>
      <c r="O182">
        <f t="shared" si="149"/>
        <v>6.9</v>
      </c>
      <c r="P182">
        <v>0</v>
      </c>
      <c r="Q182">
        <v>0</v>
      </c>
      <c r="R182" s="2">
        <f t="shared" si="150"/>
        <v>10</v>
      </c>
      <c r="S182" s="2">
        <f t="shared" si="151"/>
        <v>7</v>
      </c>
      <c r="T182" s="2">
        <f t="shared" si="152"/>
        <v>17</v>
      </c>
      <c r="U182" t="str">
        <f t="shared" si="146"/>
        <v>dark</v>
      </c>
      <c r="V182" t="str">
        <f>IF(D182 = 0, "", D182)</f>
        <v>fire</v>
      </c>
      <c r="W182" t="s">
        <v>8</v>
      </c>
      <c r="X182" t="s">
        <v>3</v>
      </c>
      <c r="Z182" s="2" t="str">
        <f t="shared" si="147"/>
        <v/>
      </c>
      <c r="AA182" t="str">
        <f t="shared" si="115"/>
        <v>Houndoom</v>
      </c>
      <c r="AC182" t="s">
        <v>481</v>
      </c>
      <c r="AD182" t="str">
        <f>VLOOKUP(AC182,moves!A:B,2,FALSE)</f>
        <v>fire</v>
      </c>
      <c r="AE182">
        <f>VLOOKUP(AC182,moves!A:D,4,FALSE)</f>
        <v>4</v>
      </c>
      <c r="AF182">
        <f>VLOOKUP(AC182,moves!A:F,5,FALSE)</f>
        <v>0</v>
      </c>
      <c r="AG182">
        <v>0</v>
      </c>
      <c r="AH182">
        <v>0</v>
      </c>
      <c r="AI182" t="str" cm="1">
        <f t="array" ref="AI182">_xlfn.IFS(AG182=1, "starter", AH182=1, "legendary",T182&lt; 13, "weak",T182&lt; 17, "moderate", TRUE, "strong")</f>
        <v>strong</v>
      </c>
      <c r="AK182">
        <v>2</v>
      </c>
      <c r="AL182">
        <v>0</v>
      </c>
      <c r="AM182">
        <v>0</v>
      </c>
    </row>
    <row r="183" spans="1:39" x14ac:dyDescent="0.25">
      <c r="A183">
        <v>359</v>
      </c>
      <c r="B183" t="s">
        <v>131</v>
      </c>
      <c r="C183" s="1" t="s">
        <v>9</v>
      </c>
      <c r="E183">
        <v>65</v>
      </c>
      <c r="F183">
        <v>130</v>
      </c>
      <c r="G183">
        <v>60</v>
      </c>
      <c r="H183">
        <v>75</v>
      </c>
      <c r="I183">
        <v>60</v>
      </c>
      <c r="J183">
        <v>75</v>
      </c>
      <c r="K183" t="s">
        <v>429</v>
      </c>
      <c r="L183" t="s">
        <v>304</v>
      </c>
      <c r="M183" t="s">
        <v>299</v>
      </c>
      <c r="N183">
        <f t="shared" si="148"/>
        <v>10.25</v>
      </c>
      <c r="O183">
        <f t="shared" si="149"/>
        <v>6.2</v>
      </c>
      <c r="P183">
        <v>0</v>
      </c>
      <c r="Q183">
        <v>0</v>
      </c>
      <c r="R183" s="2">
        <f t="shared" si="150"/>
        <v>10</v>
      </c>
      <c r="S183" s="2">
        <f t="shared" si="151"/>
        <v>6</v>
      </c>
      <c r="T183" s="2">
        <f t="shared" si="152"/>
        <v>16</v>
      </c>
      <c r="U183" t="str">
        <f t="shared" si="146"/>
        <v>dark</v>
      </c>
      <c r="V183" t="s">
        <v>22</v>
      </c>
      <c r="W183" t="s">
        <v>26</v>
      </c>
      <c r="X183" t="s">
        <v>8</v>
      </c>
      <c r="Z183" s="2" t="str">
        <f t="shared" si="147"/>
        <v/>
      </c>
      <c r="AA183" t="str">
        <f t="shared" si="115"/>
        <v>Absol</v>
      </c>
      <c r="AC183" t="s">
        <v>522</v>
      </c>
      <c r="AD183" t="str">
        <f>VLOOKUP(AC183,moves!A:B,2,FALSE)</f>
        <v>dark</v>
      </c>
      <c r="AE183">
        <f>VLOOKUP(AC183,moves!A:D,4,FALSE)</f>
        <v>4</v>
      </c>
      <c r="AF183">
        <f>VLOOKUP(AC183,moves!A:F,5,FALSE)</f>
        <v>0</v>
      </c>
      <c r="AG183">
        <v>0</v>
      </c>
      <c r="AH183">
        <v>0</v>
      </c>
      <c r="AI183" t="str" cm="1">
        <f t="array" ref="AI183">_xlfn.IFS(AG183=1, "starter", AH183=1, "legendary",T183&lt; 13, "weak",T183&lt; 17, "moderate", TRUE, "strong")</f>
        <v>moderate</v>
      </c>
      <c r="AK183">
        <v>1</v>
      </c>
      <c r="AL183">
        <v>0</v>
      </c>
      <c r="AM183">
        <v>0</v>
      </c>
    </row>
    <row r="184" spans="1:39" x14ac:dyDescent="0.25">
      <c r="A184">
        <v>377</v>
      </c>
      <c r="B184" t="s">
        <v>140</v>
      </c>
      <c r="C184" s="1" t="s">
        <v>33</v>
      </c>
      <c r="E184">
        <v>80</v>
      </c>
      <c r="F184">
        <v>100</v>
      </c>
      <c r="G184">
        <v>200</v>
      </c>
      <c r="H184">
        <v>50</v>
      </c>
      <c r="I184">
        <v>100</v>
      </c>
      <c r="J184">
        <v>50</v>
      </c>
      <c r="K184" t="s">
        <v>447</v>
      </c>
      <c r="L184" t="s">
        <v>313</v>
      </c>
      <c r="M184" t="s">
        <v>300</v>
      </c>
      <c r="N184">
        <f t="shared" si="148"/>
        <v>7.5</v>
      </c>
      <c r="O184">
        <f t="shared" si="149"/>
        <v>12.2</v>
      </c>
      <c r="P184">
        <v>-1</v>
      </c>
      <c r="Q184">
        <v>1</v>
      </c>
      <c r="R184" s="2">
        <f t="shared" si="150"/>
        <v>7</v>
      </c>
      <c r="S184" s="2">
        <f t="shared" si="151"/>
        <v>13</v>
      </c>
      <c r="T184" s="2">
        <f t="shared" si="152"/>
        <v>20</v>
      </c>
      <c r="U184" t="str">
        <f t="shared" si="146"/>
        <v>rock</v>
      </c>
      <c r="V184" t="s">
        <v>13</v>
      </c>
      <c r="W184" t="s">
        <v>22</v>
      </c>
      <c r="X184" t="s">
        <v>11</v>
      </c>
      <c r="Z184" s="2" t="str">
        <f t="shared" si="147"/>
        <v/>
      </c>
      <c r="AA184" t="str">
        <f t="shared" si="115"/>
        <v>Regirock</v>
      </c>
      <c r="AC184" t="s">
        <v>1371</v>
      </c>
      <c r="AD184" t="str">
        <f>VLOOKUP(AC184,moves!A:B,2,FALSE)</f>
        <v>rock</v>
      </c>
      <c r="AE184">
        <f>VLOOKUP(AC184,moves!A:D,4,FALSE)</f>
        <v>3</v>
      </c>
      <c r="AF184" t="str">
        <f>VLOOKUP(AC184,moves!A:F,5,FALSE)</f>
        <v>boost</v>
      </c>
      <c r="AG184">
        <v>0</v>
      </c>
      <c r="AH184">
        <v>1</v>
      </c>
      <c r="AI184" t="str" cm="1">
        <f t="array" ref="AI184">_xlfn.IFS(AG184=1, "starter", AH184=1, "legendary",T184&lt; 13, "weak",T184&lt; 17, "moderate", TRUE, "strong")</f>
        <v>legendary</v>
      </c>
      <c r="AK184">
        <v>1</v>
      </c>
      <c r="AL184">
        <v>0</v>
      </c>
      <c r="AM184">
        <v>0</v>
      </c>
    </row>
    <row r="185" spans="1:39" x14ac:dyDescent="0.25">
      <c r="A185">
        <v>378</v>
      </c>
      <c r="B185" t="s">
        <v>141</v>
      </c>
      <c r="C185" s="1" t="s">
        <v>14</v>
      </c>
      <c r="E185">
        <v>80</v>
      </c>
      <c r="F185">
        <v>50</v>
      </c>
      <c r="G185">
        <v>100</v>
      </c>
      <c r="H185">
        <v>100</v>
      </c>
      <c r="I185">
        <v>200</v>
      </c>
      <c r="J185">
        <v>50</v>
      </c>
      <c r="K185" t="s">
        <v>446</v>
      </c>
      <c r="L185" t="s">
        <v>313</v>
      </c>
      <c r="M185" t="s">
        <v>299</v>
      </c>
      <c r="N185">
        <f t="shared" si="148"/>
        <v>7.5</v>
      </c>
      <c r="O185">
        <f t="shared" si="149"/>
        <v>12.2</v>
      </c>
      <c r="P185">
        <v>-1</v>
      </c>
      <c r="Q185">
        <v>1</v>
      </c>
      <c r="R185" s="2">
        <f t="shared" si="150"/>
        <v>7</v>
      </c>
      <c r="S185" s="2">
        <f t="shared" si="151"/>
        <v>13</v>
      </c>
      <c r="T185" s="2">
        <f t="shared" si="152"/>
        <v>20</v>
      </c>
      <c r="U185" t="str">
        <f t="shared" si="146"/>
        <v>ice</v>
      </c>
      <c r="V185" t="s">
        <v>13</v>
      </c>
      <c r="W185" t="s">
        <v>22</v>
      </c>
      <c r="X185" t="s">
        <v>11</v>
      </c>
      <c r="Z185" s="2" t="str">
        <f t="shared" si="147"/>
        <v/>
      </c>
      <c r="AA185" t="str">
        <f t="shared" si="115"/>
        <v>Regice</v>
      </c>
      <c r="AC185" t="s">
        <v>1372</v>
      </c>
      <c r="AD185" t="str">
        <f>VLOOKUP(AC185,moves!A:B,2,FALSE)</f>
        <v>ice</v>
      </c>
      <c r="AE185">
        <f>VLOOKUP(AC185,moves!A:D,4,FALSE)</f>
        <v>3</v>
      </c>
      <c r="AF185" t="str">
        <f>VLOOKUP(AC185,moves!A:F,5,FALSE)</f>
        <v>boost</v>
      </c>
      <c r="AG185">
        <v>0</v>
      </c>
      <c r="AH185">
        <v>1</v>
      </c>
      <c r="AI185" t="str" cm="1">
        <f t="array" ref="AI185">_xlfn.IFS(AG185=1, "starter", AH185=1, "legendary",T185&lt; 13, "weak",T185&lt; 17, "moderate", TRUE, "strong")</f>
        <v>legendary</v>
      </c>
      <c r="AK185">
        <v>1</v>
      </c>
      <c r="AL185">
        <v>0</v>
      </c>
      <c r="AM185">
        <v>0</v>
      </c>
    </row>
    <row r="186" spans="1:39" x14ac:dyDescent="0.25">
      <c r="A186">
        <v>379</v>
      </c>
      <c r="B186" t="s">
        <v>142</v>
      </c>
      <c r="C186" s="1" t="s">
        <v>39</v>
      </c>
      <c r="E186">
        <v>80</v>
      </c>
      <c r="F186">
        <v>75</v>
      </c>
      <c r="G186">
        <v>150</v>
      </c>
      <c r="H186">
        <v>75</v>
      </c>
      <c r="I186">
        <v>150</v>
      </c>
      <c r="J186">
        <v>50</v>
      </c>
      <c r="K186" t="s">
        <v>445</v>
      </c>
      <c r="L186" t="s">
        <v>313</v>
      </c>
      <c r="M186" t="s">
        <v>302</v>
      </c>
      <c r="N186">
        <f t="shared" si="148"/>
        <v>6.5</v>
      </c>
      <c r="O186">
        <f t="shared" si="149"/>
        <v>12.2</v>
      </c>
      <c r="P186">
        <v>0</v>
      </c>
      <c r="Q186">
        <v>1</v>
      </c>
      <c r="R186" s="2">
        <f t="shared" si="150"/>
        <v>7</v>
      </c>
      <c r="S186" s="2">
        <f t="shared" si="151"/>
        <v>13</v>
      </c>
      <c r="T186" s="2">
        <f t="shared" si="152"/>
        <v>20</v>
      </c>
      <c r="U186" t="str">
        <f t="shared" si="146"/>
        <v>steel</v>
      </c>
      <c r="V186" t="s">
        <v>13</v>
      </c>
      <c r="W186" t="s">
        <v>22</v>
      </c>
      <c r="X186" t="s">
        <v>11</v>
      </c>
      <c r="Z186" s="2" t="str">
        <f>IF(ISBLANK(Y186), "", ROUND(( (T189-6)*(T189-7) - (T186-6)*(T186-7) )/15, 0) + 1)</f>
        <v/>
      </c>
      <c r="AA186" t="str">
        <f t="shared" si="115"/>
        <v>Registeel</v>
      </c>
      <c r="AC186" t="s">
        <v>1373</v>
      </c>
      <c r="AD186" t="str">
        <f>VLOOKUP(AC186,moves!A:B,2,FALSE)</f>
        <v>steel</v>
      </c>
      <c r="AE186">
        <f>VLOOKUP(AC186,moves!A:D,4,FALSE)</f>
        <v>3</v>
      </c>
      <c r="AF186" t="str">
        <f>VLOOKUP(AC186,moves!A:F,5,FALSE)</f>
        <v>boost</v>
      </c>
      <c r="AG186">
        <v>0</v>
      </c>
      <c r="AH186">
        <v>1</v>
      </c>
      <c r="AI186" t="str" cm="1">
        <f t="array" ref="AI186">_xlfn.IFS(AG186=1, "starter", AH186=1, "legendary",T186&lt; 13, "weak",T186&lt; 17, "moderate", TRUE, "strong")</f>
        <v>legendary</v>
      </c>
      <c r="AK186">
        <v>1</v>
      </c>
      <c r="AL186">
        <v>0</v>
      </c>
      <c r="AM186">
        <v>0</v>
      </c>
    </row>
    <row r="187" spans="1:39" x14ac:dyDescent="0.25">
      <c r="A187">
        <v>894</v>
      </c>
      <c r="B187" t="s">
        <v>1375</v>
      </c>
      <c r="C187" s="1" t="s">
        <v>11</v>
      </c>
      <c r="E187">
        <v>80</v>
      </c>
      <c r="F187">
        <v>100</v>
      </c>
      <c r="G187">
        <v>50</v>
      </c>
      <c r="H187">
        <v>100</v>
      </c>
      <c r="I187">
        <v>50</v>
      </c>
      <c r="J187">
        <v>200</v>
      </c>
      <c r="K187" t="s">
        <v>1376</v>
      </c>
      <c r="L187" t="s">
        <v>313</v>
      </c>
      <c r="M187" t="s">
        <v>300</v>
      </c>
      <c r="N187">
        <f t="shared" si="148"/>
        <v>14</v>
      </c>
      <c r="O187">
        <f t="shared" si="149"/>
        <v>6.2</v>
      </c>
      <c r="P187">
        <v>0</v>
      </c>
      <c r="Q187">
        <v>0</v>
      </c>
      <c r="R187" s="2">
        <f t="shared" si="150"/>
        <v>14</v>
      </c>
      <c r="S187" s="2">
        <f t="shared" si="151"/>
        <v>6</v>
      </c>
      <c r="T187" s="2">
        <f t="shared" si="152"/>
        <v>20</v>
      </c>
      <c r="U187" t="str">
        <f t="shared" si="146"/>
        <v>electric</v>
      </c>
      <c r="V187" t="s">
        <v>8</v>
      </c>
      <c r="W187" t="s">
        <v>5</v>
      </c>
      <c r="X187" t="s">
        <v>26</v>
      </c>
      <c r="AA187" t="str">
        <f t="shared" si="115"/>
        <v>Regieleki</v>
      </c>
      <c r="AC187" t="s">
        <v>1379</v>
      </c>
      <c r="AD187" t="str">
        <f>VLOOKUP(AC187,moves!A:B,2,FALSE)</f>
        <v>electric</v>
      </c>
      <c r="AE187">
        <f>VLOOKUP(AC187,moves!A:D,4,FALSE)</f>
        <v>3</v>
      </c>
      <c r="AF187" t="str">
        <f>VLOOKUP(AC187,moves!A:F,5,FALSE)</f>
        <v>boost</v>
      </c>
      <c r="AG187">
        <v>0</v>
      </c>
      <c r="AH187">
        <v>1</v>
      </c>
      <c r="AI187" t="str" cm="1">
        <f t="array" ref="AI187">_xlfn.IFS(AG187=1, "starter", AH187=1, "legendary",T187&lt; 13, "weak",T187&lt; 17, "moderate", TRUE, "strong")</f>
        <v>legendary</v>
      </c>
      <c r="AK187">
        <v>1</v>
      </c>
      <c r="AL187">
        <v>0</v>
      </c>
      <c r="AM187">
        <v>0</v>
      </c>
    </row>
    <row r="188" spans="1:39" x14ac:dyDescent="0.25">
      <c r="A188">
        <v>895</v>
      </c>
      <c r="B188" t="s">
        <v>1377</v>
      </c>
      <c r="C188" s="1" t="s">
        <v>67</v>
      </c>
      <c r="E188">
        <v>200</v>
      </c>
      <c r="F188">
        <v>100</v>
      </c>
      <c r="G188">
        <v>50</v>
      </c>
      <c r="H188">
        <v>100</v>
      </c>
      <c r="I188">
        <v>50</v>
      </c>
      <c r="J188">
        <v>80</v>
      </c>
      <c r="K188" t="s">
        <v>1378</v>
      </c>
      <c r="L188" t="s">
        <v>313</v>
      </c>
      <c r="M188" t="s">
        <v>302</v>
      </c>
      <c r="N188">
        <f t="shared" si="148"/>
        <v>9.1999999999999993</v>
      </c>
      <c r="O188">
        <f t="shared" si="149"/>
        <v>11</v>
      </c>
      <c r="P188">
        <v>0</v>
      </c>
      <c r="Q188">
        <v>0</v>
      </c>
      <c r="R188" s="2">
        <f t="shared" si="150"/>
        <v>9</v>
      </c>
      <c r="S188" s="2">
        <f t="shared" si="151"/>
        <v>11</v>
      </c>
      <c r="T188" s="2">
        <f t="shared" si="152"/>
        <v>20</v>
      </c>
      <c r="U188" t="str">
        <f t="shared" si="146"/>
        <v>dragon</v>
      </c>
      <c r="V188" t="s">
        <v>8</v>
      </c>
      <c r="W188" t="s">
        <v>22</v>
      </c>
      <c r="X188" t="s">
        <v>9</v>
      </c>
      <c r="AA188" t="str">
        <f t="shared" si="115"/>
        <v>Regidrago</v>
      </c>
      <c r="AC188" t="s">
        <v>1380</v>
      </c>
      <c r="AD188" t="str">
        <f>VLOOKUP(AC188,moves!A:B,2,FALSE)</f>
        <v>dragon</v>
      </c>
      <c r="AE188">
        <f>VLOOKUP(AC188,moves!A:D,4,FALSE)</f>
        <v>3</v>
      </c>
      <c r="AF188" t="str">
        <f>VLOOKUP(AC188,moves!A:F,5,FALSE)</f>
        <v>boost</v>
      </c>
      <c r="AG188">
        <v>0</v>
      </c>
      <c r="AH188">
        <v>1</v>
      </c>
      <c r="AI188" t="str" cm="1">
        <f t="array" ref="AI188">_xlfn.IFS(AG188=1, "starter", AH188=1, "legendary",T188&lt; 13, "weak",T188&lt; 17, "moderate", TRUE, "strong")</f>
        <v>legendary</v>
      </c>
      <c r="AK188">
        <v>1</v>
      </c>
      <c r="AL188">
        <v>0</v>
      </c>
      <c r="AM188">
        <v>0</v>
      </c>
    </row>
    <row r="189" spans="1:39" x14ac:dyDescent="0.25">
      <c r="A189">
        <v>129</v>
      </c>
      <c r="B189" t="s">
        <v>56</v>
      </c>
      <c r="C189" s="1" t="s">
        <v>6</v>
      </c>
      <c r="E189">
        <v>20</v>
      </c>
      <c r="F189">
        <v>10</v>
      </c>
      <c r="G189">
        <v>15</v>
      </c>
      <c r="H189">
        <v>55</v>
      </c>
      <c r="I189">
        <v>20</v>
      </c>
      <c r="J189">
        <v>80</v>
      </c>
      <c r="K189" t="s">
        <v>430</v>
      </c>
      <c r="L189" t="s">
        <v>303</v>
      </c>
      <c r="M189" t="s">
        <v>300</v>
      </c>
      <c r="N189">
        <f t="shared" si="148"/>
        <v>6.05</v>
      </c>
      <c r="O189">
        <f t="shared" si="149"/>
        <v>1.85</v>
      </c>
      <c r="P189">
        <v>0</v>
      </c>
      <c r="Q189">
        <v>0</v>
      </c>
      <c r="R189" s="2">
        <f t="shared" si="150"/>
        <v>6</v>
      </c>
      <c r="S189" s="2">
        <f t="shared" si="151"/>
        <v>2</v>
      </c>
      <c r="T189" s="2">
        <f t="shared" si="152"/>
        <v>8</v>
      </c>
      <c r="U189" t="str">
        <f t="shared" si="146"/>
        <v>water</v>
      </c>
      <c r="V189" s="1" t="s">
        <v>5</v>
      </c>
      <c r="W189" t="s">
        <v>8</v>
      </c>
      <c r="X189" t="s">
        <v>67</v>
      </c>
      <c r="Y189" t="str">
        <f>B190</f>
        <v>Gyarados</v>
      </c>
      <c r="Z189" s="2">
        <f t="shared" si="147"/>
        <v>11</v>
      </c>
      <c r="AA189" t="str">
        <f t="shared" si="115"/>
        <v>Magikarp</v>
      </c>
      <c r="AC189" t="s">
        <v>552</v>
      </c>
      <c r="AD189" t="str">
        <f>VLOOKUP(AC189,moves!A:B,2,FALSE)</f>
        <v>normal</v>
      </c>
      <c r="AE189">
        <f>VLOOKUP(AC189,moves!A:D,4,FALSE)</f>
        <v>1</v>
      </c>
      <c r="AF189" t="str">
        <f>VLOOKUP(AC189,moves!A:F,5,FALSE)</f>
        <v>agile</v>
      </c>
      <c r="AG189">
        <v>0</v>
      </c>
      <c r="AH189">
        <v>0</v>
      </c>
      <c r="AI189" t="str" cm="1">
        <f t="array" ref="AI189">_xlfn.IFS(AG189=1, "starter", AH189=1, "legendary",T189&lt; 13, "weak",T189&lt; 17, "moderate", TRUE, "strong")</f>
        <v>weak</v>
      </c>
      <c r="AK189">
        <v>1</v>
      </c>
      <c r="AL189">
        <v>0</v>
      </c>
      <c r="AM189">
        <v>0</v>
      </c>
    </row>
    <row r="190" spans="1:39" x14ac:dyDescent="0.25">
      <c r="A190">
        <v>130</v>
      </c>
      <c r="B190" t="s">
        <v>57</v>
      </c>
      <c r="C190" s="1" t="s">
        <v>6</v>
      </c>
      <c r="D190" s="1" t="s">
        <v>5</v>
      </c>
      <c r="E190">
        <v>95</v>
      </c>
      <c r="F190">
        <v>125</v>
      </c>
      <c r="G190">
        <v>79</v>
      </c>
      <c r="H190">
        <v>60</v>
      </c>
      <c r="I190">
        <v>100</v>
      </c>
      <c r="J190">
        <v>81</v>
      </c>
      <c r="K190" t="s">
        <v>431</v>
      </c>
      <c r="L190" t="s">
        <v>303</v>
      </c>
      <c r="M190" t="s">
        <v>300</v>
      </c>
      <c r="N190">
        <f t="shared" si="148"/>
        <v>10.09</v>
      </c>
      <c r="O190">
        <f t="shared" si="149"/>
        <v>9.17</v>
      </c>
      <c r="P190">
        <v>0</v>
      </c>
      <c r="Q190">
        <v>0</v>
      </c>
      <c r="R190" s="2">
        <f t="shared" si="150"/>
        <v>10</v>
      </c>
      <c r="S190" s="2">
        <f t="shared" si="151"/>
        <v>9</v>
      </c>
      <c r="T190" s="2">
        <f t="shared" si="152"/>
        <v>19</v>
      </c>
      <c r="U190" t="str">
        <f t="shared" si="146"/>
        <v>water</v>
      </c>
      <c r="V190" t="str">
        <f>IF(D190 = 0, "", D190)</f>
        <v>flying</v>
      </c>
      <c r="W190" t="s">
        <v>8</v>
      </c>
      <c r="X190" t="s">
        <v>67</v>
      </c>
      <c r="Z190" s="2" t="str">
        <f t="shared" si="147"/>
        <v/>
      </c>
      <c r="AA190" t="str">
        <f t="shared" si="115"/>
        <v>Gyarados</v>
      </c>
      <c r="AC190" t="s">
        <v>503</v>
      </c>
      <c r="AD190" t="str">
        <f>VLOOKUP(AC190,moves!A:B,2,FALSE)</f>
        <v>dragon</v>
      </c>
      <c r="AE190">
        <f>VLOOKUP(AC190,moves!A:D,4,FALSE)</f>
        <v>5</v>
      </c>
      <c r="AF190">
        <f>VLOOKUP(AC190,moves!A:F,5,FALSE)</f>
        <v>0</v>
      </c>
      <c r="AG190">
        <v>0</v>
      </c>
      <c r="AH190">
        <v>0</v>
      </c>
      <c r="AI190" t="str" cm="1">
        <f t="array" ref="AI190">_xlfn.IFS(AG190=1, "starter", AH190=1, "legendary",T190&lt; 13, "weak",T190&lt; 17, "moderate", TRUE, "strong")</f>
        <v>strong</v>
      </c>
      <c r="AK190">
        <v>2</v>
      </c>
      <c r="AL190">
        <v>0</v>
      </c>
      <c r="AM190">
        <v>0</v>
      </c>
    </row>
    <row r="191" spans="1:39" x14ac:dyDescent="0.25">
      <c r="A191">
        <v>172</v>
      </c>
      <c r="B191" t="s">
        <v>71</v>
      </c>
      <c r="C191" t="s">
        <v>11</v>
      </c>
      <c r="D191"/>
      <c r="E191">
        <v>20</v>
      </c>
      <c r="F191">
        <v>80</v>
      </c>
      <c r="G191">
        <v>15</v>
      </c>
      <c r="H191">
        <v>70</v>
      </c>
      <c r="I191">
        <v>35</v>
      </c>
      <c r="J191">
        <v>60</v>
      </c>
      <c r="K191" t="s">
        <v>272</v>
      </c>
      <c r="L191" t="s">
        <v>298</v>
      </c>
      <c r="M191" t="s">
        <v>300</v>
      </c>
      <c r="N191">
        <f t="shared" si="148"/>
        <v>7.1</v>
      </c>
      <c r="O191">
        <f t="shared" si="149"/>
        <v>2.2999999999999998</v>
      </c>
      <c r="P191">
        <v>-1</v>
      </c>
      <c r="Q191">
        <v>2</v>
      </c>
      <c r="R191" s="2">
        <f t="shared" si="150"/>
        <v>6</v>
      </c>
      <c r="S191" s="2">
        <f t="shared" si="151"/>
        <v>4</v>
      </c>
      <c r="T191" s="2">
        <f t="shared" si="152"/>
        <v>10</v>
      </c>
      <c r="U191" t="str">
        <f t="shared" si="146"/>
        <v>electric</v>
      </c>
      <c r="V191" t="s">
        <v>8</v>
      </c>
      <c r="W191" t="s">
        <v>39</v>
      </c>
      <c r="X191" t="s">
        <v>16</v>
      </c>
      <c r="Y191" t="str">
        <f>B192</f>
        <v>Pikachu</v>
      </c>
      <c r="Z191" s="2">
        <f t="shared" si="147"/>
        <v>4</v>
      </c>
      <c r="AA191" t="str">
        <f t="shared" si="115"/>
        <v>Pichu</v>
      </c>
      <c r="AC191" t="s">
        <v>633</v>
      </c>
      <c r="AD191" t="str">
        <f>VLOOKUP(AC191,moves!A:B,2,FALSE)</f>
        <v>electric</v>
      </c>
      <c r="AE191">
        <f>VLOOKUP(AC191,moves!A:D,4,FALSE)</f>
        <v>1</v>
      </c>
      <c r="AF191" t="str">
        <f>VLOOKUP(AC191,moves!A:F,5,FALSE)</f>
        <v>agile</v>
      </c>
      <c r="AG191">
        <v>1</v>
      </c>
      <c r="AH191">
        <v>0</v>
      </c>
      <c r="AI191" t="str" cm="1">
        <f t="array" ref="AI191">_xlfn.IFS(AG191=1, "starter", AH191=1, "legendary",T191&lt; 13, "weak",T191&lt; 17, "moderate", TRUE, "strong")</f>
        <v>starter</v>
      </c>
      <c r="AK191">
        <v>1</v>
      </c>
      <c r="AL191">
        <v>0</v>
      </c>
      <c r="AM191">
        <v>0</v>
      </c>
    </row>
    <row r="192" spans="1:39" x14ac:dyDescent="0.25">
      <c r="A192">
        <v>25</v>
      </c>
      <c r="B192" t="s">
        <v>10</v>
      </c>
      <c r="C192" t="s">
        <v>11</v>
      </c>
      <c r="D192"/>
      <c r="E192">
        <v>35</v>
      </c>
      <c r="F192">
        <v>110</v>
      </c>
      <c r="G192">
        <v>40</v>
      </c>
      <c r="H192">
        <v>100</v>
      </c>
      <c r="I192">
        <v>50</v>
      </c>
      <c r="J192">
        <v>90</v>
      </c>
      <c r="K192" t="s">
        <v>251</v>
      </c>
      <c r="L192" t="s">
        <v>298</v>
      </c>
      <c r="M192" t="s">
        <v>300</v>
      </c>
      <c r="N192">
        <f t="shared" si="148"/>
        <v>10.1</v>
      </c>
      <c r="O192">
        <f t="shared" si="149"/>
        <v>4.0999999999999996</v>
      </c>
      <c r="P192">
        <v>-1</v>
      </c>
      <c r="Q192">
        <v>1</v>
      </c>
      <c r="R192" s="2">
        <f t="shared" si="150"/>
        <v>9</v>
      </c>
      <c r="S192" s="2">
        <f t="shared" si="151"/>
        <v>5</v>
      </c>
      <c r="T192" s="2">
        <f t="shared" si="152"/>
        <v>14</v>
      </c>
      <c r="U192" t="str">
        <f t="shared" si="146"/>
        <v>electric</v>
      </c>
      <c r="V192" t="s">
        <v>8</v>
      </c>
      <c r="W192" t="s">
        <v>39</v>
      </c>
      <c r="X192" t="s">
        <v>16</v>
      </c>
      <c r="Y192" t="str">
        <f>B193</f>
        <v>Raichu</v>
      </c>
      <c r="Z192" s="2">
        <f t="shared" si="147"/>
        <v>6</v>
      </c>
      <c r="AA192" t="str">
        <f t="shared" si="115"/>
        <v>Pikachu</v>
      </c>
      <c r="AC192" t="s">
        <v>507</v>
      </c>
      <c r="AD192" t="str">
        <f>VLOOKUP(AC192,moves!A:B,2,FALSE)</f>
        <v>steel</v>
      </c>
      <c r="AE192">
        <f>VLOOKUP(AC192,moves!A:D,4,FALSE)</f>
        <v>4</v>
      </c>
      <c r="AF192">
        <f>VLOOKUP(AC192,moves!A:F,5,FALSE)</f>
        <v>0</v>
      </c>
      <c r="AG192">
        <v>0</v>
      </c>
      <c r="AH192">
        <v>0</v>
      </c>
      <c r="AI192" t="str" cm="1">
        <f t="array" ref="AI192">_xlfn.IFS(AG192=1, "starter", AH192=1, "legendary",T192&lt; 13, "weak",T192&lt; 17, "moderate", TRUE, "strong")</f>
        <v>moderate</v>
      </c>
      <c r="AK192">
        <v>2</v>
      </c>
      <c r="AL192">
        <v>0</v>
      </c>
      <c r="AM192">
        <v>0</v>
      </c>
    </row>
    <row r="193" spans="1:39" x14ac:dyDescent="0.25">
      <c r="A193">
        <v>26</v>
      </c>
      <c r="B193" t="s">
        <v>12</v>
      </c>
      <c r="C193" t="s">
        <v>11</v>
      </c>
      <c r="D193"/>
      <c r="E193">
        <v>60</v>
      </c>
      <c r="F193">
        <v>90</v>
      </c>
      <c r="G193">
        <v>55</v>
      </c>
      <c r="H193">
        <v>90</v>
      </c>
      <c r="I193">
        <v>80</v>
      </c>
      <c r="J193">
        <v>110</v>
      </c>
      <c r="K193" t="s">
        <v>251</v>
      </c>
      <c r="L193" t="s">
        <v>298</v>
      </c>
      <c r="M193" t="s">
        <v>300</v>
      </c>
      <c r="N193">
        <f t="shared" si="148"/>
        <v>9.8000000000000007</v>
      </c>
      <c r="O193">
        <f t="shared" si="149"/>
        <v>6.45</v>
      </c>
      <c r="P193">
        <v>1</v>
      </c>
      <c r="Q193">
        <v>1</v>
      </c>
      <c r="R193" s="2">
        <f t="shared" si="150"/>
        <v>11</v>
      </c>
      <c r="S193" s="2">
        <f t="shared" si="151"/>
        <v>7</v>
      </c>
      <c r="T193" s="2">
        <f t="shared" si="152"/>
        <v>18</v>
      </c>
      <c r="U193" t="str">
        <f t="shared" si="146"/>
        <v>electric</v>
      </c>
      <c r="V193" t="s">
        <v>8</v>
      </c>
      <c r="W193" t="s">
        <v>39</v>
      </c>
      <c r="X193" t="s">
        <v>16</v>
      </c>
      <c r="Z193" s="2" t="str">
        <f>IF(ISBLANK(Y193), "", ROUND(( (T195-6)*(T195-7) - (T193-6)*(T193-7) )/15, 0) + 1)</f>
        <v/>
      </c>
      <c r="AA193" t="str">
        <f t="shared" si="115"/>
        <v>Raichu</v>
      </c>
      <c r="AC193" t="s">
        <v>487</v>
      </c>
      <c r="AD193" t="str">
        <f>VLOOKUP(AC193,moves!A:B,2,FALSE)</f>
        <v>electric</v>
      </c>
      <c r="AE193">
        <f>VLOOKUP(AC193,moves!A:D,4,FALSE)</f>
        <v>5</v>
      </c>
      <c r="AF193">
        <f>VLOOKUP(AC193,moves!A:F,5,FALSE)</f>
        <v>0</v>
      </c>
      <c r="AG193">
        <v>0</v>
      </c>
      <c r="AH193">
        <v>0</v>
      </c>
      <c r="AI193" t="str" cm="1">
        <f t="array" ref="AI193">_xlfn.IFS(AG193=1, "starter", AH193=1, "legendary",T193&lt; 13, "weak",T193&lt; 17, "moderate", TRUE, "strong")</f>
        <v>strong</v>
      </c>
      <c r="AK193">
        <v>3</v>
      </c>
      <c r="AL193">
        <v>0</v>
      </c>
      <c r="AM193">
        <v>1</v>
      </c>
    </row>
    <row r="194" spans="1:39" x14ac:dyDescent="0.25">
      <c r="A194" s="31" t="s">
        <v>1072</v>
      </c>
      <c r="B194" t="s">
        <v>12</v>
      </c>
      <c r="C194" t="s">
        <v>11</v>
      </c>
      <c r="D194"/>
      <c r="E194">
        <v>60</v>
      </c>
      <c r="F194">
        <v>90</v>
      </c>
      <c r="G194">
        <v>55</v>
      </c>
      <c r="H194">
        <v>90</v>
      </c>
      <c r="I194">
        <v>80</v>
      </c>
      <c r="J194">
        <v>110</v>
      </c>
      <c r="K194" t="s">
        <v>251</v>
      </c>
      <c r="M194" t="s">
        <v>797</v>
      </c>
      <c r="N194">
        <f t="shared" ref="N194" si="198">(0.4*J194 + 0.5*MAX(F194,H194) + 0.1*MIN(F194,H194)) / 10</f>
        <v>9.8000000000000007</v>
      </c>
      <c r="O194">
        <f t="shared" ref="O194" si="199">(0.4*E194 + 0.3*G194 + 0.3*I194) / 10</f>
        <v>6.45</v>
      </c>
      <c r="P194">
        <v>3</v>
      </c>
      <c r="Q194">
        <v>3</v>
      </c>
      <c r="R194" s="2">
        <f t="shared" ref="R194" si="200">ROUND(N194,0)+P194</f>
        <v>13</v>
      </c>
      <c r="S194" s="2">
        <f t="shared" ref="S194" si="201">ROUND(O194,0)+Q194</f>
        <v>9</v>
      </c>
      <c r="T194" s="2">
        <f t="shared" ref="T194" si="202">SUM(ROUND(R194,0),ROUND(S194,0))</f>
        <v>22</v>
      </c>
      <c r="U194" t="str">
        <f t="shared" ref="U194" si="203">C194</f>
        <v>electric</v>
      </c>
      <c r="V194" t="s">
        <v>8</v>
      </c>
      <c r="W194" t="s">
        <v>39</v>
      </c>
      <c r="X194" t="s">
        <v>16</v>
      </c>
      <c r="Z194" s="2" t="str">
        <f>IF(ISBLANK(Y194), "", ROUND(( (T196-6)*(T196-7) - (T194-6)*(T194-7) )/15, 0) + 1)</f>
        <v/>
      </c>
      <c r="AA194" t="str">
        <f t="shared" ref="AA194" si="204">B194</f>
        <v>Raichu</v>
      </c>
      <c r="AB194" t="s">
        <v>1070</v>
      </c>
      <c r="AC194" t="s">
        <v>487</v>
      </c>
      <c r="AD194" t="str">
        <f>VLOOKUP(AC194,moves!A:B,2,FALSE)</f>
        <v>electric</v>
      </c>
      <c r="AE194">
        <f>VLOOKUP(AC194,moves!A:D,4,FALSE)</f>
        <v>5</v>
      </c>
      <c r="AF194">
        <f>VLOOKUP(AC194,moves!A:F,5,FALSE)</f>
        <v>0</v>
      </c>
      <c r="AG194">
        <v>0</v>
      </c>
      <c r="AH194">
        <v>1</v>
      </c>
      <c r="AI194" t="str" cm="1">
        <f t="array" ref="AI194">_xlfn.IFS(AG194=1, "starter", AH194=1, "legendary",T194&lt; 13, "weak",T194&lt; 17, "moderate", TRUE, "strong")</f>
        <v>legendary</v>
      </c>
      <c r="AK194">
        <v>3</v>
      </c>
      <c r="AL194">
        <v>0</v>
      </c>
      <c r="AM194">
        <v>2</v>
      </c>
    </row>
    <row r="195" spans="1:39" x14ac:dyDescent="0.25">
      <c r="A195">
        <v>298</v>
      </c>
      <c r="B195" t="s">
        <v>119</v>
      </c>
      <c r="C195" t="s">
        <v>8</v>
      </c>
      <c r="D195" t="s">
        <v>16</v>
      </c>
      <c r="E195">
        <v>50</v>
      </c>
      <c r="F195">
        <f>20*2</f>
        <v>40</v>
      </c>
      <c r="G195">
        <v>40</v>
      </c>
      <c r="H195">
        <v>20</v>
      </c>
      <c r="I195">
        <v>40</v>
      </c>
      <c r="J195">
        <v>20</v>
      </c>
      <c r="K195" t="s">
        <v>291</v>
      </c>
      <c r="L195" t="s">
        <v>301</v>
      </c>
      <c r="M195" t="s">
        <v>302</v>
      </c>
      <c r="N195">
        <f t="shared" si="148"/>
        <v>3</v>
      </c>
      <c r="O195">
        <f t="shared" si="149"/>
        <v>4.4000000000000004</v>
      </c>
      <c r="P195">
        <v>0</v>
      </c>
      <c r="Q195">
        <v>0</v>
      </c>
      <c r="R195" s="2">
        <f t="shared" si="150"/>
        <v>3</v>
      </c>
      <c r="S195" s="2">
        <f t="shared" si="151"/>
        <v>4</v>
      </c>
      <c r="T195" s="2">
        <f t="shared" si="152"/>
        <v>7</v>
      </c>
      <c r="U195" t="str">
        <f t="shared" si="146"/>
        <v>normal</v>
      </c>
      <c r="V195" t="str">
        <f t="shared" ref="V195:V200" si="205">D195</f>
        <v>fairy</v>
      </c>
      <c r="W195" t="s">
        <v>6</v>
      </c>
      <c r="X195" t="s">
        <v>33</v>
      </c>
      <c r="Y195" t="str">
        <f>B196</f>
        <v>Marill</v>
      </c>
      <c r="Z195" s="2">
        <f t="shared" si="147"/>
        <v>2</v>
      </c>
      <c r="AA195" t="str">
        <f t="shared" si="115"/>
        <v>Azurill</v>
      </c>
      <c r="AC195" t="s">
        <v>552</v>
      </c>
      <c r="AD195" t="str">
        <f>VLOOKUP(AC195,moves!A:B,2,FALSE)</f>
        <v>normal</v>
      </c>
      <c r="AE195">
        <f>VLOOKUP(AC195,moves!A:D,4,FALSE)</f>
        <v>1</v>
      </c>
      <c r="AF195" t="str">
        <f>VLOOKUP(AC195,moves!A:F,5,FALSE)</f>
        <v>agile</v>
      </c>
      <c r="AG195">
        <v>0</v>
      </c>
      <c r="AH195">
        <v>0</v>
      </c>
      <c r="AI195" t="str" cm="1">
        <f t="array" ref="AI195">_xlfn.IFS(AG195=1, "starter", AH195=1, "legendary",T195&lt; 13, "weak",T195&lt; 17, "moderate", TRUE, "strong")</f>
        <v>weak</v>
      </c>
      <c r="AK195">
        <v>1</v>
      </c>
      <c r="AL195">
        <v>0</v>
      </c>
      <c r="AM195">
        <v>0</v>
      </c>
    </row>
    <row r="196" spans="1:39" x14ac:dyDescent="0.25">
      <c r="A196">
        <v>183</v>
      </c>
      <c r="B196" t="s">
        <v>75</v>
      </c>
      <c r="C196" t="s">
        <v>6</v>
      </c>
      <c r="D196" t="s">
        <v>16</v>
      </c>
      <c r="E196">
        <v>70</v>
      </c>
      <c r="F196">
        <f>20*2</f>
        <v>40</v>
      </c>
      <c r="G196">
        <v>50</v>
      </c>
      <c r="H196">
        <v>20</v>
      </c>
      <c r="I196">
        <v>50</v>
      </c>
      <c r="J196">
        <v>40</v>
      </c>
      <c r="K196" t="s">
        <v>274</v>
      </c>
      <c r="L196" t="s">
        <v>301</v>
      </c>
      <c r="M196" t="s">
        <v>302</v>
      </c>
      <c r="N196">
        <f t="shared" si="148"/>
        <v>3.8</v>
      </c>
      <c r="O196">
        <f t="shared" si="149"/>
        <v>5.8</v>
      </c>
      <c r="P196">
        <v>0</v>
      </c>
      <c r="Q196">
        <v>0</v>
      </c>
      <c r="R196" s="2">
        <f t="shared" si="150"/>
        <v>4</v>
      </c>
      <c r="S196" s="2">
        <f t="shared" si="151"/>
        <v>6</v>
      </c>
      <c r="T196" s="2">
        <f t="shared" si="152"/>
        <v>10</v>
      </c>
      <c r="U196" t="str">
        <f t="shared" si="146"/>
        <v>water</v>
      </c>
      <c r="V196" t="str">
        <f t="shared" si="205"/>
        <v>fairy</v>
      </c>
      <c r="W196" t="s">
        <v>8</v>
      </c>
      <c r="X196" t="s">
        <v>33</v>
      </c>
      <c r="Y196" t="str">
        <f>B197</f>
        <v>Azumarill</v>
      </c>
      <c r="Z196" s="2">
        <f t="shared" si="147"/>
        <v>8</v>
      </c>
      <c r="AA196" t="str">
        <f t="shared" si="115"/>
        <v>Marill</v>
      </c>
      <c r="AC196" t="s">
        <v>509</v>
      </c>
      <c r="AD196" t="str">
        <f>VLOOKUP(AC196,moves!A:B,2,FALSE)</f>
        <v>fairy</v>
      </c>
      <c r="AE196">
        <f>VLOOKUP(AC196,moves!A:D,4,FALSE)</f>
        <v>3</v>
      </c>
      <c r="AF196">
        <f>VLOOKUP(AC196,moves!A:F,5,FALSE)</f>
        <v>0</v>
      </c>
      <c r="AG196">
        <v>0</v>
      </c>
      <c r="AH196">
        <v>0</v>
      </c>
      <c r="AI196" t="str" cm="1">
        <f t="array" ref="AI196">_xlfn.IFS(AG196=1, "starter", AH196=1, "legendary",T196&lt; 13, "weak",T196&lt; 17, "moderate", TRUE, "strong")</f>
        <v>weak</v>
      </c>
      <c r="AK196">
        <v>2</v>
      </c>
      <c r="AL196">
        <v>0</v>
      </c>
      <c r="AM196">
        <v>0</v>
      </c>
    </row>
    <row r="197" spans="1:39" x14ac:dyDescent="0.25">
      <c r="A197">
        <v>184</v>
      </c>
      <c r="B197" t="s">
        <v>76</v>
      </c>
      <c r="C197" t="s">
        <v>6</v>
      </c>
      <c r="D197" t="s">
        <v>16</v>
      </c>
      <c r="E197">
        <v>100</v>
      </c>
      <c r="F197">
        <f>50*2</f>
        <v>100</v>
      </c>
      <c r="G197">
        <v>80</v>
      </c>
      <c r="H197">
        <v>60</v>
      </c>
      <c r="I197">
        <v>80</v>
      </c>
      <c r="J197">
        <v>50</v>
      </c>
      <c r="K197" t="s">
        <v>275</v>
      </c>
      <c r="L197" t="s">
        <v>301</v>
      </c>
      <c r="M197" t="s">
        <v>302</v>
      </c>
      <c r="N197">
        <f t="shared" si="148"/>
        <v>7.6</v>
      </c>
      <c r="O197">
        <f t="shared" si="149"/>
        <v>8.8000000000000007</v>
      </c>
      <c r="P197">
        <v>0</v>
      </c>
      <c r="Q197">
        <v>0</v>
      </c>
      <c r="R197" s="2">
        <f t="shared" si="150"/>
        <v>8</v>
      </c>
      <c r="S197" s="2">
        <f t="shared" si="151"/>
        <v>9</v>
      </c>
      <c r="T197" s="2">
        <f t="shared" si="152"/>
        <v>17</v>
      </c>
      <c r="U197" t="str">
        <f t="shared" si="146"/>
        <v>water</v>
      </c>
      <c r="V197" t="str">
        <f t="shared" si="205"/>
        <v>fairy</v>
      </c>
      <c r="W197" t="s">
        <v>8</v>
      </c>
      <c r="X197" t="s">
        <v>33</v>
      </c>
      <c r="Z197" s="2" t="str">
        <f t="shared" si="147"/>
        <v/>
      </c>
      <c r="AA197" t="str">
        <f t="shared" si="115"/>
        <v>Azumarill</v>
      </c>
      <c r="AC197" t="s">
        <v>580</v>
      </c>
      <c r="AD197" t="str">
        <f>VLOOKUP(AC197,moves!A:B,2,FALSE)</f>
        <v>water</v>
      </c>
      <c r="AE197">
        <f>VLOOKUP(AC197,moves!A:D,4,FALSE)</f>
        <v>4</v>
      </c>
      <c r="AF197">
        <f>VLOOKUP(AC197,moves!A:F,5,FALSE)</f>
        <v>0</v>
      </c>
      <c r="AG197">
        <v>0</v>
      </c>
      <c r="AH197">
        <v>0</v>
      </c>
      <c r="AI197" t="str" cm="1">
        <f t="array" ref="AI197">_xlfn.IFS(AG197=1, "starter", AH197=1, "legendary",T197&lt; 13, "weak",T197&lt; 17, "moderate", TRUE, "strong")</f>
        <v>strong</v>
      </c>
      <c r="AK197">
        <v>3</v>
      </c>
      <c r="AL197">
        <v>0</v>
      </c>
      <c r="AM197">
        <v>0</v>
      </c>
    </row>
    <row r="198" spans="1:39" x14ac:dyDescent="0.25">
      <c r="A198">
        <v>41</v>
      </c>
      <c r="B198" t="s">
        <v>20</v>
      </c>
      <c r="C198" t="s">
        <v>3</v>
      </c>
      <c r="D198" t="s">
        <v>5</v>
      </c>
      <c r="E198">
        <v>40</v>
      </c>
      <c r="F198">
        <v>45</v>
      </c>
      <c r="G198">
        <v>35</v>
      </c>
      <c r="H198">
        <v>30</v>
      </c>
      <c r="I198">
        <v>40</v>
      </c>
      <c r="J198">
        <v>55</v>
      </c>
      <c r="K198" t="s">
        <v>254</v>
      </c>
      <c r="L198" t="s">
        <v>304</v>
      </c>
      <c r="M198" t="s">
        <v>302</v>
      </c>
      <c r="N198">
        <f t="shared" si="148"/>
        <v>4.75</v>
      </c>
      <c r="O198">
        <f t="shared" si="149"/>
        <v>3.85</v>
      </c>
      <c r="P198">
        <v>0</v>
      </c>
      <c r="Q198">
        <v>0</v>
      </c>
      <c r="R198" s="2">
        <f t="shared" si="150"/>
        <v>5</v>
      </c>
      <c r="S198" s="2">
        <f t="shared" si="151"/>
        <v>4</v>
      </c>
      <c r="T198" s="2">
        <f t="shared" si="152"/>
        <v>9</v>
      </c>
      <c r="U198" t="str">
        <f t="shared" si="146"/>
        <v>poison</v>
      </c>
      <c r="V198" t="str">
        <f t="shared" si="205"/>
        <v>flying</v>
      </c>
      <c r="W198" t="s">
        <v>7</v>
      </c>
      <c r="X198" t="s">
        <v>8</v>
      </c>
      <c r="Y198" t="str">
        <f>B199</f>
        <v>Golbat</v>
      </c>
      <c r="Z198" s="2">
        <f t="shared" si="147"/>
        <v>7</v>
      </c>
      <c r="AA198" t="str">
        <f t="shared" si="115"/>
        <v>Zubat</v>
      </c>
      <c r="AC198" t="s">
        <v>657</v>
      </c>
      <c r="AD198" t="str">
        <f>VLOOKUP(AC198,moves!A:B,2,FALSE)</f>
        <v>poison</v>
      </c>
      <c r="AE198">
        <f>VLOOKUP(AC198,moves!A:D,4,FALSE)</f>
        <v>2</v>
      </c>
      <c r="AF198">
        <f>VLOOKUP(AC198,moves!A:F,5,FALSE)</f>
        <v>0</v>
      </c>
      <c r="AG198">
        <v>0</v>
      </c>
      <c r="AH198">
        <v>0</v>
      </c>
      <c r="AI198" t="str" cm="1">
        <f t="array" ref="AI198">_xlfn.IFS(AG198=1, "starter", AH198=1, "legendary",T198&lt; 13, "weak",T198&lt; 17, "moderate", TRUE, "strong")</f>
        <v>weak</v>
      </c>
      <c r="AK198">
        <v>1</v>
      </c>
      <c r="AL198">
        <v>0</v>
      </c>
      <c r="AM198">
        <v>0</v>
      </c>
    </row>
    <row r="199" spans="1:39" x14ac:dyDescent="0.25">
      <c r="A199">
        <v>42</v>
      </c>
      <c r="B199" t="s">
        <v>21</v>
      </c>
      <c r="C199" t="s">
        <v>3</v>
      </c>
      <c r="D199" t="s">
        <v>5</v>
      </c>
      <c r="E199">
        <v>75</v>
      </c>
      <c r="F199">
        <v>80</v>
      </c>
      <c r="G199">
        <v>70</v>
      </c>
      <c r="H199">
        <v>65</v>
      </c>
      <c r="I199">
        <v>75</v>
      </c>
      <c r="J199">
        <v>90</v>
      </c>
      <c r="K199" t="s">
        <v>254</v>
      </c>
      <c r="L199" t="s">
        <v>304</v>
      </c>
      <c r="M199" t="s">
        <v>302</v>
      </c>
      <c r="N199">
        <f t="shared" si="148"/>
        <v>8.25</v>
      </c>
      <c r="O199">
        <f t="shared" si="149"/>
        <v>7.35</v>
      </c>
      <c r="P199">
        <v>1</v>
      </c>
      <c r="Q199">
        <v>0</v>
      </c>
      <c r="R199" s="2">
        <f t="shared" si="150"/>
        <v>9</v>
      </c>
      <c r="S199" s="2">
        <f t="shared" si="151"/>
        <v>7</v>
      </c>
      <c r="T199" s="2">
        <f t="shared" si="152"/>
        <v>16</v>
      </c>
      <c r="U199" t="str">
        <f t="shared" si="146"/>
        <v>poison</v>
      </c>
      <c r="V199" t="str">
        <f t="shared" si="205"/>
        <v>flying</v>
      </c>
      <c r="W199" t="s">
        <v>7</v>
      </c>
      <c r="X199" t="s">
        <v>8</v>
      </c>
      <c r="Y199" t="str">
        <f>B200</f>
        <v>Crobat</v>
      </c>
      <c r="Z199" s="2">
        <f t="shared" si="147"/>
        <v>5</v>
      </c>
      <c r="AA199" t="str">
        <f t="shared" si="115"/>
        <v>Golbat</v>
      </c>
      <c r="AC199" t="s">
        <v>1206</v>
      </c>
      <c r="AD199" t="str">
        <f>VLOOKUP(AC199,moves!A:B,2,FALSE)</f>
        <v>flying</v>
      </c>
      <c r="AE199">
        <f>VLOOKUP(AC199,moves!A:D,4,FALSE)</f>
        <v>3</v>
      </c>
      <c r="AF199">
        <f>VLOOKUP(AC199,moves!A:F,5,FALSE)</f>
        <v>0</v>
      </c>
      <c r="AG199">
        <v>0</v>
      </c>
      <c r="AH199">
        <v>0</v>
      </c>
      <c r="AI199" t="str" cm="1">
        <f t="array" ref="AI199">_xlfn.IFS(AG199=1, "starter", AH199=1, "legendary",T199&lt; 13, "weak",T199&lt; 17, "moderate", TRUE, "strong")</f>
        <v>moderate</v>
      </c>
      <c r="AK199">
        <v>2</v>
      </c>
      <c r="AL199">
        <v>0</v>
      </c>
      <c r="AM199">
        <v>0</v>
      </c>
    </row>
    <row r="200" spans="1:39" x14ac:dyDescent="0.25">
      <c r="A200">
        <v>169</v>
      </c>
      <c r="B200" t="s">
        <v>70</v>
      </c>
      <c r="C200" t="s">
        <v>3</v>
      </c>
      <c r="D200" t="s">
        <v>5</v>
      </c>
      <c r="E200">
        <v>85</v>
      </c>
      <c r="F200">
        <v>90</v>
      </c>
      <c r="G200">
        <v>80</v>
      </c>
      <c r="H200">
        <v>70</v>
      </c>
      <c r="I200">
        <v>80</v>
      </c>
      <c r="J200">
        <v>130</v>
      </c>
      <c r="K200" t="s">
        <v>254</v>
      </c>
      <c r="L200" t="s">
        <v>304</v>
      </c>
      <c r="M200" t="s">
        <v>302</v>
      </c>
      <c r="N200">
        <f t="shared" si="148"/>
        <v>10.4</v>
      </c>
      <c r="O200">
        <f t="shared" si="149"/>
        <v>8.1999999999999993</v>
      </c>
      <c r="P200">
        <v>1</v>
      </c>
      <c r="Q200">
        <v>0</v>
      </c>
      <c r="R200" s="2">
        <f t="shared" si="150"/>
        <v>11</v>
      </c>
      <c r="S200" s="2">
        <f t="shared" si="151"/>
        <v>8</v>
      </c>
      <c r="T200" s="2">
        <f t="shared" si="152"/>
        <v>19</v>
      </c>
      <c r="U200" t="str">
        <f t="shared" si="146"/>
        <v>poison</v>
      </c>
      <c r="V200" t="str">
        <f t="shared" si="205"/>
        <v>flying</v>
      </c>
      <c r="W200" t="s">
        <v>7</v>
      </c>
      <c r="X200" t="s">
        <v>8</v>
      </c>
      <c r="Z200" s="2" t="str">
        <f t="shared" si="147"/>
        <v/>
      </c>
      <c r="AA200" t="str">
        <f t="shared" si="115"/>
        <v>Crobat</v>
      </c>
      <c r="AC200" t="s">
        <v>465</v>
      </c>
      <c r="AD200" t="str">
        <f>VLOOKUP(AC200,moves!A:B,2,FALSE)</f>
        <v>poison</v>
      </c>
      <c r="AE200">
        <f>VLOOKUP(AC200,moves!A:D,4,FALSE)</f>
        <v>4</v>
      </c>
      <c r="AF200">
        <f>VLOOKUP(AC200,moves!A:F,5,FALSE)</f>
        <v>0</v>
      </c>
      <c r="AG200">
        <v>0</v>
      </c>
      <c r="AH200">
        <v>0</v>
      </c>
      <c r="AI200" t="str" cm="1">
        <f t="array" ref="AI200">_xlfn.IFS(AG200=1, "starter", AH200=1, "legendary",T200&lt; 13, "weak",T200&lt; 17, "moderate", TRUE, "strong")</f>
        <v>strong</v>
      </c>
      <c r="AK200">
        <v>3</v>
      </c>
      <c r="AL200">
        <v>0</v>
      </c>
      <c r="AM200">
        <v>0</v>
      </c>
    </row>
    <row r="201" spans="1:39" x14ac:dyDescent="0.25">
      <c r="A201">
        <v>66</v>
      </c>
      <c r="B201" t="s">
        <v>29</v>
      </c>
      <c r="C201" t="s">
        <v>22</v>
      </c>
      <c r="D201"/>
      <c r="E201">
        <v>70</v>
      </c>
      <c r="F201">
        <v>80</v>
      </c>
      <c r="G201">
        <v>50</v>
      </c>
      <c r="H201">
        <v>35</v>
      </c>
      <c r="I201">
        <v>35</v>
      </c>
      <c r="J201">
        <v>35</v>
      </c>
      <c r="K201" t="s">
        <v>259</v>
      </c>
      <c r="L201" t="s">
        <v>304</v>
      </c>
      <c r="M201" t="s">
        <v>300</v>
      </c>
      <c r="N201">
        <f t="shared" si="148"/>
        <v>5.75</v>
      </c>
      <c r="O201">
        <f t="shared" si="149"/>
        <v>5.35</v>
      </c>
      <c r="P201">
        <v>-1</v>
      </c>
      <c r="Q201">
        <v>0</v>
      </c>
      <c r="R201" s="2">
        <f t="shared" si="150"/>
        <v>5</v>
      </c>
      <c r="S201" s="2">
        <f t="shared" si="151"/>
        <v>5</v>
      </c>
      <c r="T201" s="2">
        <f t="shared" si="152"/>
        <v>10</v>
      </c>
      <c r="U201" t="str">
        <f t="shared" si="146"/>
        <v>fighting</v>
      </c>
      <c r="V201" t="s">
        <v>8</v>
      </c>
      <c r="W201" t="s">
        <v>13</v>
      </c>
      <c r="X201" t="s">
        <v>67</v>
      </c>
      <c r="Y201" t="str">
        <f>B202</f>
        <v>Machoke</v>
      </c>
      <c r="Z201" s="2">
        <f t="shared" si="147"/>
        <v>4</v>
      </c>
      <c r="AA201" t="str">
        <f t="shared" si="115"/>
        <v>Machop</v>
      </c>
      <c r="AC201" t="s">
        <v>1082</v>
      </c>
      <c r="AD201" t="str">
        <f>VLOOKUP(AC201,moves!A:B,2,FALSE)</f>
        <v>fighting</v>
      </c>
      <c r="AE201">
        <f>VLOOKUP(AC201,moves!A:D,4,FALSE)</f>
        <v>2</v>
      </c>
      <c r="AF201" t="str">
        <f>VLOOKUP(AC201,moves!A:F,5,FALSE)</f>
        <v>boost</v>
      </c>
      <c r="AG201">
        <v>1</v>
      </c>
      <c r="AH201">
        <v>0</v>
      </c>
      <c r="AI201" t="str" cm="1">
        <f t="array" ref="AI201">_xlfn.IFS(AG201=1, "starter", AH201=1, "legendary",T201&lt; 13, "weak",T201&lt; 17, "moderate", TRUE, "strong")</f>
        <v>starter</v>
      </c>
      <c r="AK201">
        <v>1</v>
      </c>
      <c r="AL201">
        <v>0</v>
      </c>
      <c r="AM201">
        <v>0</v>
      </c>
    </row>
    <row r="202" spans="1:39" x14ac:dyDescent="0.25">
      <c r="A202">
        <v>67</v>
      </c>
      <c r="B202" t="s">
        <v>30</v>
      </c>
      <c r="C202" t="s">
        <v>22</v>
      </c>
      <c r="D202"/>
      <c r="E202">
        <v>80</v>
      </c>
      <c r="F202">
        <v>100</v>
      </c>
      <c r="G202">
        <v>70</v>
      </c>
      <c r="H202">
        <v>50</v>
      </c>
      <c r="I202">
        <v>60</v>
      </c>
      <c r="J202">
        <v>45</v>
      </c>
      <c r="K202" t="s">
        <v>259</v>
      </c>
      <c r="L202" t="s">
        <v>304</v>
      </c>
      <c r="M202" t="s">
        <v>300</v>
      </c>
      <c r="N202">
        <f t="shared" si="148"/>
        <v>7.3</v>
      </c>
      <c r="O202">
        <f t="shared" si="149"/>
        <v>7.1</v>
      </c>
      <c r="P202">
        <v>0</v>
      </c>
      <c r="Q202">
        <v>0</v>
      </c>
      <c r="R202" s="2">
        <f t="shared" si="150"/>
        <v>7</v>
      </c>
      <c r="S202" s="2">
        <f t="shared" si="151"/>
        <v>7</v>
      </c>
      <c r="T202" s="2">
        <f t="shared" si="152"/>
        <v>14</v>
      </c>
      <c r="U202" t="str">
        <f t="shared" si="146"/>
        <v>fighting</v>
      </c>
      <c r="V202" t="s">
        <v>8</v>
      </c>
      <c r="W202" t="s">
        <v>13</v>
      </c>
      <c r="X202" t="s">
        <v>67</v>
      </c>
      <c r="Y202" t="str">
        <f>B203</f>
        <v>Machamp</v>
      </c>
      <c r="Z202" s="2">
        <f t="shared" si="147"/>
        <v>8</v>
      </c>
      <c r="AA202" t="str">
        <f t="shared" si="115"/>
        <v>Machoke</v>
      </c>
      <c r="AC202" t="s">
        <v>1081</v>
      </c>
      <c r="AD202" t="str">
        <f>VLOOKUP(AC202,moves!A:B,2,FALSE)</f>
        <v>dragon</v>
      </c>
      <c r="AE202">
        <f>VLOOKUP(AC202,moves!A:D,4,FALSE)</f>
        <v>2</v>
      </c>
      <c r="AF202">
        <f>VLOOKUP(AC202,moves!A:F,5,FALSE)</f>
        <v>0</v>
      </c>
      <c r="AG202">
        <v>0</v>
      </c>
      <c r="AH202">
        <v>0</v>
      </c>
      <c r="AI202" t="str" cm="1">
        <f t="array" ref="AI202">_xlfn.IFS(AG202=1, "starter", AH202=1, "legendary",T202&lt; 13, "weak",T202&lt; 17, "moderate", TRUE, "strong")</f>
        <v>moderate</v>
      </c>
      <c r="AK202">
        <v>2</v>
      </c>
      <c r="AL202">
        <v>0</v>
      </c>
      <c r="AM202">
        <v>0</v>
      </c>
    </row>
    <row r="203" spans="1:39" x14ac:dyDescent="0.25">
      <c r="A203">
        <v>68</v>
      </c>
      <c r="B203" t="s">
        <v>31</v>
      </c>
      <c r="C203" t="s">
        <v>22</v>
      </c>
      <c r="D203"/>
      <c r="E203">
        <v>90</v>
      </c>
      <c r="F203">
        <v>130</v>
      </c>
      <c r="G203">
        <v>80</v>
      </c>
      <c r="H203">
        <v>65</v>
      </c>
      <c r="I203">
        <v>85</v>
      </c>
      <c r="J203">
        <v>55</v>
      </c>
      <c r="K203" t="s">
        <v>259</v>
      </c>
      <c r="L203" t="s">
        <v>304</v>
      </c>
      <c r="M203" t="s">
        <v>300</v>
      </c>
      <c r="N203">
        <f t="shared" si="148"/>
        <v>9.35</v>
      </c>
      <c r="O203">
        <f t="shared" si="149"/>
        <v>8.5500000000000007</v>
      </c>
      <c r="P203">
        <v>1</v>
      </c>
      <c r="Q203">
        <v>0</v>
      </c>
      <c r="R203" s="2">
        <f t="shared" si="150"/>
        <v>10</v>
      </c>
      <c r="S203" s="2">
        <f t="shared" si="151"/>
        <v>9</v>
      </c>
      <c r="T203" s="2">
        <f t="shared" si="152"/>
        <v>19</v>
      </c>
      <c r="U203" t="str">
        <f t="shared" si="146"/>
        <v>fighting</v>
      </c>
      <c r="V203" t="s">
        <v>8</v>
      </c>
      <c r="W203" t="s">
        <v>13</v>
      </c>
      <c r="X203" t="s">
        <v>67</v>
      </c>
      <c r="Z203" s="2" t="str">
        <f>IF(ISBLANK(Y203), "", ROUND(( (T205-6)*(T205-7) - (T203-6)*(T203-7) )/15, 0) + 1)</f>
        <v/>
      </c>
      <c r="AA203" t="str">
        <f t="shared" ref="AA203:AA267" si="206">B203</f>
        <v>Machamp</v>
      </c>
      <c r="AC203" t="s">
        <v>717</v>
      </c>
      <c r="AD203" t="str">
        <f>VLOOKUP(AC203,moves!A:B,2,FALSE)</f>
        <v>fighting</v>
      </c>
      <c r="AE203" t="str">
        <f>VLOOKUP(AC203,moves!A:D,4,FALSE)</f>
        <v>?</v>
      </c>
      <c r="AF203">
        <f>VLOOKUP(AC203,moves!A:F,5,FALSE)</f>
        <v>0</v>
      </c>
      <c r="AG203">
        <v>0</v>
      </c>
      <c r="AH203">
        <v>0</v>
      </c>
      <c r="AI203" t="str" cm="1">
        <f t="array" ref="AI203">_xlfn.IFS(AG203=1, "starter", AH203=1, "legendary",T203&lt; 13, "weak",T203&lt; 17, "moderate", TRUE, "strong")</f>
        <v>strong</v>
      </c>
      <c r="AK203">
        <v>3</v>
      </c>
      <c r="AL203">
        <v>0</v>
      </c>
      <c r="AM203">
        <v>1</v>
      </c>
    </row>
    <row r="204" spans="1:39" x14ac:dyDescent="0.25">
      <c r="A204" s="31" t="s">
        <v>1073</v>
      </c>
      <c r="B204" t="s">
        <v>31</v>
      </c>
      <c r="C204" t="s">
        <v>22</v>
      </c>
      <c r="D204"/>
      <c r="E204">
        <v>90</v>
      </c>
      <c r="F204">
        <v>130</v>
      </c>
      <c r="G204">
        <v>80</v>
      </c>
      <c r="H204">
        <v>65</v>
      </c>
      <c r="I204">
        <v>85</v>
      </c>
      <c r="J204">
        <v>55</v>
      </c>
      <c r="K204" t="s">
        <v>259</v>
      </c>
      <c r="M204" t="s">
        <v>797</v>
      </c>
      <c r="N204">
        <f t="shared" ref="N204" si="207">(0.4*J204 + 0.5*MAX(F204,H204) + 0.1*MIN(F204,H204)) / 10</f>
        <v>9.35</v>
      </c>
      <c r="O204">
        <f t="shared" ref="O204" si="208">(0.4*E204 + 0.3*G204 + 0.3*I204) / 10</f>
        <v>8.5500000000000007</v>
      </c>
      <c r="P204">
        <v>3</v>
      </c>
      <c r="Q204">
        <v>2</v>
      </c>
      <c r="R204" s="2">
        <f t="shared" ref="R204" si="209">ROUND(N204,0)+P204</f>
        <v>12</v>
      </c>
      <c r="S204" s="2">
        <f t="shared" ref="S204" si="210">ROUND(O204,0)+Q204</f>
        <v>11</v>
      </c>
      <c r="T204" s="2">
        <f t="shared" ref="T204" si="211">SUM(ROUND(R204,0),ROUND(S204,0))</f>
        <v>23</v>
      </c>
      <c r="U204" t="str">
        <f t="shared" ref="U204" si="212">C204</f>
        <v>fighting</v>
      </c>
      <c r="V204" t="s">
        <v>8</v>
      </c>
      <c r="W204" t="s">
        <v>13</v>
      </c>
      <c r="X204" t="s">
        <v>67</v>
      </c>
      <c r="Z204" s="2" t="str">
        <f>IF(ISBLANK(Y204), "", ROUND(( (T206-6)*(T206-7) - (T204-6)*(T204-7) )/15, 0) + 1)</f>
        <v/>
      </c>
      <c r="AA204" t="str">
        <f t="shared" ref="AA204" si="213">B204</f>
        <v>Machamp</v>
      </c>
      <c r="AB204" t="s">
        <v>1070</v>
      </c>
      <c r="AC204" t="s">
        <v>717</v>
      </c>
      <c r="AD204" t="str">
        <f>VLOOKUP(AC204,moves!A:B,2,FALSE)</f>
        <v>fighting</v>
      </c>
      <c r="AE204" t="str">
        <f>VLOOKUP(AC204,moves!A:D,4,FALSE)</f>
        <v>?</v>
      </c>
      <c r="AF204">
        <f>VLOOKUP(AC204,moves!A:F,5,FALSE)</f>
        <v>0</v>
      </c>
      <c r="AG204">
        <v>0</v>
      </c>
      <c r="AH204">
        <v>1</v>
      </c>
      <c r="AI204" t="str" cm="1">
        <f t="array" ref="AI204">_xlfn.IFS(AG204=1, "starter", AH204=1, "legendary",T204&lt; 13, "weak",T204&lt; 17, "moderate", TRUE, "strong")</f>
        <v>legendary</v>
      </c>
      <c r="AK204">
        <v>3</v>
      </c>
      <c r="AL204">
        <v>0</v>
      </c>
      <c r="AM204">
        <v>2</v>
      </c>
    </row>
    <row r="205" spans="1:39" x14ac:dyDescent="0.25">
      <c r="A205">
        <v>77</v>
      </c>
      <c r="B205" t="s">
        <v>36</v>
      </c>
      <c r="C205" t="s">
        <v>4</v>
      </c>
      <c r="D205"/>
      <c r="E205">
        <v>50</v>
      </c>
      <c r="F205">
        <v>85</v>
      </c>
      <c r="G205">
        <v>55</v>
      </c>
      <c r="H205">
        <v>65</v>
      </c>
      <c r="I205">
        <v>65</v>
      </c>
      <c r="J205">
        <v>90</v>
      </c>
      <c r="K205" t="s">
        <v>262</v>
      </c>
      <c r="L205" t="s">
        <v>301</v>
      </c>
      <c r="M205" t="s">
        <v>302</v>
      </c>
      <c r="N205">
        <f t="shared" si="148"/>
        <v>8.5</v>
      </c>
      <c r="O205">
        <f t="shared" si="149"/>
        <v>5.6</v>
      </c>
      <c r="P205">
        <v>0</v>
      </c>
      <c r="Q205">
        <v>0</v>
      </c>
      <c r="R205" s="2">
        <f t="shared" si="150"/>
        <v>9</v>
      </c>
      <c r="S205" s="2">
        <f t="shared" si="151"/>
        <v>6</v>
      </c>
      <c r="T205" s="2">
        <f t="shared" si="152"/>
        <v>15</v>
      </c>
      <c r="U205" t="str">
        <f t="shared" si="146"/>
        <v>fire</v>
      </c>
      <c r="V205" t="s">
        <v>8</v>
      </c>
      <c r="W205" t="s">
        <v>13</v>
      </c>
      <c r="X205" t="s">
        <v>11</v>
      </c>
      <c r="Y205" t="str">
        <f>B206</f>
        <v>Rapidash</v>
      </c>
      <c r="Z205" s="2">
        <f t="shared" si="147"/>
        <v>4</v>
      </c>
      <c r="AA205" t="str">
        <f t="shared" si="206"/>
        <v>Ponyta</v>
      </c>
      <c r="AC205" t="s">
        <v>512</v>
      </c>
      <c r="AD205" t="str">
        <f>VLOOKUP(AC205,moves!A:B,2,FALSE)</f>
        <v>normal</v>
      </c>
      <c r="AE205">
        <f>VLOOKUP(AC205,moves!A:D,4,FALSE)</f>
        <v>4</v>
      </c>
      <c r="AF205">
        <f>VLOOKUP(AC205,moves!A:F,5,FALSE)</f>
        <v>0</v>
      </c>
      <c r="AG205">
        <v>0</v>
      </c>
      <c r="AH205">
        <v>0</v>
      </c>
      <c r="AI205" t="str" cm="1">
        <f t="array" ref="AI205">_xlfn.IFS(AG205=1, "starter", AH205=1, "legendary",T205&lt; 13, "weak",T205&lt; 17, "moderate", TRUE, "strong")</f>
        <v>moderate</v>
      </c>
      <c r="AK205">
        <v>1</v>
      </c>
      <c r="AL205">
        <v>0</v>
      </c>
      <c r="AM205">
        <v>0</v>
      </c>
    </row>
    <row r="206" spans="1:39" x14ac:dyDescent="0.25">
      <c r="A206">
        <v>78</v>
      </c>
      <c r="B206" t="s">
        <v>37</v>
      </c>
      <c r="C206" t="s">
        <v>4</v>
      </c>
      <c r="D206"/>
      <c r="E206">
        <v>65</v>
      </c>
      <c r="F206">
        <v>100</v>
      </c>
      <c r="G206">
        <v>70</v>
      </c>
      <c r="H206">
        <v>80</v>
      </c>
      <c r="I206">
        <v>80</v>
      </c>
      <c r="J206">
        <v>105</v>
      </c>
      <c r="K206" t="s">
        <v>262</v>
      </c>
      <c r="L206" t="s">
        <v>301</v>
      </c>
      <c r="M206" t="s">
        <v>302</v>
      </c>
      <c r="N206">
        <f t="shared" si="148"/>
        <v>10</v>
      </c>
      <c r="O206">
        <f t="shared" si="149"/>
        <v>7.1</v>
      </c>
      <c r="P206">
        <v>0</v>
      </c>
      <c r="Q206">
        <v>0</v>
      </c>
      <c r="R206" s="2">
        <f t="shared" si="150"/>
        <v>10</v>
      </c>
      <c r="S206" s="2">
        <f t="shared" si="151"/>
        <v>7</v>
      </c>
      <c r="T206" s="2">
        <f t="shared" si="152"/>
        <v>17</v>
      </c>
      <c r="U206" t="str">
        <f t="shared" si="146"/>
        <v>fire</v>
      </c>
      <c r="V206" t="s">
        <v>8</v>
      </c>
      <c r="W206" t="s">
        <v>13</v>
      </c>
      <c r="X206" t="s">
        <v>11</v>
      </c>
      <c r="Z206" s="2" t="str">
        <f t="shared" si="147"/>
        <v/>
      </c>
      <c r="AA206" t="str">
        <f t="shared" si="206"/>
        <v>Rapidash</v>
      </c>
      <c r="AC206" t="s">
        <v>683</v>
      </c>
      <c r="AD206" t="str">
        <f>VLOOKUP(AC206,moves!A:B,2,FALSE)</f>
        <v>fire</v>
      </c>
      <c r="AE206">
        <f>VLOOKUP(AC206,moves!A:D,4,FALSE)</f>
        <v>5</v>
      </c>
      <c r="AF206">
        <f>VLOOKUP(AC206,moves!A:F,5,FALSE)</f>
        <v>0</v>
      </c>
      <c r="AG206">
        <v>0</v>
      </c>
      <c r="AH206">
        <v>0</v>
      </c>
      <c r="AI206" t="str" cm="1">
        <f t="array" ref="AI206">_xlfn.IFS(AG206=1, "starter", AH206=1, "legendary",T206&lt; 13, "weak",T206&lt; 17, "moderate", TRUE, "strong")</f>
        <v>strong</v>
      </c>
      <c r="AK206">
        <v>2</v>
      </c>
      <c r="AL206">
        <v>0</v>
      </c>
      <c r="AM206">
        <v>0</v>
      </c>
    </row>
    <row r="207" spans="1:39" x14ac:dyDescent="0.25">
      <c r="A207">
        <v>214</v>
      </c>
      <c r="B207" t="s">
        <v>89</v>
      </c>
      <c r="C207" t="s">
        <v>7</v>
      </c>
      <c r="D207" t="s">
        <v>22</v>
      </c>
      <c r="E207">
        <v>80</v>
      </c>
      <c r="F207">
        <v>125</v>
      </c>
      <c r="G207">
        <v>75</v>
      </c>
      <c r="H207">
        <v>40</v>
      </c>
      <c r="I207">
        <v>95</v>
      </c>
      <c r="J207">
        <v>85</v>
      </c>
      <c r="K207" t="s">
        <v>279</v>
      </c>
      <c r="L207" t="s">
        <v>298</v>
      </c>
      <c r="M207" t="s">
        <v>300</v>
      </c>
      <c r="N207">
        <f t="shared" si="148"/>
        <v>10.050000000000001</v>
      </c>
      <c r="O207">
        <f t="shared" si="149"/>
        <v>8.3000000000000007</v>
      </c>
      <c r="P207">
        <v>0</v>
      </c>
      <c r="Q207">
        <v>0</v>
      </c>
      <c r="R207" s="2">
        <f t="shared" si="150"/>
        <v>10</v>
      </c>
      <c r="S207" s="2">
        <f t="shared" si="151"/>
        <v>8</v>
      </c>
      <c r="T207" s="2">
        <f t="shared" si="152"/>
        <v>18</v>
      </c>
      <c r="U207" t="str">
        <f t="shared" si="146"/>
        <v>bug</v>
      </c>
      <c r="V207" t="str">
        <f t="shared" ref="V207:V213" si="214">D207</f>
        <v>fighting</v>
      </c>
      <c r="W207" t="s">
        <v>5</v>
      </c>
      <c r="X207" t="s">
        <v>8</v>
      </c>
      <c r="Z207" s="2" t="str">
        <f t="shared" si="147"/>
        <v/>
      </c>
      <c r="AA207" t="str">
        <f t="shared" si="206"/>
        <v>Heracross</v>
      </c>
      <c r="AC207" t="s">
        <v>498</v>
      </c>
      <c r="AD207" t="str">
        <f>VLOOKUP(AC207,moves!A:B,2,FALSE)</f>
        <v>bug</v>
      </c>
      <c r="AE207">
        <f>VLOOKUP(AC207,moves!A:D,4,FALSE)</f>
        <v>5</v>
      </c>
      <c r="AF207">
        <f>VLOOKUP(AC207,moves!A:F,5,FALSE)</f>
        <v>0</v>
      </c>
      <c r="AG207">
        <v>0</v>
      </c>
      <c r="AH207">
        <v>0</v>
      </c>
      <c r="AI207" t="str" cm="1">
        <f t="array" ref="AI207">_xlfn.IFS(AG207=1, "starter", AH207=1, "legendary",T207&lt; 13, "weak",T207&lt; 17, "moderate", TRUE, "strong")</f>
        <v>strong</v>
      </c>
      <c r="AK207">
        <v>1</v>
      </c>
      <c r="AL207">
        <v>0</v>
      </c>
      <c r="AM207">
        <v>0</v>
      </c>
    </row>
    <row r="208" spans="1:39" x14ac:dyDescent="0.25">
      <c r="A208">
        <v>144</v>
      </c>
      <c r="B208" t="s">
        <v>63</v>
      </c>
      <c r="C208" t="s">
        <v>14</v>
      </c>
      <c r="D208" t="s">
        <v>5</v>
      </c>
      <c r="E208">
        <v>90</v>
      </c>
      <c r="F208">
        <v>85</v>
      </c>
      <c r="G208">
        <v>100</v>
      </c>
      <c r="H208">
        <v>95</v>
      </c>
      <c r="I208">
        <v>125</v>
      </c>
      <c r="J208">
        <v>85</v>
      </c>
      <c r="K208" t="s">
        <v>271</v>
      </c>
      <c r="L208" t="s">
        <v>304</v>
      </c>
      <c r="M208" t="s">
        <v>299</v>
      </c>
      <c r="N208">
        <f t="shared" si="148"/>
        <v>9</v>
      </c>
      <c r="O208">
        <f t="shared" si="149"/>
        <v>10.35</v>
      </c>
      <c r="P208">
        <v>2</v>
      </c>
      <c r="Q208">
        <v>-1</v>
      </c>
      <c r="R208" s="2">
        <f t="shared" si="150"/>
        <v>11</v>
      </c>
      <c r="S208" s="2">
        <f t="shared" si="151"/>
        <v>9</v>
      </c>
      <c r="T208" s="2">
        <f t="shared" si="152"/>
        <v>20</v>
      </c>
      <c r="U208" t="str">
        <f t="shared" si="146"/>
        <v>ice</v>
      </c>
      <c r="V208" t="str">
        <f t="shared" si="214"/>
        <v>flying</v>
      </c>
      <c r="W208" t="s">
        <v>8</v>
      </c>
      <c r="X208" t="s">
        <v>26</v>
      </c>
      <c r="Z208" s="2" t="str">
        <f t="shared" si="147"/>
        <v/>
      </c>
      <c r="AA208" t="str">
        <f t="shared" si="206"/>
        <v>Articuno</v>
      </c>
      <c r="AC208" t="s">
        <v>1213</v>
      </c>
      <c r="AD208" t="str">
        <f>VLOOKUP(AC208,moves!A:B,2,FALSE)</f>
        <v>ice</v>
      </c>
      <c r="AE208">
        <f>VLOOKUP(AC208,moves!A:D,4,FALSE)</f>
        <v>5</v>
      </c>
      <c r="AF208">
        <f>VLOOKUP(AC208,moves!A:F,5,FALSE)</f>
        <v>0</v>
      </c>
      <c r="AG208">
        <v>0</v>
      </c>
      <c r="AH208">
        <v>1</v>
      </c>
      <c r="AI208" t="str" cm="1">
        <f t="array" ref="AI208">_xlfn.IFS(AG208=1, "starter", AH208=1, "legendary",T208&lt; 13, "weak",T208&lt; 17, "moderate", TRUE, "strong")</f>
        <v>legendary</v>
      </c>
      <c r="AK208">
        <v>1</v>
      </c>
      <c r="AL208">
        <v>0</v>
      </c>
      <c r="AM208">
        <v>0</v>
      </c>
    </row>
    <row r="209" spans="1:39" x14ac:dyDescent="0.25">
      <c r="A209">
        <v>145</v>
      </c>
      <c r="B209" t="s">
        <v>64</v>
      </c>
      <c r="C209" t="s">
        <v>11</v>
      </c>
      <c r="D209" t="s">
        <v>5</v>
      </c>
      <c r="E209">
        <v>90</v>
      </c>
      <c r="F209">
        <v>90</v>
      </c>
      <c r="G209">
        <v>85</v>
      </c>
      <c r="H209">
        <v>125</v>
      </c>
      <c r="I209">
        <v>90</v>
      </c>
      <c r="J209">
        <v>100</v>
      </c>
      <c r="K209" t="s">
        <v>269</v>
      </c>
      <c r="L209" t="s">
        <v>304</v>
      </c>
      <c r="M209" t="s">
        <v>300</v>
      </c>
      <c r="N209">
        <f t="shared" si="148"/>
        <v>11.15</v>
      </c>
      <c r="O209">
        <f t="shared" si="149"/>
        <v>8.85</v>
      </c>
      <c r="P209">
        <v>0</v>
      </c>
      <c r="Q209">
        <v>0</v>
      </c>
      <c r="R209" s="2">
        <f t="shared" si="150"/>
        <v>11</v>
      </c>
      <c r="S209" s="2">
        <f t="shared" si="151"/>
        <v>9</v>
      </c>
      <c r="T209" s="2">
        <f t="shared" si="152"/>
        <v>20</v>
      </c>
      <c r="U209" t="str">
        <f t="shared" si="146"/>
        <v>electric</v>
      </c>
      <c r="V209" t="str">
        <f t="shared" si="214"/>
        <v>flying</v>
      </c>
      <c r="W209" t="s">
        <v>8</v>
      </c>
      <c r="X209" t="s">
        <v>22</v>
      </c>
      <c r="Z209" s="2" t="str">
        <f t="shared" si="147"/>
        <v/>
      </c>
      <c r="AA209" t="str">
        <f t="shared" si="206"/>
        <v>Zapdos</v>
      </c>
      <c r="AC209" t="s">
        <v>1214</v>
      </c>
      <c r="AD209" t="str">
        <f>VLOOKUP(AC209,moves!A:B,2,FALSE)</f>
        <v>electric</v>
      </c>
      <c r="AE209">
        <f>VLOOKUP(AC209,moves!A:D,4,FALSE)</f>
        <v>5</v>
      </c>
      <c r="AF209">
        <f>VLOOKUP(AC209,moves!A:F,5,FALSE)</f>
        <v>0</v>
      </c>
      <c r="AG209">
        <v>0</v>
      </c>
      <c r="AH209">
        <v>1</v>
      </c>
      <c r="AI209" t="str" cm="1">
        <f t="array" ref="AI209">_xlfn.IFS(AG209=1, "starter", AH209=1, "legendary",T209&lt; 13, "weak",T209&lt; 17, "moderate", TRUE, "strong")</f>
        <v>legendary</v>
      </c>
      <c r="AK209">
        <v>1</v>
      </c>
      <c r="AL209">
        <v>0</v>
      </c>
      <c r="AM209">
        <v>0</v>
      </c>
    </row>
    <row r="210" spans="1:39" x14ac:dyDescent="0.25">
      <c r="A210">
        <v>146</v>
      </c>
      <c r="B210" t="s">
        <v>65</v>
      </c>
      <c r="C210" t="s">
        <v>4</v>
      </c>
      <c r="D210" t="s">
        <v>5</v>
      </c>
      <c r="E210">
        <v>90</v>
      </c>
      <c r="F210">
        <v>100</v>
      </c>
      <c r="G210">
        <v>90</v>
      </c>
      <c r="H210">
        <v>125</v>
      </c>
      <c r="I210">
        <v>85</v>
      </c>
      <c r="J210">
        <v>90</v>
      </c>
      <c r="K210" t="s">
        <v>247</v>
      </c>
      <c r="L210" t="s">
        <v>304</v>
      </c>
      <c r="M210" t="s">
        <v>302</v>
      </c>
      <c r="N210">
        <f t="shared" si="148"/>
        <v>10.85</v>
      </c>
      <c r="O210">
        <f t="shared" si="149"/>
        <v>8.85</v>
      </c>
      <c r="P210">
        <v>0</v>
      </c>
      <c r="Q210">
        <v>0</v>
      </c>
      <c r="R210" s="2">
        <f t="shared" si="150"/>
        <v>11</v>
      </c>
      <c r="S210" s="2">
        <f t="shared" si="151"/>
        <v>9</v>
      </c>
      <c r="T210" s="2">
        <f t="shared" si="152"/>
        <v>20</v>
      </c>
      <c r="U210" t="str">
        <f t="shared" si="146"/>
        <v>fire</v>
      </c>
      <c r="V210" t="str">
        <f t="shared" si="214"/>
        <v>flying</v>
      </c>
      <c r="W210" t="s">
        <v>8</v>
      </c>
      <c r="X210" t="s">
        <v>9</v>
      </c>
      <c r="Z210" s="2" t="str">
        <f t="shared" si="147"/>
        <v/>
      </c>
      <c r="AA210" t="str">
        <f t="shared" si="206"/>
        <v>Moltres</v>
      </c>
      <c r="AC210" t="s">
        <v>1215</v>
      </c>
      <c r="AD210" t="str">
        <f>VLOOKUP(AC210,moves!A:B,2,FALSE)</f>
        <v>fire</v>
      </c>
      <c r="AE210">
        <f>VLOOKUP(AC210,moves!A:D,4,FALSE)</f>
        <v>5</v>
      </c>
      <c r="AF210">
        <f>VLOOKUP(AC210,moves!A:F,5,FALSE)</f>
        <v>0</v>
      </c>
      <c r="AG210">
        <v>0</v>
      </c>
      <c r="AH210">
        <v>1</v>
      </c>
      <c r="AI210" t="str" cm="1">
        <f t="array" ref="AI210">_xlfn.IFS(AG210=1, "starter", AH210=1, "legendary",T210&lt; 13, "weak",T210&lt; 17, "moderate", TRUE, "strong")</f>
        <v>legendary</v>
      </c>
      <c r="AK210">
        <v>1</v>
      </c>
      <c r="AL210">
        <v>0</v>
      </c>
      <c r="AM210">
        <v>0</v>
      </c>
    </row>
    <row r="211" spans="1:39" x14ac:dyDescent="0.25">
      <c r="A211">
        <v>246</v>
      </c>
      <c r="B211" t="s">
        <v>107</v>
      </c>
      <c r="C211" t="s">
        <v>33</v>
      </c>
      <c r="D211" t="s">
        <v>13</v>
      </c>
      <c r="E211">
        <v>50</v>
      </c>
      <c r="F211">
        <v>64</v>
      </c>
      <c r="G211">
        <v>50</v>
      </c>
      <c r="H211">
        <v>45</v>
      </c>
      <c r="I211">
        <v>50</v>
      </c>
      <c r="J211">
        <v>41</v>
      </c>
      <c r="K211" t="s">
        <v>288</v>
      </c>
      <c r="L211" t="s">
        <v>304</v>
      </c>
      <c r="M211" t="s">
        <v>302</v>
      </c>
      <c r="N211">
        <f t="shared" si="148"/>
        <v>5.2900000000000009</v>
      </c>
      <c r="O211">
        <f t="shared" si="149"/>
        <v>5</v>
      </c>
      <c r="P211">
        <v>0</v>
      </c>
      <c r="Q211">
        <v>0</v>
      </c>
      <c r="R211" s="2">
        <f t="shared" si="150"/>
        <v>5</v>
      </c>
      <c r="S211" s="2">
        <f t="shared" si="151"/>
        <v>5</v>
      </c>
      <c r="T211" s="2">
        <f t="shared" si="152"/>
        <v>10</v>
      </c>
      <c r="U211" t="str">
        <f t="shared" si="146"/>
        <v>rock</v>
      </c>
      <c r="V211" t="str">
        <f t="shared" si="214"/>
        <v>ground</v>
      </c>
      <c r="W211" t="s">
        <v>9</v>
      </c>
      <c r="X211" t="s">
        <v>4</v>
      </c>
      <c r="Y211" t="str">
        <f>B212</f>
        <v>Pupitar</v>
      </c>
      <c r="Z211" s="2">
        <f t="shared" si="147"/>
        <v>4</v>
      </c>
      <c r="AA211" t="str">
        <f t="shared" si="206"/>
        <v>Larvitar</v>
      </c>
      <c r="AC211" t="s">
        <v>526</v>
      </c>
      <c r="AD211" t="str">
        <f>VLOOKUP(AC211,moves!A:B,2,FALSE)</f>
        <v>ground</v>
      </c>
      <c r="AE211">
        <f>VLOOKUP(AC211,moves!A:D,4,FALSE)</f>
        <v>2</v>
      </c>
      <c r="AF211" t="str">
        <f>VLOOKUP(AC211,moves!A:F,5,FALSE)</f>
        <v>trap</v>
      </c>
      <c r="AG211">
        <v>0</v>
      </c>
      <c r="AH211">
        <v>0</v>
      </c>
      <c r="AI211" t="str" cm="1">
        <f t="array" ref="AI211">_xlfn.IFS(AG211=1, "starter", AH211=1, "legendary",T211&lt; 13, "weak",T211&lt; 17, "moderate", TRUE, "strong")</f>
        <v>weak</v>
      </c>
      <c r="AK211">
        <v>1</v>
      </c>
      <c r="AL211">
        <v>0</v>
      </c>
      <c r="AM211">
        <v>0</v>
      </c>
    </row>
    <row r="212" spans="1:39" x14ac:dyDescent="0.25">
      <c r="A212">
        <v>247</v>
      </c>
      <c r="B212" t="s">
        <v>108</v>
      </c>
      <c r="C212" t="s">
        <v>33</v>
      </c>
      <c r="D212" t="s">
        <v>13</v>
      </c>
      <c r="E212">
        <v>70</v>
      </c>
      <c r="F212">
        <v>84</v>
      </c>
      <c r="G212">
        <v>70</v>
      </c>
      <c r="H212">
        <v>65</v>
      </c>
      <c r="I212">
        <v>70</v>
      </c>
      <c r="J212">
        <v>51</v>
      </c>
      <c r="K212" t="s">
        <v>289</v>
      </c>
      <c r="L212" t="s">
        <v>304</v>
      </c>
      <c r="M212" t="s">
        <v>302</v>
      </c>
      <c r="N212">
        <f t="shared" si="148"/>
        <v>6.8900000000000006</v>
      </c>
      <c r="O212">
        <f t="shared" si="149"/>
        <v>7</v>
      </c>
      <c r="P212">
        <v>0</v>
      </c>
      <c r="Q212">
        <v>0</v>
      </c>
      <c r="R212" s="2">
        <f t="shared" si="150"/>
        <v>7</v>
      </c>
      <c r="S212" s="2">
        <f t="shared" si="151"/>
        <v>7</v>
      </c>
      <c r="T212" s="2">
        <f t="shared" si="152"/>
        <v>14</v>
      </c>
      <c r="U212" t="str">
        <f t="shared" si="146"/>
        <v>rock</v>
      </c>
      <c r="V212" t="str">
        <f t="shared" si="214"/>
        <v>ground</v>
      </c>
      <c r="W212" t="s">
        <v>9</v>
      </c>
      <c r="X212" t="s">
        <v>4</v>
      </c>
      <c r="Y212" t="str">
        <f>B213</f>
        <v>Tyranitar</v>
      </c>
      <c r="Z212" s="2">
        <f t="shared" si="147"/>
        <v>9</v>
      </c>
      <c r="AA212" t="str">
        <f t="shared" si="206"/>
        <v>Pupitar</v>
      </c>
      <c r="AC212" t="s">
        <v>528</v>
      </c>
      <c r="AD212" t="str">
        <f>VLOOKUP(AC212,moves!A:B,2,FALSE)</f>
        <v>dark</v>
      </c>
      <c r="AE212">
        <f>VLOOKUP(AC212,moves!A:D,4,FALSE)</f>
        <v>3</v>
      </c>
      <c r="AF212">
        <f>VLOOKUP(AC212,moves!A:F,5,FALSE)</f>
        <v>0</v>
      </c>
      <c r="AG212">
        <v>0</v>
      </c>
      <c r="AH212">
        <v>0</v>
      </c>
      <c r="AI212" t="str" cm="1">
        <f t="array" ref="AI212">_xlfn.IFS(AG212=1, "starter", AH212=1, "legendary",T212&lt; 13, "weak",T212&lt; 17, "moderate", TRUE, "strong")</f>
        <v>moderate</v>
      </c>
      <c r="AK212">
        <v>2</v>
      </c>
      <c r="AL212">
        <v>0</v>
      </c>
      <c r="AM212">
        <v>0</v>
      </c>
    </row>
    <row r="213" spans="1:39" x14ac:dyDescent="0.25">
      <c r="A213">
        <v>248</v>
      </c>
      <c r="B213" t="s">
        <v>109</v>
      </c>
      <c r="C213" t="s">
        <v>33</v>
      </c>
      <c r="D213" t="s">
        <v>9</v>
      </c>
      <c r="E213">
        <v>100</v>
      </c>
      <c r="F213">
        <v>134</v>
      </c>
      <c r="G213">
        <v>110</v>
      </c>
      <c r="H213">
        <v>95</v>
      </c>
      <c r="I213">
        <v>100</v>
      </c>
      <c r="J213">
        <v>61</v>
      </c>
      <c r="K213" t="s">
        <v>284</v>
      </c>
      <c r="L213" t="s">
        <v>304</v>
      </c>
      <c r="M213" t="s">
        <v>302</v>
      </c>
      <c r="N213">
        <f t="shared" si="148"/>
        <v>10.09</v>
      </c>
      <c r="O213">
        <f t="shared" si="149"/>
        <v>10.3</v>
      </c>
      <c r="P213">
        <v>0</v>
      </c>
      <c r="Q213">
        <v>0</v>
      </c>
      <c r="R213" s="2">
        <f t="shared" si="150"/>
        <v>10</v>
      </c>
      <c r="S213" s="2">
        <f t="shared" si="151"/>
        <v>10</v>
      </c>
      <c r="T213" s="2">
        <f t="shared" si="152"/>
        <v>20</v>
      </c>
      <c r="U213" t="str">
        <f t="shared" si="146"/>
        <v>rock</v>
      </c>
      <c r="V213" t="str">
        <f t="shared" si="214"/>
        <v>dark</v>
      </c>
      <c r="W213" t="s">
        <v>13</v>
      </c>
      <c r="X213" t="s">
        <v>4</v>
      </c>
      <c r="Z213" s="2" t="str">
        <f t="shared" si="147"/>
        <v/>
      </c>
      <c r="AA213" t="str">
        <f t="shared" si="206"/>
        <v>Tyranitar</v>
      </c>
      <c r="AC213" t="s">
        <v>499</v>
      </c>
      <c r="AD213" t="str">
        <f>VLOOKUP(AC213,moves!A:B,2,FALSE)</f>
        <v>rock</v>
      </c>
      <c r="AE213">
        <f>VLOOKUP(AC213,moves!A:D,4,FALSE)</f>
        <v>5</v>
      </c>
      <c r="AF213">
        <f>VLOOKUP(AC213,moves!A:F,5,FALSE)</f>
        <v>0</v>
      </c>
      <c r="AG213">
        <v>0</v>
      </c>
      <c r="AH213">
        <v>0</v>
      </c>
      <c r="AI213" t="str" cm="1">
        <f t="array" ref="AI213">_xlfn.IFS(AG213=1, "starter", AH213=1, "legendary",T213&lt; 13, "weak",T213&lt; 17, "moderate", TRUE, "strong")</f>
        <v>strong</v>
      </c>
      <c r="AK213">
        <v>3</v>
      </c>
      <c r="AL213">
        <v>0</v>
      </c>
      <c r="AM213">
        <v>0</v>
      </c>
    </row>
    <row r="214" spans="1:39" x14ac:dyDescent="0.25">
      <c r="A214">
        <v>201</v>
      </c>
      <c r="B214" t="s">
        <v>86</v>
      </c>
      <c r="C214" t="s">
        <v>26</v>
      </c>
      <c r="D214"/>
      <c r="E214">
        <v>48</v>
      </c>
      <c r="F214">
        <v>72</v>
      </c>
      <c r="G214">
        <v>48</v>
      </c>
      <c r="H214">
        <v>72</v>
      </c>
      <c r="I214">
        <v>48</v>
      </c>
      <c r="J214">
        <v>48</v>
      </c>
      <c r="K214" t="s">
        <v>277</v>
      </c>
      <c r="L214" t="s">
        <v>304</v>
      </c>
      <c r="M214" t="s">
        <v>302</v>
      </c>
      <c r="N214">
        <f t="shared" si="148"/>
        <v>6.24</v>
      </c>
      <c r="O214">
        <f t="shared" si="149"/>
        <v>4.8</v>
      </c>
      <c r="P214">
        <v>0</v>
      </c>
      <c r="Q214">
        <v>0</v>
      </c>
      <c r="R214" s="2">
        <f t="shared" si="150"/>
        <v>6</v>
      </c>
      <c r="S214" s="2">
        <f t="shared" si="151"/>
        <v>5</v>
      </c>
      <c r="T214" s="2">
        <f t="shared" si="152"/>
        <v>11</v>
      </c>
      <c r="U214" t="str">
        <f t="shared" si="146"/>
        <v>psychic</v>
      </c>
      <c r="V214" t="s">
        <v>11</v>
      </c>
      <c r="W214" t="s">
        <v>4</v>
      </c>
      <c r="X214" t="s">
        <v>14</v>
      </c>
      <c r="Z214" s="2" t="str">
        <f t="shared" si="147"/>
        <v/>
      </c>
      <c r="AA214" t="str">
        <f t="shared" si="206"/>
        <v>Unown</v>
      </c>
      <c r="AC214" t="s">
        <v>539</v>
      </c>
      <c r="AD214" t="str">
        <f>VLOOKUP(AC214,moves!A:B,2,FALSE)</f>
        <v>typeless</v>
      </c>
      <c r="AE214">
        <f>VLOOKUP(AC214,moves!A:D,4,FALSE)</f>
        <v>3</v>
      </c>
      <c r="AF214">
        <f>VLOOKUP(AC214,moves!A:F,5,FALSE)</f>
        <v>0</v>
      </c>
      <c r="AG214">
        <v>0</v>
      </c>
      <c r="AH214">
        <v>0</v>
      </c>
      <c r="AI214" t="str" cm="1">
        <f t="array" ref="AI214">_xlfn.IFS(AG214=1, "starter", AH214=1, "legendary",T214&lt; 13, "weak",T214&lt; 17, "moderate", TRUE, "strong")</f>
        <v>weak</v>
      </c>
      <c r="AK214">
        <v>1</v>
      </c>
      <c r="AL214">
        <v>0</v>
      </c>
      <c r="AM214">
        <v>0</v>
      </c>
    </row>
    <row r="215" spans="1:39" x14ac:dyDescent="0.25">
      <c r="A215">
        <v>92</v>
      </c>
      <c r="B215" t="s">
        <v>41</v>
      </c>
      <c r="C215" t="s">
        <v>42</v>
      </c>
      <c r="D215" t="s">
        <v>3</v>
      </c>
      <c r="E215">
        <v>30</v>
      </c>
      <c r="F215">
        <v>35</v>
      </c>
      <c r="G215">
        <v>30</v>
      </c>
      <c r="H215">
        <v>100</v>
      </c>
      <c r="I215">
        <v>35</v>
      </c>
      <c r="J215">
        <v>80</v>
      </c>
      <c r="K215" t="s">
        <v>263</v>
      </c>
      <c r="L215" t="s">
        <v>298</v>
      </c>
      <c r="M215" t="s">
        <v>299</v>
      </c>
      <c r="N215">
        <f t="shared" si="148"/>
        <v>8.5500000000000007</v>
      </c>
      <c r="O215">
        <f t="shared" si="149"/>
        <v>3.15</v>
      </c>
      <c r="P215">
        <v>0</v>
      </c>
      <c r="Q215">
        <v>0</v>
      </c>
      <c r="R215" s="2">
        <f t="shared" si="150"/>
        <v>9</v>
      </c>
      <c r="S215" s="2">
        <f t="shared" si="151"/>
        <v>3</v>
      </c>
      <c r="T215" s="2">
        <f t="shared" si="152"/>
        <v>12</v>
      </c>
      <c r="U215" t="str">
        <f t="shared" si="146"/>
        <v>ghost</v>
      </c>
      <c r="V215" t="str">
        <f>IF(D215 = 0, "", D215)</f>
        <v>poison</v>
      </c>
      <c r="W215" t="s">
        <v>26</v>
      </c>
      <c r="X215" t="s">
        <v>9</v>
      </c>
      <c r="Y215" t="str">
        <f>B216</f>
        <v>Haunter</v>
      </c>
      <c r="Z215" s="2">
        <f t="shared" si="147"/>
        <v>4</v>
      </c>
      <c r="AA215" t="str">
        <f t="shared" si="206"/>
        <v>Gastly</v>
      </c>
      <c r="AC215" t="s">
        <v>967</v>
      </c>
      <c r="AD215" t="str">
        <f>VLOOKUP(AC215,moves!A:B,2,FALSE)</f>
        <v>ghost</v>
      </c>
      <c r="AE215">
        <f>VLOOKUP(AC215,moves!A:D,4,FALSE)</f>
        <v>2</v>
      </c>
      <c r="AF215">
        <f>VLOOKUP(AC215,moves!A:F,5,FALSE)</f>
        <v>0</v>
      </c>
      <c r="AG215">
        <v>0</v>
      </c>
      <c r="AH215">
        <v>0</v>
      </c>
      <c r="AI215" t="str" cm="1">
        <f t="array" ref="AI215">_xlfn.IFS(AG215=1, "starter", AH215=1, "legendary",T215&lt; 13, "weak",T215&lt; 17, "moderate", TRUE, "strong")</f>
        <v>weak</v>
      </c>
      <c r="AK215">
        <v>1</v>
      </c>
      <c r="AL215">
        <v>0</v>
      </c>
      <c r="AM215">
        <v>0</v>
      </c>
    </row>
    <row r="216" spans="1:39" x14ac:dyDescent="0.25">
      <c r="A216">
        <v>93</v>
      </c>
      <c r="B216" t="s">
        <v>43</v>
      </c>
      <c r="C216" t="s">
        <v>42</v>
      </c>
      <c r="D216" t="s">
        <v>3</v>
      </c>
      <c r="E216">
        <v>45</v>
      </c>
      <c r="F216">
        <v>50</v>
      </c>
      <c r="G216">
        <v>45</v>
      </c>
      <c r="H216">
        <v>115</v>
      </c>
      <c r="I216">
        <v>55</v>
      </c>
      <c r="J216">
        <v>95</v>
      </c>
      <c r="K216" t="s">
        <v>263</v>
      </c>
      <c r="L216" t="s">
        <v>298</v>
      </c>
      <c r="M216" t="s">
        <v>299</v>
      </c>
      <c r="N216">
        <f t="shared" si="148"/>
        <v>10.050000000000001</v>
      </c>
      <c r="O216">
        <f t="shared" si="149"/>
        <v>4.8</v>
      </c>
      <c r="P216">
        <v>0</v>
      </c>
      <c r="Q216">
        <v>0</v>
      </c>
      <c r="R216" s="2">
        <f t="shared" si="150"/>
        <v>10</v>
      </c>
      <c r="S216" s="2">
        <f t="shared" si="151"/>
        <v>5</v>
      </c>
      <c r="T216" s="2">
        <f t="shared" si="152"/>
        <v>15</v>
      </c>
      <c r="U216" t="str">
        <f t="shared" si="146"/>
        <v>ghost</v>
      </c>
      <c r="V216" t="str">
        <f>IF(D216 = 0, "", D216)</f>
        <v>poison</v>
      </c>
      <c r="W216" t="s">
        <v>26</v>
      </c>
      <c r="X216" t="s">
        <v>9</v>
      </c>
      <c r="Y216" t="str">
        <f>B217</f>
        <v>Gengar</v>
      </c>
      <c r="Z216" s="2">
        <f t="shared" si="147"/>
        <v>5</v>
      </c>
      <c r="AA216" t="str">
        <f t="shared" si="206"/>
        <v>Haunter</v>
      </c>
      <c r="AC216" t="s">
        <v>502</v>
      </c>
      <c r="AD216" t="str">
        <f>VLOOKUP(AC216,moves!A:B,2,FALSE)</f>
        <v>ghost</v>
      </c>
      <c r="AE216">
        <f>VLOOKUP(AC216,moves!A:D,4,FALSE)</f>
        <v>3</v>
      </c>
      <c r="AF216">
        <f>VLOOKUP(AC216,moves!A:F,5,FALSE)</f>
        <v>0</v>
      </c>
      <c r="AG216">
        <v>0</v>
      </c>
      <c r="AH216">
        <v>0</v>
      </c>
      <c r="AI216" t="str" cm="1">
        <f t="array" ref="AI216">_xlfn.IFS(AG216=1, "starter", AH216=1, "legendary",T216&lt; 13, "weak",T216&lt; 17, "moderate", TRUE, "strong")</f>
        <v>moderate</v>
      </c>
      <c r="AK216">
        <v>2</v>
      </c>
      <c r="AL216">
        <v>0</v>
      </c>
      <c r="AM216">
        <v>0</v>
      </c>
    </row>
    <row r="217" spans="1:39" x14ac:dyDescent="0.25">
      <c r="A217">
        <v>94</v>
      </c>
      <c r="B217" t="s">
        <v>44</v>
      </c>
      <c r="C217" t="s">
        <v>42</v>
      </c>
      <c r="D217" t="s">
        <v>3</v>
      </c>
      <c r="E217">
        <v>60</v>
      </c>
      <c r="F217">
        <v>65</v>
      </c>
      <c r="G217">
        <v>60</v>
      </c>
      <c r="H217">
        <v>130</v>
      </c>
      <c r="I217">
        <v>75</v>
      </c>
      <c r="J217">
        <v>110</v>
      </c>
      <c r="K217" t="s">
        <v>264</v>
      </c>
      <c r="L217" t="s">
        <v>298</v>
      </c>
      <c r="M217" t="s">
        <v>299</v>
      </c>
      <c r="N217">
        <f t="shared" si="148"/>
        <v>11.55</v>
      </c>
      <c r="O217">
        <f t="shared" si="149"/>
        <v>6.45</v>
      </c>
      <c r="P217">
        <v>0</v>
      </c>
      <c r="Q217">
        <v>0</v>
      </c>
      <c r="R217" s="2">
        <f t="shared" si="150"/>
        <v>12</v>
      </c>
      <c r="S217" s="2">
        <f t="shared" si="151"/>
        <v>6</v>
      </c>
      <c r="T217" s="2">
        <f t="shared" si="152"/>
        <v>18</v>
      </c>
      <c r="U217" t="str">
        <f t="shared" si="146"/>
        <v>ghost</v>
      </c>
      <c r="V217" t="str">
        <f>IF(D217 = 0, "", D217)</f>
        <v>poison</v>
      </c>
      <c r="W217" t="s">
        <v>26</v>
      </c>
      <c r="X217" t="s">
        <v>9</v>
      </c>
      <c r="Z217" s="2" t="str">
        <f t="shared" si="147"/>
        <v/>
      </c>
      <c r="AA217" t="str">
        <f t="shared" si="206"/>
        <v>Gengar</v>
      </c>
      <c r="AC217" t="s">
        <v>619</v>
      </c>
      <c r="AD217" t="str">
        <f>VLOOKUP(AC217,moves!A:B,2,FALSE)</f>
        <v>poison</v>
      </c>
      <c r="AE217">
        <f>VLOOKUP(AC217,moves!A:D,4,FALSE)</f>
        <v>5</v>
      </c>
      <c r="AF217">
        <f>VLOOKUP(AC217,moves!A:F,5,FALSE)</f>
        <v>0</v>
      </c>
      <c r="AG217">
        <v>0</v>
      </c>
      <c r="AH217">
        <v>0</v>
      </c>
      <c r="AI217" t="str" cm="1">
        <f t="array" ref="AI217">_xlfn.IFS(AG217=1, "starter", AH217=1, "legendary",T217&lt; 13, "weak",T217&lt; 17, "moderate", TRUE, "strong")</f>
        <v>strong</v>
      </c>
      <c r="AK217">
        <v>3</v>
      </c>
      <c r="AL217">
        <v>0</v>
      </c>
      <c r="AM217">
        <v>0</v>
      </c>
    </row>
    <row r="218" spans="1:39" x14ac:dyDescent="0.25">
      <c r="A218">
        <v>95</v>
      </c>
      <c r="B218" t="s">
        <v>45</v>
      </c>
      <c r="C218" t="s">
        <v>33</v>
      </c>
      <c r="D218" t="s">
        <v>13</v>
      </c>
      <c r="E218">
        <v>35</v>
      </c>
      <c r="F218">
        <v>45</v>
      </c>
      <c r="G218">
        <v>160</v>
      </c>
      <c r="H218">
        <v>30</v>
      </c>
      <c r="I218">
        <v>45</v>
      </c>
      <c r="J218">
        <v>70</v>
      </c>
      <c r="K218" t="s">
        <v>265</v>
      </c>
      <c r="L218" t="s">
        <v>304</v>
      </c>
      <c r="M218" t="s">
        <v>302</v>
      </c>
      <c r="N218">
        <f t="shared" si="148"/>
        <v>5.35</v>
      </c>
      <c r="O218">
        <f t="shared" si="149"/>
        <v>7.55</v>
      </c>
      <c r="P218">
        <v>0</v>
      </c>
      <c r="Q218">
        <v>0</v>
      </c>
      <c r="R218" s="2">
        <f t="shared" si="150"/>
        <v>5</v>
      </c>
      <c r="S218" s="2">
        <f t="shared" si="151"/>
        <v>8</v>
      </c>
      <c r="T218" s="2">
        <f t="shared" si="152"/>
        <v>13</v>
      </c>
      <c r="U218" t="str">
        <f t="shared" si="146"/>
        <v>rock</v>
      </c>
      <c r="V218" t="str">
        <f>IF(D218 = 0, "", D218)</f>
        <v>ground</v>
      </c>
      <c r="W218" t="s">
        <v>39</v>
      </c>
      <c r="X218" t="s">
        <v>8</v>
      </c>
      <c r="Y218" t="str">
        <f>B219</f>
        <v>Steelix</v>
      </c>
      <c r="Z218" s="2">
        <f t="shared" si="147"/>
        <v>6</v>
      </c>
      <c r="AA218" t="str">
        <f t="shared" si="206"/>
        <v>Onix</v>
      </c>
      <c r="AC218" t="s">
        <v>501</v>
      </c>
      <c r="AD218" t="str">
        <f>VLOOKUP(AC218,moves!A:B,2,FALSE)</f>
        <v>rock</v>
      </c>
      <c r="AE218">
        <f>VLOOKUP(AC218,moves!A:D,4,FALSE)</f>
        <v>5</v>
      </c>
      <c r="AF218">
        <f>VLOOKUP(AC218,moves!A:F,5,FALSE)</f>
        <v>0</v>
      </c>
      <c r="AG218">
        <v>0</v>
      </c>
      <c r="AH218">
        <v>0</v>
      </c>
      <c r="AI218" t="str" cm="1">
        <f t="array" ref="AI218">_xlfn.IFS(AG218=1, "starter", AH218=1, "legendary",T218&lt; 13, "weak",T218&lt; 17, "moderate", TRUE, "strong")</f>
        <v>moderate</v>
      </c>
      <c r="AK218">
        <v>1</v>
      </c>
      <c r="AL218">
        <v>0</v>
      </c>
      <c r="AM218">
        <v>0</v>
      </c>
    </row>
    <row r="219" spans="1:39" x14ac:dyDescent="0.25">
      <c r="A219">
        <v>208</v>
      </c>
      <c r="B219" t="s">
        <v>88</v>
      </c>
      <c r="C219" t="s">
        <v>39</v>
      </c>
      <c r="D219" t="s">
        <v>13</v>
      </c>
      <c r="E219">
        <v>75</v>
      </c>
      <c r="F219">
        <v>85</v>
      </c>
      <c r="G219">
        <v>200</v>
      </c>
      <c r="H219">
        <v>55</v>
      </c>
      <c r="I219">
        <v>65</v>
      </c>
      <c r="J219">
        <v>30</v>
      </c>
      <c r="K219" t="s">
        <v>278</v>
      </c>
      <c r="L219" t="s">
        <v>304</v>
      </c>
      <c r="M219" t="s">
        <v>302</v>
      </c>
      <c r="N219">
        <f t="shared" si="148"/>
        <v>6</v>
      </c>
      <c r="O219">
        <f t="shared" si="149"/>
        <v>10.95</v>
      </c>
      <c r="P219">
        <v>0</v>
      </c>
      <c r="Q219">
        <v>0</v>
      </c>
      <c r="R219" s="2">
        <f t="shared" si="150"/>
        <v>6</v>
      </c>
      <c r="S219" s="2">
        <f t="shared" si="151"/>
        <v>11</v>
      </c>
      <c r="T219" s="2">
        <f t="shared" si="152"/>
        <v>17</v>
      </c>
      <c r="U219" t="str">
        <f t="shared" si="146"/>
        <v>steel</v>
      </c>
      <c r="V219" t="str">
        <f>IF(D219 = 0, "", D219)</f>
        <v>ground</v>
      </c>
      <c r="W219" t="s">
        <v>33</v>
      </c>
      <c r="X219" t="s">
        <v>8</v>
      </c>
      <c r="Z219" s="2" t="str">
        <f t="shared" si="147"/>
        <v/>
      </c>
      <c r="AA219" t="str">
        <f t="shared" si="206"/>
        <v>Steelix</v>
      </c>
      <c r="AC219" t="s">
        <v>507</v>
      </c>
      <c r="AD219" t="str">
        <f>VLOOKUP(AC219,moves!A:B,2,FALSE)</f>
        <v>steel</v>
      </c>
      <c r="AE219">
        <f>VLOOKUP(AC219,moves!A:D,4,FALSE)</f>
        <v>4</v>
      </c>
      <c r="AF219">
        <f>VLOOKUP(AC219,moves!A:F,5,FALSE)</f>
        <v>0</v>
      </c>
      <c r="AG219">
        <v>0</v>
      </c>
      <c r="AH219">
        <v>0</v>
      </c>
      <c r="AI219" t="str" cm="1">
        <f t="array" ref="AI219">_xlfn.IFS(AG219=1, "starter", AH219=1, "legendary",T219&lt; 13, "weak",T219&lt; 17, "moderate", TRUE, "strong")</f>
        <v>strong</v>
      </c>
      <c r="AK219">
        <v>2</v>
      </c>
      <c r="AL219">
        <v>0</v>
      </c>
      <c r="AM219">
        <v>0</v>
      </c>
    </row>
    <row r="220" spans="1:39" x14ac:dyDescent="0.25">
      <c r="A220">
        <v>173</v>
      </c>
      <c r="B220" t="s">
        <v>72</v>
      </c>
      <c r="C220" t="s">
        <v>16</v>
      </c>
      <c r="D220"/>
      <c r="E220">
        <v>50</v>
      </c>
      <c r="F220">
        <v>25</v>
      </c>
      <c r="G220">
        <v>28</v>
      </c>
      <c r="H220">
        <v>45</v>
      </c>
      <c r="I220">
        <v>55</v>
      </c>
      <c r="J220">
        <v>15</v>
      </c>
      <c r="K220" t="s">
        <v>273</v>
      </c>
      <c r="L220" t="s">
        <v>304</v>
      </c>
      <c r="M220" t="s">
        <v>300</v>
      </c>
      <c r="N220">
        <f t="shared" si="148"/>
        <v>3.1</v>
      </c>
      <c r="O220">
        <f t="shared" si="149"/>
        <v>4.49</v>
      </c>
      <c r="P220">
        <v>0</v>
      </c>
      <c r="Q220">
        <v>1</v>
      </c>
      <c r="R220" s="2">
        <f t="shared" si="150"/>
        <v>3</v>
      </c>
      <c r="S220" s="2">
        <f t="shared" si="151"/>
        <v>5</v>
      </c>
      <c r="T220" s="2">
        <f t="shared" si="152"/>
        <v>8</v>
      </c>
      <c r="U220" t="str">
        <f t="shared" si="146"/>
        <v>fairy</v>
      </c>
      <c r="V220" t="s">
        <v>26</v>
      </c>
      <c r="W220" t="s">
        <v>8</v>
      </c>
      <c r="X220" t="s">
        <v>11</v>
      </c>
      <c r="Y220" t="str">
        <f>B221</f>
        <v>Clefairy</v>
      </c>
      <c r="Z220" s="2">
        <f t="shared" si="147"/>
        <v>2</v>
      </c>
      <c r="AA220" t="str">
        <f t="shared" si="206"/>
        <v>Cleffa</v>
      </c>
      <c r="AC220" t="s">
        <v>687</v>
      </c>
      <c r="AD220" t="str">
        <f>VLOOKUP(AC220,moves!A:B,2,FALSE)</f>
        <v>normal</v>
      </c>
      <c r="AE220">
        <f>VLOOKUP(AC220,moves!A:D,4,FALSE)</f>
        <v>2</v>
      </c>
      <c r="AF220">
        <f>VLOOKUP(AC220,moves!A:F,5,FALSE)</f>
        <v>0</v>
      </c>
      <c r="AG220">
        <v>0</v>
      </c>
      <c r="AH220">
        <v>0</v>
      </c>
      <c r="AI220" t="str" cm="1">
        <f t="array" ref="AI220">_xlfn.IFS(AG220=1, "starter", AH220=1, "legendary",T220&lt; 13, "weak",T220&lt; 17, "moderate", TRUE, "strong")</f>
        <v>weak</v>
      </c>
      <c r="AK220">
        <v>1</v>
      </c>
      <c r="AL220">
        <v>0</v>
      </c>
      <c r="AM220">
        <v>0</v>
      </c>
    </row>
    <row r="221" spans="1:39" x14ac:dyDescent="0.25">
      <c r="A221">
        <v>35</v>
      </c>
      <c r="B221" t="s">
        <v>15</v>
      </c>
      <c r="C221" t="s">
        <v>16</v>
      </c>
      <c r="D221"/>
      <c r="E221">
        <v>70</v>
      </c>
      <c r="F221">
        <v>45</v>
      </c>
      <c r="G221">
        <v>48</v>
      </c>
      <c r="H221">
        <v>60</v>
      </c>
      <c r="I221">
        <v>65</v>
      </c>
      <c r="J221">
        <v>35</v>
      </c>
      <c r="K221" t="s">
        <v>252</v>
      </c>
      <c r="L221" t="s">
        <v>304</v>
      </c>
      <c r="M221" t="s">
        <v>300</v>
      </c>
      <c r="N221">
        <f t="shared" si="148"/>
        <v>4.8499999999999996</v>
      </c>
      <c r="O221">
        <f t="shared" si="149"/>
        <v>6.1899999999999995</v>
      </c>
      <c r="P221">
        <v>0</v>
      </c>
      <c r="Q221">
        <v>0</v>
      </c>
      <c r="R221" s="2">
        <f t="shared" si="150"/>
        <v>5</v>
      </c>
      <c r="S221" s="2">
        <f t="shared" si="151"/>
        <v>6</v>
      </c>
      <c r="T221" s="2">
        <f t="shared" si="152"/>
        <v>11</v>
      </c>
      <c r="U221" t="str">
        <f t="shared" si="146"/>
        <v>fairy</v>
      </c>
      <c r="V221" t="s">
        <v>26</v>
      </c>
      <c r="W221" t="s">
        <v>8</v>
      </c>
      <c r="X221" t="s">
        <v>11</v>
      </c>
      <c r="Y221" t="str">
        <f>B222</f>
        <v>Clefable</v>
      </c>
      <c r="Z221" s="2">
        <f t="shared" si="147"/>
        <v>7</v>
      </c>
      <c r="AA221" t="str">
        <f t="shared" si="206"/>
        <v>Clefairy</v>
      </c>
      <c r="AC221" t="s">
        <v>542</v>
      </c>
      <c r="AD221" t="str">
        <f>VLOOKUP(AC221,moves!A:B,2,FALSE)</f>
        <v>typeless</v>
      </c>
      <c r="AE221" t="str">
        <f>VLOOKUP(AC221,moves!A:D,4,FALSE)</f>
        <v>?</v>
      </c>
      <c r="AF221">
        <f>VLOOKUP(AC221,moves!A:F,5,FALSE)</f>
        <v>0</v>
      </c>
      <c r="AG221">
        <v>0</v>
      </c>
      <c r="AH221">
        <v>0</v>
      </c>
      <c r="AI221" t="str" cm="1">
        <f t="array" ref="AI221">_xlfn.IFS(AG221=1, "starter", AH221=1, "legendary",T221&lt; 13, "weak",T221&lt; 17, "moderate", TRUE, "strong")</f>
        <v>weak</v>
      </c>
      <c r="AK221">
        <v>2</v>
      </c>
      <c r="AL221">
        <v>0</v>
      </c>
      <c r="AM221">
        <v>0</v>
      </c>
    </row>
    <row r="222" spans="1:39" x14ac:dyDescent="0.25">
      <c r="A222">
        <v>36</v>
      </c>
      <c r="B222" t="s">
        <v>17</v>
      </c>
      <c r="C222" t="s">
        <v>16</v>
      </c>
      <c r="D222"/>
      <c r="E222">
        <v>95</v>
      </c>
      <c r="F222">
        <v>70</v>
      </c>
      <c r="G222">
        <v>73</v>
      </c>
      <c r="H222">
        <v>95</v>
      </c>
      <c r="I222">
        <v>90</v>
      </c>
      <c r="J222">
        <v>60</v>
      </c>
      <c r="K222" t="s">
        <v>252</v>
      </c>
      <c r="L222" t="s">
        <v>304</v>
      </c>
      <c r="M222" t="s">
        <v>300</v>
      </c>
      <c r="N222">
        <f t="shared" si="148"/>
        <v>7.85</v>
      </c>
      <c r="O222">
        <f t="shared" si="149"/>
        <v>8.6900000000000013</v>
      </c>
      <c r="P222">
        <v>0</v>
      </c>
      <c r="Q222">
        <v>0</v>
      </c>
      <c r="R222" s="2">
        <f t="shared" si="150"/>
        <v>8</v>
      </c>
      <c r="S222" s="2">
        <f t="shared" si="151"/>
        <v>9</v>
      </c>
      <c r="T222" s="2">
        <f t="shared" si="152"/>
        <v>17</v>
      </c>
      <c r="U222" t="str">
        <f t="shared" si="146"/>
        <v>fairy</v>
      </c>
      <c r="V222" t="s">
        <v>26</v>
      </c>
      <c r="W222" t="s">
        <v>8</v>
      </c>
      <c r="X222" t="s">
        <v>11</v>
      </c>
      <c r="Z222" s="2" t="str">
        <f t="shared" si="147"/>
        <v/>
      </c>
      <c r="AA222" t="str">
        <f t="shared" si="206"/>
        <v>Clefable</v>
      </c>
      <c r="AC222" t="s">
        <v>536</v>
      </c>
      <c r="AD222" t="str">
        <f>VLOOKUP(AC222,moves!A:B,2,FALSE)</f>
        <v>fairy</v>
      </c>
      <c r="AE222">
        <f>VLOOKUP(AC222,moves!A:D,4,FALSE)</f>
        <v>5</v>
      </c>
      <c r="AF222">
        <f>VLOOKUP(AC222,moves!A:F,5,FALSE)</f>
        <v>0</v>
      </c>
      <c r="AG222">
        <v>0</v>
      </c>
      <c r="AH222">
        <v>0</v>
      </c>
      <c r="AI222" t="str" cm="1">
        <f t="array" ref="AI222">_xlfn.IFS(AG222=1, "starter", AH222=1, "legendary",T222&lt; 13, "weak",T222&lt; 17, "moderate", TRUE, "strong")</f>
        <v>strong</v>
      </c>
      <c r="AK222">
        <v>3</v>
      </c>
      <c r="AL222">
        <v>0</v>
      </c>
      <c r="AM222">
        <v>0</v>
      </c>
    </row>
    <row r="223" spans="1:39" x14ac:dyDescent="0.25">
      <c r="A223">
        <v>194</v>
      </c>
      <c r="B223" t="s">
        <v>80</v>
      </c>
      <c r="C223" t="s">
        <v>6</v>
      </c>
      <c r="D223" t="s">
        <v>13</v>
      </c>
      <c r="E223">
        <v>55</v>
      </c>
      <c r="F223">
        <v>45</v>
      </c>
      <c r="G223">
        <v>45</v>
      </c>
      <c r="H223">
        <v>25</v>
      </c>
      <c r="I223">
        <v>25</v>
      </c>
      <c r="J223">
        <v>15</v>
      </c>
      <c r="K223" t="s">
        <v>276</v>
      </c>
      <c r="L223" t="s">
        <v>303</v>
      </c>
      <c r="M223" t="s">
        <v>299</v>
      </c>
      <c r="N223">
        <f t="shared" si="148"/>
        <v>3.1</v>
      </c>
      <c r="O223">
        <f t="shared" si="149"/>
        <v>4.3</v>
      </c>
      <c r="P223">
        <v>0</v>
      </c>
      <c r="Q223">
        <v>0</v>
      </c>
      <c r="R223" s="2">
        <f t="shared" si="150"/>
        <v>3</v>
      </c>
      <c r="S223" s="2">
        <f t="shared" si="151"/>
        <v>4</v>
      </c>
      <c r="T223" s="2">
        <f t="shared" si="152"/>
        <v>7</v>
      </c>
      <c r="U223" t="str">
        <f t="shared" si="146"/>
        <v>water</v>
      </c>
      <c r="V223" t="str">
        <f>IF(D223 = 0, "", D223)</f>
        <v>ground</v>
      </c>
      <c r="W223" t="s">
        <v>14</v>
      </c>
      <c r="X223" t="s">
        <v>3</v>
      </c>
      <c r="Y223" t="str">
        <f>B224</f>
        <v>Quagsire</v>
      </c>
      <c r="Z223" s="2">
        <f t="shared" si="147"/>
        <v>5</v>
      </c>
      <c r="AA223" t="str">
        <f t="shared" si="206"/>
        <v>Wooper</v>
      </c>
      <c r="AC223" t="s">
        <v>728</v>
      </c>
      <c r="AD223" t="str">
        <f>VLOOKUP(AC223,moves!A:B,2,FALSE)</f>
        <v>ground</v>
      </c>
      <c r="AE223">
        <f>VLOOKUP(AC223,moves!A:D,4,FALSE)</f>
        <v>3</v>
      </c>
      <c r="AF223">
        <f>VLOOKUP(AC223,moves!A:F,5,FALSE)</f>
        <v>0</v>
      </c>
      <c r="AG223">
        <v>0</v>
      </c>
      <c r="AH223">
        <v>0</v>
      </c>
      <c r="AI223" t="str" cm="1">
        <f t="array" ref="AI223">_xlfn.IFS(AG223=1, "starter", AH223=1, "legendary",T223&lt; 13, "weak",T223&lt; 17, "moderate", TRUE, "strong")</f>
        <v>weak</v>
      </c>
      <c r="AK223">
        <v>1</v>
      </c>
      <c r="AL223">
        <v>0</v>
      </c>
      <c r="AM223">
        <v>0</v>
      </c>
    </row>
    <row r="224" spans="1:39" x14ac:dyDescent="0.25">
      <c r="A224">
        <v>195</v>
      </c>
      <c r="B224" t="s">
        <v>81</v>
      </c>
      <c r="C224" t="s">
        <v>6</v>
      </c>
      <c r="D224" t="s">
        <v>13</v>
      </c>
      <c r="E224">
        <v>95</v>
      </c>
      <c r="F224">
        <v>85</v>
      </c>
      <c r="G224">
        <v>85</v>
      </c>
      <c r="H224">
        <v>65</v>
      </c>
      <c r="I224">
        <v>65</v>
      </c>
      <c r="J224">
        <v>35</v>
      </c>
      <c r="K224" t="s">
        <v>276</v>
      </c>
      <c r="L224" t="s">
        <v>303</v>
      </c>
      <c r="M224" t="s">
        <v>299</v>
      </c>
      <c r="N224">
        <f t="shared" si="148"/>
        <v>6.3</v>
      </c>
      <c r="O224">
        <f t="shared" si="149"/>
        <v>8.3000000000000007</v>
      </c>
      <c r="P224">
        <v>0</v>
      </c>
      <c r="Q224">
        <v>0</v>
      </c>
      <c r="R224" s="2">
        <f t="shared" si="150"/>
        <v>6</v>
      </c>
      <c r="S224" s="2">
        <f t="shared" si="151"/>
        <v>8</v>
      </c>
      <c r="T224" s="2">
        <f t="shared" si="152"/>
        <v>14</v>
      </c>
      <c r="U224" t="str">
        <f t="shared" si="146"/>
        <v>water</v>
      </c>
      <c r="V224" t="str">
        <f>IF(D224 = 0, "", D224)</f>
        <v>ground</v>
      </c>
      <c r="W224" t="s">
        <v>14</v>
      </c>
      <c r="X224" t="s">
        <v>3</v>
      </c>
      <c r="Z224" s="2" t="str">
        <f t="shared" si="147"/>
        <v/>
      </c>
      <c r="AA224" t="str">
        <f t="shared" si="206"/>
        <v>Quagsire</v>
      </c>
      <c r="AC224" t="s">
        <v>829</v>
      </c>
      <c r="AD224" t="str">
        <f>VLOOKUP(AC224,moves!A:B,2,FALSE)</f>
        <v>water</v>
      </c>
      <c r="AE224">
        <f>VLOOKUP(AC224,moves!A:D,4,FALSE)</f>
        <v>4</v>
      </c>
      <c r="AF224">
        <f>VLOOKUP(AC224,moves!A:F,5,FALSE)</f>
        <v>0</v>
      </c>
      <c r="AG224">
        <v>0</v>
      </c>
      <c r="AH224">
        <v>0</v>
      </c>
      <c r="AI224" t="str" cm="1">
        <f t="array" ref="AI224">_xlfn.IFS(AG224=1, "starter", AH224=1, "legendary",T224&lt; 13, "weak",T224&lt; 17, "moderate", TRUE, "strong")</f>
        <v>moderate</v>
      </c>
      <c r="AK224">
        <v>2</v>
      </c>
      <c r="AL224">
        <v>0</v>
      </c>
      <c r="AM224">
        <v>0</v>
      </c>
    </row>
    <row r="225" spans="1:39" x14ac:dyDescent="0.25">
      <c r="A225">
        <v>63</v>
      </c>
      <c r="B225" t="s">
        <v>25</v>
      </c>
      <c r="C225" t="s">
        <v>26</v>
      </c>
      <c r="D225"/>
      <c r="E225">
        <v>25</v>
      </c>
      <c r="F225">
        <v>20</v>
      </c>
      <c r="G225">
        <v>15</v>
      </c>
      <c r="H225">
        <v>105</v>
      </c>
      <c r="I225">
        <v>55</v>
      </c>
      <c r="J225">
        <v>90</v>
      </c>
      <c r="K225" t="s">
        <v>258</v>
      </c>
      <c r="L225" t="s">
        <v>301</v>
      </c>
      <c r="M225" t="s">
        <v>300</v>
      </c>
      <c r="N225">
        <f t="shared" si="148"/>
        <v>9.0500000000000007</v>
      </c>
      <c r="O225">
        <f t="shared" si="149"/>
        <v>3.1</v>
      </c>
      <c r="P225">
        <v>0</v>
      </c>
      <c r="Q225">
        <v>0</v>
      </c>
      <c r="R225" s="2">
        <f t="shared" si="150"/>
        <v>9</v>
      </c>
      <c r="S225" s="2">
        <f t="shared" si="151"/>
        <v>3</v>
      </c>
      <c r="T225" s="2">
        <f t="shared" si="152"/>
        <v>12</v>
      </c>
      <c r="U225" t="str">
        <f t="shared" si="146"/>
        <v>psychic</v>
      </c>
      <c r="V225" t="s">
        <v>8</v>
      </c>
      <c r="W225" t="s">
        <v>42</v>
      </c>
      <c r="X225" t="s">
        <v>16</v>
      </c>
      <c r="Y225" t="str">
        <f>B226</f>
        <v>Kadabra</v>
      </c>
      <c r="Z225" s="2">
        <f t="shared" si="147"/>
        <v>5</v>
      </c>
      <c r="AA225" t="str">
        <f t="shared" si="206"/>
        <v>Abra</v>
      </c>
      <c r="AC225" t="s">
        <v>541</v>
      </c>
      <c r="AD225" t="str">
        <f>VLOOKUP(AC225,moves!A:B,2,FALSE)</f>
        <v>psychic</v>
      </c>
      <c r="AE225">
        <f>VLOOKUP(AC225,moves!A:D,4,FALSE)</f>
        <v>1</v>
      </c>
      <c r="AF225" t="str">
        <f>VLOOKUP(AC225,moves!A:F,5,FALSE)</f>
        <v>switch</v>
      </c>
      <c r="AG225">
        <v>0</v>
      </c>
      <c r="AH225">
        <v>0</v>
      </c>
      <c r="AI225" t="str" cm="1">
        <f t="array" ref="AI225">_xlfn.IFS(AG225=1, "starter", AH225=1, "legendary",T225&lt; 13, "weak",T225&lt; 17, "moderate", TRUE, "strong")</f>
        <v>weak</v>
      </c>
      <c r="AK225">
        <v>1</v>
      </c>
      <c r="AL225">
        <v>0</v>
      </c>
      <c r="AM225">
        <v>0</v>
      </c>
    </row>
    <row r="226" spans="1:39" x14ac:dyDescent="0.25">
      <c r="A226">
        <v>64</v>
      </c>
      <c r="B226" t="s">
        <v>27</v>
      </c>
      <c r="C226" t="s">
        <v>26</v>
      </c>
      <c r="D226"/>
      <c r="E226">
        <v>40</v>
      </c>
      <c r="F226">
        <v>35</v>
      </c>
      <c r="G226">
        <v>30</v>
      </c>
      <c r="H226">
        <v>120</v>
      </c>
      <c r="I226">
        <v>70</v>
      </c>
      <c r="J226">
        <v>105</v>
      </c>
      <c r="K226" t="s">
        <v>258</v>
      </c>
      <c r="L226" t="s">
        <v>301</v>
      </c>
      <c r="M226" t="s">
        <v>300</v>
      </c>
      <c r="N226">
        <f t="shared" si="148"/>
        <v>10.55</v>
      </c>
      <c r="O226">
        <f t="shared" si="149"/>
        <v>4.5999999999999996</v>
      </c>
      <c r="P226">
        <v>0</v>
      </c>
      <c r="Q226">
        <v>0</v>
      </c>
      <c r="R226" s="2">
        <f t="shared" si="150"/>
        <v>11</v>
      </c>
      <c r="S226" s="2">
        <f t="shared" si="151"/>
        <v>5</v>
      </c>
      <c r="T226" s="2">
        <f t="shared" si="152"/>
        <v>16</v>
      </c>
      <c r="U226" t="str">
        <f t="shared" si="146"/>
        <v>psychic</v>
      </c>
      <c r="V226" t="s">
        <v>8</v>
      </c>
      <c r="W226" t="s">
        <v>42</v>
      </c>
      <c r="X226" t="s">
        <v>16</v>
      </c>
      <c r="Y226" t="str">
        <f>B227</f>
        <v>Alakazam</v>
      </c>
      <c r="Z226" s="2">
        <f t="shared" si="147"/>
        <v>4</v>
      </c>
      <c r="AA226" t="str">
        <f t="shared" si="206"/>
        <v>Kadabra</v>
      </c>
      <c r="AC226" t="s">
        <v>822</v>
      </c>
      <c r="AD226" t="str">
        <f>VLOOKUP(AC226,moves!A:B,2,FALSE)</f>
        <v>psychic</v>
      </c>
      <c r="AE226">
        <f>VLOOKUP(AC226,moves!A:D,4,FALSE)</f>
        <v>3</v>
      </c>
      <c r="AF226">
        <f>VLOOKUP(AC226,moves!A:F,5,FALSE)</f>
        <v>0</v>
      </c>
      <c r="AG226">
        <v>0</v>
      </c>
      <c r="AH226">
        <v>0</v>
      </c>
      <c r="AI226" t="str" cm="1">
        <f t="array" ref="AI226">_xlfn.IFS(AG226=1, "starter", AH226=1, "legendary",T226&lt; 13, "weak",T226&lt; 17, "moderate", TRUE, "strong")</f>
        <v>moderate</v>
      </c>
      <c r="AK226">
        <v>2</v>
      </c>
      <c r="AL226">
        <v>0</v>
      </c>
      <c r="AM226">
        <v>0</v>
      </c>
    </row>
    <row r="227" spans="1:39" x14ac:dyDescent="0.25">
      <c r="A227">
        <v>65</v>
      </c>
      <c r="B227" t="s">
        <v>28</v>
      </c>
      <c r="C227" t="s">
        <v>26</v>
      </c>
      <c r="D227"/>
      <c r="E227">
        <v>55</v>
      </c>
      <c r="F227">
        <v>50</v>
      </c>
      <c r="G227">
        <v>45</v>
      </c>
      <c r="H227">
        <v>135</v>
      </c>
      <c r="I227">
        <v>95</v>
      </c>
      <c r="J227">
        <v>120</v>
      </c>
      <c r="K227" t="s">
        <v>258</v>
      </c>
      <c r="L227" t="s">
        <v>301</v>
      </c>
      <c r="M227" t="s">
        <v>300</v>
      </c>
      <c r="N227">
        <f t="shared" si="148"/>
        <v>12.05</v>
      </c>
      <c r="O227">
        <f t="shared" si="149"/>
        <v>6.4</v>
      </c>
      <c r="P227">
        <v>0</v>
      </c>
      <c r="Q227">
        <v>0</v>
      </c>
      <c r="R227" s="2">
        <f t="shared" si="150"/>
        <v>12</v>
      </c>
      <c r="S227" s="2">
        <f t="shared" si="151"/>
        <v>6</v>
      </c>
      <c r="T227" s="2">
        <f t="shared" si="152"/>
        <v>18</v>
      </c>
      <c r="U227" t="str">
        <f t="shared" si="146"/>
        <v>psychic</v>
      </c>
      <c r="V227" t="s">
        <v>8</v>
      </c>
      <c r="W227" t="s">
        <v>42</v>
      </c>
      <c r="X227" t="s">
        <v>16</v>
      </c>
      <c r="Z227" s="2" t="str">
        <f t="shared" si="147"/>
        <v/>
      </c>
      <c r="AA227" t="str">
        <f t="shared" si="206"/>
        <v>Alakazam</v>
      </c>
      <c r="AC227" t="s">
        <v>496</v>
      </c>
      <c r="AD227" t="str">
        <f>VLOOKUP(AC227,moves!A:B,2,FALSE)</f>
        <v>psychic</v>
      </c>
      <c r="AE227">
        <f>VLOOKUP(AC227,moves!A:D,4,FALSE)</f>
        <v>5</v>
      </c>
      <c r="AF227">
        <f>VLOOKUP(AC227,moves!A:F,5,FALSE)</f>
        <v>0</v>
      </c>
      <c r="AG227">
        <v>0</v>
      </c>
      <c r="AH227">
        <v>0</v>
      </c>
      <c r="AI227" t="str" cm="1">
        <f t="array" ref="AI227">_xlfn.IFS(AG227=1, "starter", AH227=1, "legendary",T227&lt; 13, "weak",T227&lt; 17, "moderate", TRUE, "strong")</f>
        <v>strong</v>
      </c>
      <c r="AK227">
        <v>3</v>
      </c>
      <c r="AL227">
        <v>0</v>
      </c>
      <c r="AM227">
        <v>0</v>
      </c>
    </row>
    <row r="228" spans="1:39" x14ac:dyDescent="0.25">
      <c r="A228">
        <v>37</v>
      </c>
      <c r="B228" t="s">
        <v>18</v>
      </c>
      <c r="C228" t="s">
        <v>4</v>
      </c>
      <c r="D228"/>
      <c r="E228">
        <v>38</v>
      </c>
      <c r="F228">
        <v>41</v>
      </c>
      <c r="G228">
        <v>40</v>
      </c>
      <c r="H228">
        <v>50</v>
      </c>
      <c r="I228">
        <v>65</v>
      </c>
      <c r="J228">
        <v>65</v>
      </c>
      <c r="K228" t="s">
        <v>253</v>
      </c>
      <c r="L228" t="s">
        <v>301</v>
      </c>
      <c r="M228" t="s">
        <v>300</v>
      </c>
      <c r="N228">
        <f t="shared" si="148"/>
        <v>5.51</v>
      </c>
      <c r="O228">
        <f t="shared" si="149"/>
        <v>4.67</v>
      </c>
      <c r="P228">
        <v>0</v>
      </c>
      <c r="Q228">
        <v>0</v>
      </c>
      <c r="R228" s="2">
        <f t="shared" si="150"/>
        <v>6</v>
      </c>
      <c r="S228" s="2">
        <f t="shared" si="151"/>
        <v>5</v>
      </c>
      <c r="T228" s="2">
        <f t="shared" si="152"/>
        <v>11</v>
      </c>
      <c r="U228" t="str">
        <f t="shared" ref="U228:U237" si="215">C228</f>
        <v>fire</v>
      </c>
      <c r="V228" t="s">
        <v>8</v>
      </c>
      <c r="W228" t="s">
        <v>42</v>
      </c>
      <c r="X228" t="s">
        <v>9</v>
      </c>
      <c r="Y228" t="str">
        <f>B229</f>
        <v>Ninetales</v>
      </c>
      <c r="Z228" s="2">
        <f t="shared" ref="Z228:Z290" si="216">IF(ISBLANK(Y228), "", ROUND(( (T229-6)*(T229-7) - (T228-6)*(T228-7) )/15, 0) + 1)</f>
        <v>7</v>
      </c>
      <c r="AA228" t="str">
        <f t="shared" si="206"/>
        <v>Vulpix</v>
      </c>
      <c r="AC228" t="s">
        <v>824</v>
      </c>
      <c r="AD228" t="str">
        <f>VLOOKUP(AC228,moves!A:B,2,FALSE)</f>
        <v>fire</v>
      </c>
      <c r="AE228">
        <f>VLOOKUP(AC228,moves!A:D,4,FALSE)</f>
        <v>2</v>
      </c>
      <c r="AF228">
        <f>VLOOKUP(AC228,moves!A:F,5,FALSE)</f>
        <v>0</v>
      </c>
      <c r="AG228">
        <v>0</v>
      </c>
      <c r="AH228">
        <v>0</v>
      </c>
      <c r="AI228" t="str" cm="1">
        <f t="array" ref="AI228">_xlfn.IFS(AG228=1, "starter", AH228=1, "legendary",T228&lt; 13, "weak",T228&lt; 17, "moderate", TRUE, "strong")</f>
        <v>weak</v>
      </c>
      <c r="AK228">
        <v>1</v>
      </c>
      <c r="AL228">
        <v>0</v>
      </c>
      <c r="AM228">
        <v>0</v>
      </c>
    </row>
    <row r="229" spans="1:39" x14ac:dyDescent="0.25">
      <c r="A229">
        <v>38</v>
      </c>
      <c r="B229" t="s">
        <v>19</v>
      </c>
      <c r="C229" t="s">
        <v>4</v>
      </c>
      <c r="D229"/>
      <c r="E229">
        <v>73</v>
      </c>
      <c r="F229">
        <v>67</v>
      </c>
      <c r="G229">
        <v>75</v>
      </c>
      <c r="H229">
        <v>81</v>
      </c>
      <c r="I229">
        <v>100</v>
      </c>
      <c r="J229">
        <v>109</v>
      </c>
      <c r="K229" t="s">
        <v>253</v>
      </c>
      <c r="L229" t="s">
        <v>301</v>
      </c>
      <c r="M229" t="s">
        <v>300</v>
      </c>
      <c r="N229">
        <f t="shared" ref="N229:N306" si="217">(0.4*J229 + 0.5*MAX(F229,H229) + 0.1*MIN(F229,H229)) / 10</f>
        <v>9.08</v>
      </c>
      <c r="O229">
        <f t="shared" ref="O229:O306" si="218">(0.4*E229 + 0.3*G229 + 0.3*I229) / 10</f>
        <v>8.17</v>
      </c>
      <c r="P229">
        <v>0</v>
      </c>
      <c r="Q229">
        <v>0</v>
      </c>
      <c r="R229" s="2">
        <f t="shared" ref="R229:R306" si="219">ROUND(N229,0)+P229</f>
        <v>9</v>
      </c>
      <c r="S229" s="2">
        <f t="shared" ref="S229:S306" si="220">ROUND(O229,0)+Q229</f>
        <v>8</v>
      </c>
      <c r="T229" s="2">
        <f t="shared" ref="T229:T384" si="221">SUM(ROUND(R229,0),ROUND(S229,0))</f>
        <v>17</v>
      </c>
      <c r="U229" t="str">
        <f t="shared" si="215"/>
        <v>fire</v>
      </c>
      <c r="V229" t="s">
        <v>8</v>
      </c>
      <c r="W229" t="s">
        <v>42</v>
      </c>
      <c r="X229" t="s">
        <v>9</v>
      </c>
      <c r="Z229" s="2" t="str">
        <f t="shared" si="216"/>
        <v/>
      </c>
      <c r="AA229" t="str">
        <f t="shared" si="206"/>
        <v>Ninetales</v>
      </c>
      <c r="AC229" t="s">
        <v>479</v>
      </c>
      <c r="AD229" t="str">
        <f>VLOOKUP(AC229,moves!A:B,2,FALSE)</f>
        <v>fire</v>
      </c>
      <c r="AE229">
        <f>VLOOKUP(AC229,moves!A:D,4,FALSE)</f>
        <v>5</v>
      </c>
      <c r="AF229">
        <f>VLOOKUP(AC229,moves!A:F,5,FALSE)</f>
        <v>0</v>
      </c>
      <c r="AG229">
        <v>0</v>
      </c>
      <c r="AH229">
        <v>0</v>
      </c>
      <c r="AI229" t="str" cm="1">
        <f t="array" ref="AI229">_xlfn.IFS(AG229=1, "starter", AH229=1, "legendary",T229&lt; 13, "weak",T229&lt; 17, "moderate", TRUE, "strong")</f>
        <v>strong</v>
      </c>
      <c r="AK229">
        <v>2</v>
      </c>
      <c r="AL229">
        <v>0</v>
      </c>
      <c r="AM229">
        <v>0</v>
      </c>
    </row>
    <row r="230" spans="1:39" x14ac:dyDescent="0.25">
      <c r="A230">
        <v>74</v>
      </c>
      <c r="B230" t="s">
        <v>32</v>
      </c>
      <c r="C230" t="s">
        <v>33</v>
      </c>
      <c r="D230" t="s">
        <v>13</v>
      </c>
      <c r="E230">
        <v>40</v>
      </c>
      <c r="F230">
        <v>80</v>
      </c>
      <c r="G230">
        <v>100</v>
      </c>
      <c r="H230">
        <v>30</v>
      </c>
      <c r="I230">
        <v>30</v>
      </c>
      <c r="J230">
        <v>20</v>
      </c>
      <c r="K230" t="s">
        <v>260</v>
      </c>
      <c r="L230" t="s">
        <v>304</v>
      </c>
      <c r="M230" t="s">
        <v>300</v>
      </c>
      <c r="N230">
        <f t="shared" si="217"/>
        <v>5.0999999999999996</v>
      </c>
      <c r="O230">
        <f t="shared" si="218"/>
        <v>5.5</v>
      </c>
      <c r="P230">
        <v>0</v>
      </c>
      <c r="Q230">
        <v>0</v>
      </c>
      <c r="R230" s="2">
        <f t="shared" si="219"/>
        <v>5</v>
      </c>
      <c r="S230" s="2">
        <f t="shared" si="220"/>
        <v>6</v>
      </c>
      <c r="T230" s="2">
        <f t="shared" si="221"/>
        <v>11</v>
      </c>
      <c r="U230" t="str">
        <f t="shared" si="215"/>
        <v>rock</v>
      </c>
      <c r="V230" t="str">
        <f>IF(D230 = 0, "", D230)</f>
        <v>ground</v>
      </c>
      <c r="W230" t="s">
        <v>8</v>
      </c>
      <c r="X230" t="s">
        <v>4</v>
      </c>
      <c r="Y230" t="str">
        <f>B231</f>
        <v>Graveler</v>
      </c>
      <c r="Z230" s="2">
        <f t="shared" si="216"/>
        <v>3</v>
      </c>
      <c r="AA230" t="str">
        <f t="shared" si="206"/>
        <v>Geodude</v>
      </c>
      <c r="AC230" t="s">
        <v>640</v>
      </c>
      <c r="AD230" t="str">
        <f>VLOOKUP(AC230,moves!A:B,2,FALSE)</f>
        <v>rock</v>
      </c>
      <c r="AE230">
        <f>VLOOKUP(AC230,moves!A:D,4,FALSE)</f>
        <v>2</v>
      </c>
      <c r="AF230">
        <f>VLOOKUP(AC230,moves!A:F,5,FALSE)</f>
        <v>0</v>
      </c>
      <c r="AG230">
        <v>0</v>
      </c>
      <c r="AH230">
        <v>0</v>
      </c>
      <c r="AI230" t="str" cm="1">
        <f t="array" ref="AI230">_xlfn.IFS(AG230=1, "starter", AH230=1, "legendary",T230&lt; 13, "weak",T230&lt; 17, "moderate", TRUE, "strong")</f>
        <v>weak</v>
      </c>
      <c r="AK230">
        <v>1</v>
      </c>
      <c r="AL230">
        <v>0</v>
      </c>
      <c r="AM230">
        <v>0</v>
      </c>
    </row>
    <row r="231" spans="1:39" x14ac:dyDescent="0.25">
      <c r="A231">
        <v>75</v>
      </c>
      <c r="B231" t="s">
        <v>34</v>
      </c>
      <c r="C231" t="s">
        <v>33</v>
      </c>
      <c r="D231" t="s">
        <v>13</v>
      </c>
      <c r="E231">
        <v>55</v>
      </c>
      <c r="F231">
        <v>95</v>
      </c>
      <c r="G231">
        <v>115</v>
      </c>
      <c r="H231">
        <v>45</v>
      </c>
      <c r="I231">
        <v>45</v>
      </c>
      <c r="J231">
        <v>35</v>
      </c>
      <c r="K231" t="s">
        <v>260</v>
      </c>
      <c r="L231" t="s">
        <v>304</v>
      </c>
      <c r="M231" t="s">
        <v>300</v>
      </c>
      <c r="N231">
        <f t="shared" si="217"/>
        <v>6.6</v>
      </c>
      <c r="O231">
        <f t="shared" si="218"/>
        <v>7</v>
      </c>
      <c r="P231">
        <v>0</v>
      </c>
      <c r="Q231">
        <v>0</v>
      </c>
      <c r="R231" s="2">
        <f t="shared" si="219"/>
        <v>7</v>
      </c>
      <c r="S231" s="2">
        <f t="shared" si="220"/>
        <v>7</v>
      </c>
      <c r="T231" s="2">
        <f t="shared" si="221"/>
        <v>14</v>
      </c>
      <c r="U231" t="str">
        <f t="shared" si="215"/>
        <v>rock</v>
      </c>
      <c r="V231" t="str">
        <f>IF(D231 = 0, "", D231)</f>
        <v>ground</v>
      </c>
      <c r="W231" t="s">
        <v>8</v>
      </c>
      <c r="X231" t="s">
        <v>4</v>
      </c>
      <c r="Y231" t="str">
        <f>B232</f>
        <v>Golem</v>
      </c>
      <c r="Z231" s="2">
        <f t="shared" si="216"/>
        <v>5</v>
      </c>
      <c r="AA231" t="str">
        <f t="shared" si="206"/>
        <v>Graveler</v>
      </c>
      <c r="AC231" t="s">
        <v>587</v>
      </c>
      <c r="AD231" t="str">
        <f>VLOOKUP(AC231,moves!A:B,2,FALSE)</f>
        <v>ground</v>
      </c>
      <c r="AE231">
        <f>VLOOKUP(AC231,moves!A:D,4,FALSE)</f>
        <v>3</v>
      </c>
      <c r="AF231">
        <f>VLOOKUP(AC231,moves!A:F,5,FALSE)</f>
        <v>0</v>
      </c>
      <c r="AG231">
        <v>0</v>
      </c>
      <c r="AH231">
        <v>0</v>
      </c>
      <c r="AI231" t="str" cm="1">
        <f t="array" ref="AI231">_xlfn.IFS(AG231=1, "starter", AH231=1, "legendary",T231&lt; 13, "weak",T231&lt; 17, "moderate", TRUE, "strong")</f>
        <v>moderate</v>
      </c>
      <c r="AK231">
        <v>2</v>
      </c>
      <c r="AL231">
        <v>0</v>
      </c>
      <c r="AM231">
        <v>0</v>
      </c>
    </row>
    <row r="232" spans="1:39" x14ac:dyDescent="0.25">
      <c r="A232">
        <v>76</v>
      </c>
      <c r="B232" t="s">
        <v>35</v>
      </c>
      <c r="C232" t="s">
        <v>33</v>
      </c>
      <c r="D232" t="s">
        <v>13</v>
      </c>
      <c r="E232">
        <v>80</v>
      </c>
      <c r="F232">
        <v>120</v>
      </c>
      <c r="G232">
        <v>130</v>
      </c>
      <c r="H232">
        <v>55</v>
      </c>
      <c r="I232">
        <v>65</v>
      </c>
      <c r="J232">
        <v>45</v>
      </c>
      <c r="K232" t="s">
        <v>261</v>
      </c>
      <c r="L232" t="s">
        <v>304</v>
      </c>
      <c r="M232" t="s">
        <v>300</v>
      </c>
      <c r="N232">
        <f t="shared" si="217"/>
        <v>8.35</v>
      </c>
      <c r="O232">
        <f t="shared" si="218"/>
        <v>9.0500000000000007</v>
      </c>
      <c r="P232">
        <v>0</v>
      </c>
      <c r="Q232">
        <v>0</v>
      </c>
      <c r="R232" s="2">
        <f t="shared" si="219"/>
        <v>8</v>
      </c>
      <c r="S232" s="2">
        <f t="shared" si="220"/>
        <v>9</v>
      </c>
      <c r="T232" s="2">
        <f t="shared" si="221"/>
        <v>17</v>
      </c>
      <c r="U232" t="str">
        <f t="shared" si="215"/>
        <v>rock</v>
      </c>
      <c r="V232" t="str">
        <f>IF(D232 = 0, "", D232)</f>
        <v>ground</v>
      </c>
      <c r="W232" t="s">
        <v>8</v>
      </c>
      <c r="X232" t="s">
        <v>4</v>
      </c>
      <c r="Z232" s="2" t="str">
        <f t="shared" si="216"/>
        <v/>
      </c>
      <c r="AA232" t="str">
        <f t="shared" si="206"/>
        <v>Golem</v>
      </c>
      <c r="AC232" t="s">
        <v>518</v>
      </c>
      <c r="AD232" t="str">
        <f>VLOOKUP(AC232,moves!A:B,2,FALSE)</f>
        <v>normal</v>
      </c>
      <c r="AE232">
        <f>VLOOKUP(AC232,moves!A:D,4,FALSE)</f>
        <v>8</v>
      </c>
      <c r="AF232" t="str">
        <f>VLOOKUP(AC232,moves!A:F,5,FALSE)</f>
        <v>decisive</v>
      </c>
      <c r="AG232">
        <v>0</v>
      </c>
      <c r="AH232">
        <v>0</v>
      </c>
      <c r="AI232" t="str" cm="1">
        <f t="array" ref="AI232">_xlfn.IFS(AG232=1, "starter", AH232=1, "legendary",T232&lt; 13, "weak",T232&lt; 17, "moderate", TRUE, "strong")</f>
        <v>strong</v>
      </c>
      <c r="AK232">
        <v>3</v>
      </c>
      <c r="AL232">
        <v>0</v>
      </c>
      <c r="AM232">
        <v>0</v>
      </c>
    </row>
    <row r="233" spans="1:39" x14ac:dyDescent="0.25">
      <c r="A233">
        <v>265</v>
      </c>
      <c r="B233" t="s">
        <v>111</v>
      </c>
      <c r="C233" t="s">
        <v>7</v>
      </c>
      <c r="D233"/>
      <c r="E233">
        <v>45</v>
      </c>
      <c r="F233">
        <v>45</v>
      </c>
      <c r="G233">
        <v>35</v>
      </c>
      <c r="H233">
        <v>20</v>
      </c>
      <c r="I233">
        <v>30</v>
      </c>
      <c r="J233">
        <v>20</v>
      </c>
      <c r="K233" t="s">
        <v>248</v>
      </c>
      <c r="L233" t="s">
        <v>298</v>
      </c>
      <c r="M233" t="s">
        <v>299</v>
      </c>
      <c r="N233">
        <f t="shared" si="217"/>
        <v>3.25</v>
      </c>
      <c r="O233">
        <f t="shared" si="218"/>
        <v>3.75</v>
      </c>
      <c r="P233">
        <v>0</v>
      </c>
      <c r="Q233">
        <v>0</v>
      </c>
      <c r="R233" s="2">
        <f t="shared" si="219"/>
        <v>3</v>
      </c>
      <c r="S233" s="2">
        <f t="shared" si="220"/>
        <v>4</v>
      </c>
      <c r="T233" s="2">
        <f t="shared" si="221"/>
        <v>7</v>
      </c>
      <c r="U233" t="str">
        <f t="shared" si="215"/>
        <v>bug</v>
      </c>
      <c r="V233" t="s">
        <v>3</v>
      </c>
      <c r="W233" t="s">
        <v>8</v>
      </c>
      <c r="X233" t="s">
        <v>39</v>
      </c>
      <c r="Y233" t="s">
        <v>544</v>
      </c>
      <c r="Z233" s="2">
        <f t="shared" si="216"/>
        <v>2</v>
      </c>
      <c r="AA233" t="str">
        <f t="shared" si="206"/>
        <v>Wurmple</v>
      </c>
      <c r="AC233" t="s">
        <v>515</v>
      </c>
      <c r="AD233" t="str">
        <f>VLOOKUP(AC233,moves!A:B,2,FALSE)</f>
        <v>bug</v>
      </c>
      <c r="AE233">
        <f>VLOOKUP(AC233,moves!A:D,4,FALSE)</f>
        <v>3</v>
      </c>
      <c r="AF233">
        <f>VLOOKUP(AC233,moves!A:F,5,FALSE)</f>
        <v>0</v>
      </c>
      <c r="AG233">
        <v>0</v>
      </c>
      <c r="AH233">
        <v>0</v>
      </c>
      <c r="AI233" t="str" cm="1">
        <f t="array" ref="AI233">_xlfn.IFS(AG233=1, "starter", AH233=1, "legendary",T233&lt; 13, "weak",T233&lt; 17, "moderate", TRUE, "strong")</f>
        <v>weak</v>
      </c>
      <c r="AK233">
        <v>1</v>
      </c>
      <c r="AL233">
        <v>0</v>
      </c>
      <c r="AM233">
        <v>0</v>
      </c>
    </row>
    <row r="234" spans="1:39" x14ac:dyDescent="0.25">
      <c r="A234">
        <v>266</v>
      </c>
      <c r="B234" t="s">
        <v>112</v>
      </c>
      <c r="C234" t="s">
        <v>7</v>
      </c>
      <c r="D234"/>
      <c r="E234">
        <v>50</v>
      </c>
      <c r="F234">
        <v>35</v>
      </c>
      <c r="G234">
        <v>55</v>
      </c>
      <c r="H234">
        <v>25</v>
      </c>
      <c r="I234">
        <v>25</v>
      </c>
      <c r="J234">
        <v>15</v>
      </c>
      <c r="K234" t="s">
        <v>249</v>
      </c>
      <c r="L234" t="s">
        <v>298</v>
      </c>
      <c r="M234" t="s">
        <v>299</v>
      </c>
      <c r="N234">
        <f t="shared" si="217"/>
        <v>2.6</v>
      </c>
      <c r="O234">
        <f t="shared" si="218"/>
        <v>4.4000000000000004</v>
      </c>
      <c r="P234">
        <v>-1</v>
      </c>
      <c r="Q234">
        <v>4</v>
      </c>
      <c r="R234" s="2">
        <f t="shared" si="219"/>
        <v>2</v>
      </c>
      <c r="S234" s="2">
        <f t="shared" si="220"/>
        <v>8</v>
      </c>
      <c r="T234" s="2">
        <f t="shared" si="221"/>
        <v>10</v>
      </c>
      <c r="U234" t="str">
        <f t="shared" si="215"/>
        <v>bug</v>
      </c>
      <c r="V234" t="s">
        <v>3</v>
      </c>
      <c r="W234" t="s">
        <v>8</v>
      </c>
      <c r="X234" t="s">
        <v>39</v>
      </c>
      <c r="Y234" t="str">
        <f>B235</f>
        <v>Beautifly</v>
      </c>
      <c r="Z234" s="2">
        <f t="shared" si="216"/>
        <v>3</v>
      </c>
      <c r="AA234" t="str">
        <f t="shared" si="206"/>
        <v>Silcoon</v>
      </c>
      <c r="AC234" t="s">
        <v>867</v>
      </c>
      <c r="AD234" t="str">
        <f>VLOOKUP(AC234,moves!A:B,2,FALSE)</f>
        <v>poison</v>
      </c>
      <c r="AE234">
        <f>VLOOKUP(AC234,moves!A:D,4,FALSE)</f>
        <v>1</v>
      </c>
      <c r="AF234">
        <f>VLOOKUP(AC234,moves!A:F,5,FALSE)</f>
        <v>0</v>
      </c>
      <c r="AG234">
        <v>0</v>
      </c>
      <c r="AH234">
        <v>0</v>
      </c>
      <c r="AI234" t="str" cm="1">
        <f t="array" ref="AI234">_xlfn.IFS(AG234=1, "starter", AH234=1, "legendary",T234&lt; 13, "weak",T234&lt; 17, "moderate", TRUE, "strong")</f>
        <v>weak</v>
      </c>
      <c r="AK234">
        <v>2</v>
      </c>
      <c r="AL234">
        <v>0</v>
      </c>
      <c r="AM234">
        <v>0</v>
      </c>
    </row>
    <row r="235" spans="1:39" x14ac:dyDescent="0.25">
      <c r="A235">
        <v>267</v>
      </c>
      <c r="B235" t="s">
        <v>113</v>
      </c>
      <c r="C235" t="s">
        <v>7</v>
      </c>
      <c r="D235" t="s">
        <v>5</v>
      </c>
      <c r="E235">
        <v>60</v>
      </c>
      <c r="F235">
        <v>70</v>
      </c>
      <c r="G235">
        <v>50</v>
      </c>
      <c r="H235">
        <v>100</v>
      </c>
      <c r="I235">
        <v>50</v>
      </c>
      <c r="J235">
        <v>65</v>
      </c>
      <c r="K235" t="s">
        <v>250</v>
      </c>
      <c r="L235" t="s">
        <v>298</v>
      </c>
      <c r="M235" t="s">
        <v>299</v>
      </c>
      <c r="N235">
        <f t="shared" si="217"/>
        <v>8.3000000000000007</v>
      </c>
      <c r="O235">
        <f t="shared" si="218"/>
        <v>5.4</v>
      </c>
      <c r="P235">
        <v>0</v>
      </c>
      <c r="Q235">
        <v>0</v>
      </c>
      <c r="R235" s="2">
        <f t="shared" si="219"/>
        <v>8</v>
      </c>
      <c r="S235" s="2">
        <f t="shared" si="220"/>
        <v>5</v>
      </c>
      <c r="T235" s="2">
        <f t="shared" si="221"/>
        <v>13</v>
      </c>
      <c r="U235" t="str">
        <f t="shared" si="215"/>
        <v>bug</v>
      </c>
      <c r="V235" t="str">
        <f>IF(D235 = 0, "", D235)</f>
        <v>flying</v>
      </c>
      <c r="W235" t="s">
        <v>3</v>
      </c>
      <c r="X235" t="s">
        <v>2</v>
      </c>
      <c r="Z235" s="2" t="str">
        <f t="shared" si="216"/>
        <v/>
      </c>
      <c r="AA235" t="str">
        <f t="shared" si="206"/>
        <v>Beautifly</v>
      </c>
      <c r="AC235" t="s">
        <v>488</v>
      </c>
      <c r="AD235" t="str">
        <f>VLOOKUP(AC235,moves!A:B,2,FALSE)</f>
        <v>grass</v>
      </c>
      <c r="AE235">
        <f>VLOOKUP(AC235,moves!A:D,4,FALSE)</f>
        <v>4</v>
      </c>
      <c r="AF235">
        <f>VLOOKUP(AC235,moves!A:F,5,FALSE)</f>
        <v>0</v>
      </c>
      <c r="AG235">
        <v>0</v>
      </c>
      <c r="AH235">
        <v>0</v>
      </c>
      <c r="AI235" t="str" cm="1">
        <f t="array" ref="AI235">_xlfn.IFS(AG235=1, "starter", AH235=1, "legendary",T235&lt; 13, "weak",T235&lt; 17, "moderate", TRUE, "strong")</f>
        <v>moderate</v>
      </c>
      <c r="AK235">
        <v>3</v>
      </c>
      <c r="AL235">
        <v>0</v>
      </c>
      <c r="AM235">
        <v>0</v>
      </c>
    </row>
    <row r="236" spans="1:39" x14ac:dyDescent="0.25">
      <c r="A236">
        <v>268</v>
      </c>
      <c r="B236" t="s">
        <v>114</v>
      </c>
      <c r="C236" t="s">
        <v>7</v>
      </c>
      <c r="D236"/>
      <c r="E236">
        <v>50</v>
      </c>
      <c r="F236">
        <v>35</v>
      </c>
      <c r="G236">
        <v>55</v>
      </c>
      <c r="H236">
        <v>25</v>
      </c>
      <c r="I236">
        <v>25</v>
      </c>
      <c r="J236">
        <v>15</v>
      </c>
      <c r="K236" t="s">
        <v>249</v>
      </c>
      <c r="L236" t="s">
        <v>298</v>
      </c>
      <c r="M236" t="s">
        <v>299</v>
      </c>
      <c r="N236">
        <f t="shared" si="217"/>
        <v>2.6</v>
      </c>
      <c r="O236">
        <f t="shared" si="218"/>
        <v>4.4000000000000004</v>
      </c>
      <c r="P236">
        <v>-1</v>
      </c>
      <c r="Q236">
        <v>4</v>
      </c>
      <c r="R236" s="2">
        <f t="shared" si="219"/>
        <v>2</v>
      </c>
      <c r="S236" s="2">
        <f t="shared" si="220"/>
        <v>8</v>
      </c>
      <c r="T236" s="2">
        <f t="shared" si="221"/>
        <v>10</v>
      </c>
      <c r="U236" t="str">
        <f t="shared" si="215"/>
        <v>bug</v>
      </c>
      <c r="V236" t="s">
        <v>3</v>
      </c>
      <c r="W236" t="s">
        <v>8</v>
      </c>
      <c r="X236" t="s">
        <v>39</v>
      </c>
      <c r="Y236" t="str">
        <f>B237</f>
        <v>Dustox</v>
      </c>
      <c r="Z236" s="2">
        <f t="shared" si="216"/>
        <v>3</v>
      </c>
      <c r="AA236" t="str">
        <f t="shared" si="206"/>
        <v>Cascoon</v>
      </c>
      <c r="AC236" t="s">
        <v>867</v>
      </c>
      <c r="AD236" t="str">
        <f>VLOOKUP(AC236,moves!A:B,2,FALSE)</f>
        <v>poison</v>
      </c>
      <c r="AE236">
        <f>VLOOKUP(AC236,moves!A:D,4,FALSE)</f>
        <v>1</v>
      </c>
      <c r="AF236">
        <f>VLOOKUP(AC236,moves!A:F,5,FALSE)</f>
        <v>0</v>
      </c>
      <c r="AG236">
        <v>0</v>
      </c>
      <c r="AH236">
        <v>0</v>
      </c>
      <c r="AI236" t="str" cm="1">
        <f t="array" ref="AI236">_xlfn.IFS(AG236=1, "starter", AH236=1, "legendary",T236&lt; 13, "weak",T236&lt; 17, "moderate", TRUE, "strong")</f>
        <v>weak</v>
      </c>
      <c r="AK236">
        <v>2</v>
      </c>
      <c r="AL236">
        <v>0</v>
      </c>
      <c r="AM236">
        <v>0</v>
      </c>
    </row>
    <row r="237" spans="1:39" x14ac:dyDescent="0.25">
      <c r="A237">
        <v>269</v>
      </c>
      <c r="B237" t="s">
        <v>115</v>
      </c>
      <c r="C237" t="s">
        <v>7</v>
      </c>
      <c r="D237" t="s">
        <v>3</v>
      </c>
      <c r="E237">
        <v>60</v>
      </c>
      <c r="F237">
        <v>50</v>
      </c>
      <c r="G237">
        <v>70</v>
      </c>
      <c r="H237">
        <v>50</v>
      </c>
      <c r="I237">
        <v>90</v>
      </c>
      <c r="J237">
        <v>65</v>
      </c>
      <c r="K237" t="s">
        <v>255</v>
      </c>
      <c r="L237" t="s">
        <v>298</v>
      </c>
      <c r="M237" t="s">
        <v>299</v>
      </c>
      <c r="N237">
        <f t="shared" si="217"/>
        <v>5.6</v>
      </c>
      <c r="O237">
        <f t="shared" si="218"/>
        <v>7.2</v>
      </c>
      <c r="P237">
        <v>0</v>
      </c>
      <c r="Q237">
        <v>0</v>
      </c>
      <c r="R237" s="2">
        <f t="shared" si="219"/>
        <v>6</v>
      </c>
      <c r="S237" s="2">
        <f t="shared" si="220"/>
        <v>7</v>
      </c>
      <c r="T237" s="2">
        <f t="shared" si="221"/>
        <v>13</v>
      </c>
      <c r="U237" t="str">
        <f t="shared" si="215"/>
        <v>bug</v>
      </c>
      <c r="V237" t="str">
        <f>IF(D237 = 0, "", D237)</f>
        <v>poison</v>
      </c>
      <c r="W237" t="s">
        <v>42</v>
      </c>
      <c r="X237" t="s">
        <v>26</v>
      </c>
      <c r="Z237" s="2" t="str">
        <f t="shared" si="216"/>
        <v/>
      </c>
      <c r="AA237" t="str">
        <f t="shared" si="206"/>
        <v>Dustox</v>
      </c>
      <c r="AC237" t="s">
        <v>600</v>
      </c>
      <c r="AD237" t="str">
        <f>VLOOKUP(AC237,moves!A:B,2,FALSE)</f>
        <v>bug</v>
      </c>
      <c r="AE237">
        <f>VLOOKUP(AC237,moves!A:D,4,FALSE)</f>
        <v>4</v>
      </c>
      <c r="AF237">
        <f>VLOOKUP(AC237,moves!A:F,5,FALSE)</f>
        <v>0</v>
      </c>
      <c r="AG237">
        <v>0</v>
      </c>
      <c r="AH237">
        <v>0</v>
      </c>
      <c r="AI237" t="str" cm="1">
        <f t="array" ref="AI237">_xlfn.IFS(AG237=1, "starter", AH237=1, "legendary",T237&lt; 13, "weak",T237&lt; 17, "moderate", TRUE, "strong")</f>
        <v>moderate</v>
      </c>
      <c r="AK237">
        <v>3</v>
      </c>
      <c r="AL237">
        <v>0</v>
      </c>
      <c r="AM237">
        <v>0</v>
      </c>
    </row>
    <row r="238" spans="1:39" x14ac:dyDescent="0.25">
      <c r="A238">
        <v>333</v>
      </c>
      <c r="B238" t="s">
        <v>124</v>
      </c>
      <c r="C238" t="s">
        <v>8</v>
      </c>
      <c r="D238" t="s">
        <v>5</v>
      </c>
      <c r="E238">
        <v>45</v>
      </c>
      <c r="F238">
        <v>40</v>
      </c>
      <c r="G238">
        <v>60</v>
      </c>
      <c r="H238">
        <v>40</v>
      </c>
      <c r="I238">
        <v>75</v>
      </c>
      <c r="J238">
        <v>50</v>
      </c>
      <c r="K238" t="s">
        <v>293</v>
      </c>
      <c r="L238" t="s">
        <v>301</v>
      </c>
      <c r="M238" t="s">
        <v>300</v>
      </c>
      <c r="N238">
        <f t="shared" si="217"/>
        <v>4.4000000000000004</v>
      </c>
      <c r="O238">
        <f t="shared" si="218"/>
        <v>5.85</v>
      </c>
      <c r="P238">
        <v>0</v>
      </c>
      <c r="Q238">
        <v>0</v>
      </c>
      <c r="R238" s="2">
        <f t="shared" si="219"/>
        <v>4</v>
      </c>
      <c r="S238" s="2">
        <f t="shared" si="220"/>
        <v>6</v>
      </c>
      <c r="T238" s="2">
        <f t="shared" si="221"/>
        <v>10</v>
      </c>
      <c r="U238" t="s">
        <v>67</v>
      </c>
      <c r="V238" t="str">
        <f>IF(D238 = 0, "", D238)</f>
        <v>flying</v>
      </c>
      <c r="W238" t="s">
        <v>16</v>
      </c>
      <c r="X238" t="s">
        <v>8</v>
      </c>
      <c r="Y238" t="str">
        <f>B239</f>
        <v>Altaria</v>
      </c>
      <c r="Z238" s="2">
        <f t="shared" si="216"/>
        <v>6</v>
      </c>
      <c r="AA238" t="str">
        <f t="shared" si="206"/>
        <v>Swablu</v>
      </c>
      <c r="AC238" t="s">
        <v>545</v>
      </c>
      <c r="AD238" t="str">
        <f>VLOOKUP(AC238,moves!A:B,2,FALSE)</f>
        <v>normal</v>
      </c>
      <c r="AE238">
        <f>VLOOKUP(AC238,moves!A:D,4,FALSE)</f>
        <v>1</v>
      </c>
      <c r="AF238">
        <f>VLOOKUP(AC238,moves!A:F,5,FALSE)</f>
        <v>0</v>
      </c>
      <c r="AG238">
        <v>0</v>
      </c>
      <c r="AH238">
        <v>0</v>
      </c>
      <c r="AI238" t="str" cm="1">
        <f t="array" ref="AI238">_xlfn.IFS(AG238=1, "starter", AH238=1, "legendary",T238&lt; 13, "weak",T238&lt; 17, "moderate", TRUE, "strong")</f>
        <v>weak</v>
      </c>
      <c r="AK238">
        <v>1</v>
      </c>
      <c r="AL238">
        <v>0</v>
      </c>
      <c r="AM238">
        <v>0</v>
      </c>
    </row>
    <row r="239" spans="1:39" x14ac:dyDescent="0.25">
      <c r="A239">
        <v>334</v>
      </c>
      <c r="B239" t="s">
        <v>125</v>
      </c>
      <c r="C239" t="s">
        <v>67</v>
      </c>
      <c r="D239" t="s">
        <v>5</v>
      </c>
      <c r="E239">
        <v>75</v>
      </c>
      <c r="F239">
        <v>70</v>
      </c>
      <c r="G239">
        <v>90</v>
      </c>
      <c r="H239">
        <v>70</v>
      </c>
      <c r="I239">
        <v>105</v>
      </c>
      <c r="J239">
        <v>80</v>
      </c>
      <c r="K239" t="s">
        <v>294</v>
      </c>
      <c r="L239" t="s">
        <v>301</v>
      </c>
      <c r="M239" t="s">
        <v>300</v>
      </c>
      <c r="N239">
        <f t="shared" si="217"/>
        <v>7.4</v>
      </c>
      <c r="O239">
        <f t="shared" si="218"/>
        <v>8.85</v>
      </c>
      <c r="P239">
        <v>0</v>
      </c>
      <c r="Q239">
        <v>0</v>
      </c>
      <c r="R239" s="2">
        <f t="shared" si="219"/>
        <v>7</v>
      </c>
      <c r="S239" s="2">
        <f t="shared" si="220"/>
        <v>9</v>
      </c>
      <c r="T239" s="2">
        <f t="shared" si="221"/>
        <v>16</v>
      </c>
      <c r="U239" t="s">
        <v>67</v>
      </c>
      <c r="V239" t="str">
        <f>IF(D239 = 0, "", D239)</f>
        <v>flying</v>
      </c>
      <c r="W239" t="s">
        <v>16</v>
      </c>
      <c r="X239" t="s">
        <v>8</v>
      </c>
      <c r="Z239" s="2" t="str">
        <f t="shared" si="216"/>
        <v/>
      </c>
      <c r="AA239" t="str">
        <f t="shared" si="206"/>
        <v>Altaria</v>
      </c>
      <c r="AC239" t="s">
        <v>572</v>
      </c>
      <c r="AD239" t="str">
        <f>VLOOKUP(AC239,moves!A:B,2,FALSE)</f>
        <v>flying</v>
      </c>
      <c r="AE239">
        <f>VLOOKUP(AC239,moves!A:D,4,FALSE)</f>
        <v>5</v>
      </c>
      <c r="AF239" t="str">
        <f>VLOOKUP(AC239,moves!A:F,5,FALSE)</f>
        <v>decisive</v>
      </c>
      <c r="AG239">
        <v>0</v>
      </c>
      <c r="AH239">
        <v>0</v>
      </c>
      <c r="AI239" t="str" cm="1">
        <f t="array" ref="AI239">_xlfn.IFS(AG239=1, "starter", AH239=1, "legendary",T239&lt; 13, "weak",T239&lt; 17, "moderate", TRUE, "strong")</f>
        <v>moderate</v>
      </c>
      <c r="AK239">
        <v>2</v>
      </c>
      <c r="AL239">
        <v>0</v>
      </c>
      <c r="AM239">
        <v>0</v>
      </c>
    </row>
    <row r="240" spans="1:39" x14ac:dyDescent="0.25">
      <c r="A240">
        <v>58</v>
      </c>
      <c r="B240" t="s">
        <v>23</v>
      </c>
      <c r="C240" t="s">
        <v>4</v>
      </c>
      <c r="D240"/>
      <c r="E240">
        <v>55</v>
      </c>
      <c r="F240">
        <v>70</v>
      </c>
      <c r="G240">
        <v>45</v>
      </c>
      <c r="H240">
        <v>70</v>
      </c>
      <c r="I240">
        <v>50</v>
      </c>
      <c r="J240">
        <v>60</v>
      </c>
      <c r="K240" t="s">
        <v>256</v>
      </c>
      <c r="L240" t="s">
        <v>304</v>
      </c>
      <c r="M240" t="s">
        <v>302</v>
      </c>
      <c r="N240">
        <f t="shared" si="217"/>
        <v>6.6</v>
      </c>
      <c r="O240">
        <f t="shared" si="218"/>
        <v>5.05</v>
      </c>
      <c r="P240">
        <v>0</v>
      </c>
      <c r="Q240">
        <v>0</v>
      </c>
      <c r="R240" s="2">
        <f t="shared" si="219"/>
        <v>7</v>
      </c>
      <c r="S240" s="2">
        <f t="shared" si="220"/>
        <v>5</v>
      </c>
      <c r="T240" s="2">
        <f t="shared" si="221"/>
        <v>12</v>
      </c>
      <c r="U240" t="str">
        <f t="shared" ref="U240:U271" si="222">C240</f>
        <v>fire</v>
      </c>
      <c r="V240" t="s">
        <v>8</v>
      </c>
      <c r="W240" t="s">
        <v>9</v>
      </c>
      <c r="X240" t="s">
        <v>13</v>
      </c>
      <c r="Y240" t="str">
        <f>B241</f>
        <v>Arcanine</v>
      </c>
      <c r="Z240" s="2">
        <f t="shared" si="216"/>
        <v>8</v>
      </c>
      <c r="AA240" t="str">
        <f t="shared" si="206"/>
        <v>Growlithe</v>
      </c>
      <c r="AC240" t="s">
        <v>682</v>
      </c>
      <c r="AD240" t="str">
        <f>VLOOKUP(AC240,moves!A:B,2,FALSE)</f>
        <v>fire</v>
      </c>
      <c r="AE240">
        <f>VLOOKUP(AC240,moves!A:D,4,FALSE)</f>
        <v>3</v>
      </c>
      <c r="AF240">
        <f>VLOOKUP(AC240,moves!A:F,5,FALSE)</f>
        <v>0</v>
      </c>
      <c r="AG240">
        <v>0</v>
      </c>
      <c r="AH240">
        <v>0</v>
      </c>
      <c r="AI240" t="str" cm="1">
        <f t="array" ref="AI240">_xlfn.IFS(AG240=1, "starter", AH240=1, "legendary",T240&lt; 13, "weak",T240&lt; 17, "moderate", TRUE, "strong")</f>
        <v>weak</v>
      </c>
      <c r="AK240">
        <v>1</v>
      </c>
      <c r="AL240">
        <v>0</v>
      </c>
      <c r="AM240">
        <v>0</v>
      </c>
    </row>
    <row r="241" spans="1:39" x14ac:dyDescent="0.25">
      <c r="A241">
        <v>59</v>
      </c>
      <c r="B241" t="s">
        <v>24</v>
      </c>
      <c r="C241" t="s">
        <v>4</v>
      </c>
      <c r="D241"/>
      <c r="E241">
        <v>90</v>
      </c>
      <c r="F241">
        <v>110</v>
      </c>
      <c r="G241">
        <v>80</v>
      </c>
      <c r="H241">
        <v>100</v>
      </c>
      <c r="I241">
        <v>80</v>
      </c>
      <c r="J241">
        <v>95</v>
      </c>
      <c r="K241" t="s">
        <v>257</v>
      </c>
      <c r="L241" t="s">
        <v>304</v>
      </c>
      <c r="M241" t="s">
        <v>302</v>
      </c>
      <c r="N241">
        <f t="shared" si="217"/>
        <v>10.3</v>
      </c>
      <c r="O241">
        <f t="shared" si="218"/>
        <v>8.4</v>
      </c>
      <c r="P241">
        <v>0</v>
      </c>
      <c r="Q241">
        <v>0</v>
      </c>
      <c r="R241" s="2">
        <f t="shared" si="219"/>
        <v>10</v>
      </c>
      <c r="S241" s="2">
        <f t="shared" si="220"/>
        <v>8</v>
      </c>
      <c r="T241" s="2">
        <f t="shared" si="221"/>
        <v>18</v>
      </c>
      <c r="U241" t="str">
        <f t="shared" si="222"/>
        <v>fire</v>
      </c>
      <c r="V241" t="s">
        <v>8</v>
      </c>
      <c r="W241" t="s">
        <v>9</v>
      </c>
      <c r="X241" t="s">
        <v>13</v>
      </c>
      <c r="Z241" s="2" t="str">
        <f t="shared" si="216"/>
        <v/>
      </c>
      <c r="AA241" t="str">
        <f t="shared" si="206"/>
        <v>Arcanine</v>
      </c>
      <c r="AC241" t="s">
        <v>874</v>
      </c>
      <c r="AD241" t="str">
        <f>VLOOKUP(AC241,moves!A:B,2,FALSE)</f>
        <v>normal</v>
      </c>
      <c r="AE241">
        <f>VLOOKUP(AC241,moves!A:D,4,FALSE)</f>
        <v>3</v>
      </c>
      <c r="AF241" t="str">
        <f>VLOOKUP(AC241,moves!A:F,5,FALSE)</f>
        <v>agile</v>
      </c>
      <c r="AG241">
        <v>0</v>
      </c>
      <c r="AH241">
        <v>0</v>
      </c>
      <c r="AI241" t="str" cm="1">
        <f t="array" ref="AI241">_xlfn.IFS(AG241=1, "starter", AH241=1, "legendary",T241&lt; 13, "weak",T241&lt; 17, "moderate", TRUE, "strong")</f>
        <v>strong</v>
      </c>
      <c r="AK241">
        <v>2</v>
      </c>
      <c r="AL241">
        <v>0</v>
      </c>
      <c r="AM241">
        <v>0</v>
      </c>
    </row>
    <row r="242" spans="1:39" x14ac:dyDescent="0.25">
      <c r="A242">
        <v>216</v>
      </c>
      <c r="B242" t="s">
        <v>91</v>
      </c>
      <c r="C242" t="s">
        <v>8</v>
      </c>
      <c r="D242"/>
      <c r="E242">
        <v>60</v>
      </c>
      <c r="F242">
        <v>80</v>
      </c>
      <c r="G242">
        <v>50</v>
      </c>
      <c r="H242">
        <v>50</v>
      </c>
      <c r="I242">
        <v>50</v>
      </c>
      <c r="J242">
        <v>40</v>
      </c>
      <c r="K242" t="s">
        <v>280</v>
      </c>
      <c r="L242" t="s">
        <v>298</v>
      </c>
      <c r="M242" t="s">
        <v>302</v>
      </c>
      <c r="N242">
        <f t="shared" si="217"/>
        <v>6.1</v>
      </c>
      <c r="O242">
        <f t="shared" si="218"/>
        <v>5.4</v>
      </c>
      <c r="P242">
        <v>0</v>
      </c>
      <c r="Q242">
        <v>0</v>
      </c>
      <c r="R242" s="2">
        <f t="shared" si="219"/>
        <v>6</v>
      </c>
      <c r="S242" s="2">
        <f t="shared" si="220"/>
        <v>5</v>
      </c>
      <c r="T242" s="2">
        <f t="shared" si="221"/>
        <v>11</v>
      </c>
      <c r="U242" t="str">
        <f t="shared" si="222"/>
        <v>normal</v>
      </c>
      <c r="V242" t="s">
        <v>16</v>
      </c>
      <c r="W242" t="s">
        <v>22</v>
      </c>
      <c r="X242" t="s">
        <v>9</v>
      </c>
      <c r="Y242" t="str">
        <f>B243</f>
        <v>Ursaring</v>
      </c>
      <c r="Z242" s="2">
        <f t="shared" si="216"/>
        <v>7</v>
      </c>
      <c r="AA242" t="str">
        <f t="shared" si="206"/>
        <v>Teddiursa</v>
      </c>
      <c r="AC242" t="s">
        <v>509</v>
      </c>
      <c r="AD242" t="str">
        <f>VLOOKUP(AC242,moves!A:B,2,FALSE)</f>
        <v>fairy</v>
      </c>
      <c r="AE242">
        <f>VLOOKUP(AC242,moves!A:D,4,FALSE)</f>
        <v>3</v>
      </c>
      <c r="AF242">
        <f>VLOOKUP(AC242,moves!A:F,5,FALSE)</f>
        <v>0</v>
      </c>
      <c r="AG242">
        <v>0</v>
      </c>
      <c r="AH242">
        <v>0</v>
      </c>
      <c r="AI242" t="str" cm="1">
        <f t="array" ref="AI242">_xlfn.IFS(AG242=1, "starter", AH242=1, "legendary",T242&lt; 13, "weak",T242&lt; 17, "moderate", TRUE, "strong")</f>
        <v>weak</v>
      </c>
      <c r="AK242">
        <v>1</v>
      </c>
      <c r="AL242">
        <v>0</v>
      </c>
      <c r="AM242">
        <v>0</v>
      </c>
    </row>
    <row r="243" spans="1:39" x14ac:dyDescent="0.25">
      <c r="A243">
        <v>217</v>
      </c>
      <c r="B243" t="s">
        <v>92</v>
      </c>
      <c r="C243" t="s">
        <v>8</v>
      </c>
      <c r="D243"/>
      <c r="E243">
        <v>90</v>
      </c>
      <c r="F243">
        <v>130</v>
      </c>
      <c r="G243">
        <v>75</v>
      </c>
      <c r="H243">
        <v>75</v>
      </c>
      <c r="I243">
        <v>75</v>
      </c>
      <c r="J243">
        <v>55</v>
      </c>
      <c r="K243" t="s">
        <v>281</v>
      </c>
      <c r="L243" t="s">
        <v>298</v>
      </c>
      <c r="M243" t="s">
        <v>302</v>
      </c>
      <c r="N243">
        <f t="shared" si="217"/>
        <v>9.4499999999999993</v>
      </c>
      <c r="O243">
        <f t="shared" si="218"/>
        <v>8.1</v>
      </c>
      <c r="P243">
        <v>0</v>
      </c>
      <c r="Q243">
        <v>0</v>
      </c>
      <c r="R243" s="2">
        <f t="shared" si="219"/>
        <v>9</v>
      </c>
      <c r="S243" s="2">
        <f t="shared" si="220"/>
        <v>8</v>
      </c>
      <c r="T243" s="2">
        <f t="shared" si="221"/>
        <v>17</v>
      </c>
      <c r="U243" t="str">
        <f t="shared" si="222"/>
        <v>normal</v>
      </c>
      <c r="V243" t="s">
        <v>16</v>
      </c>
      <c r="W243" t="s">
        <v>22</v>
      </c>
      <c r="X243" t="s">
        <v>9</v>
      </c>
      <c r="Z243" s="2" t="str">
        <f t="shared" si="216"/>
        <v/>
      </c>
      <c r="AA243" t="str">
        <f t="shared" si="206"/>
        <v>Ursaring</v>
      </c>
      <c r="AC243" t="s">
        <v>568</v>
      </c>
      <c r="AD243" t="str">
        <f>VLOOKUP(AC243,moves!A:B,2,FALSE)</f>
        <v>normal</v>
      </c>
      <c r="AE243">
        <f>VLOOKUP(AC243,moves!A:D,4,FALSE)</f>
        <v>5</v>
      </c>
      <c r="AF243">
        <f>VLOOKUP(AC243,moves!A:F,5,FALSE)</f>
        <v>0</v>
      </c>
      <c r="AG243">
        <v>0</v>
      </c>
      <c r="AH243">
        <v>0</v>
      </c>
      <c r="AI243" t="str" cm="1">
        <f t="array" ref="AI243">_xlfn.IFS(AG243=1, "starter", AH243=1, "legendary",T243&lt; 13, "weak",T243&lt; 17, "moderate", TRUE, "strong")</f>
        <v>strong</v>
      </c>
      <c r="AK243">
        <v>2</v>
      </c>
      <c r="AL243">
        <v>0</v>
      </c>
      <c r="AM243">
        <v>0</v>
      </c>
    </row>
    <row r="244" spans="1:39" x14ac:dyDescent="0.25">
      <c r="A244">
        <v>234</v>
      </c>
      <c r="B244" t="s">
        <v>101</v>
      </c>
      <c r="C244" t="s">
        <v>8</v>
      </c>
      <c r="D244"/>
      <c r="E244">
        <v>73</v>
      </c>
      <c r="F244">
        <v>95</v>
      </c>
      <c r="G244">
        <v>62</v>
      </c>
      <c r="H244">
        <v>85</v>
      </c>
      <c r="I244">
        <v>65</v>
      </c>
      <c r="J244">
        <v>85</v>
      </c>
      <c r="K244" t="s">
        <v>285</v>
      </c>
      <c r="L244" t="s">
        <v>301</v>
      </c>
      <c r="M244" t="s">
        <v>300</v>
      </c>
      <c r="N244">
        <f t="shared" si="217"/>
        <v>9</v>
      </c>
      <c r="O244">
        <f t="shared" si="218"/>
        <v>6.7299999999999995</v>
      </c>
      <c r="P244">
        <v>0</v>
      </c>
      <c r="Q244">
        <v>0</v>
      </c>
      <c r="R244" s="2">
        <f t="shared" si="219"/>
        <v>9</v>
      </c>
      <c r="S244" s="2">
        <f t="shared" si="220"/>
        <v>7</v>
      </c>
      <c r="T244" s="2">
        <f t="shared" si="221"/>
        <v>16</v>
      </c>
      <c r="U244" t="str">
        <f t="shared" si="222"/>
        <v>normal</v>
      </c>
      <c r="V244" t="s">
        <v>26</v>
      </c>
      <c r="W244" t="s">
        <v>2</v>
      </c>
      <c r="X244" t="s">
        <v>42</v>
      </c>
      <c r="Z244" s="2" t="str">
        <f t="shared" si="216"/>
        <v/>
      </c>
      <c r="AA244" t="str">
        <f t="shared" si="206"/>
        <v>Stantler</v>
      </c>
      <c r="AC244" t="s">
        <v>831</v>
      </c>
      <c r="AD244" t="str">
        <f>VLOOKUP(AC244,moves!A:B,2,FALSE)</f>
        <v>psychic</v>
      </c>
      <c r="AE244">
        <f>VLOOKUP(AC244,moves!A:D,4,FALSE)</f>
        <v>4</v>
      </c>
      <c r="AF244">
        <f>VLOOKUP(AC244,moves!A:F,5,FALSE)</f>
        <v>0</v>
      </c>
      <c r="AG244">
        <v>0</v>
      </c>
      <c r="AH244">
        <v>0</v>
      </c>
      <c r="AI244" t="str" cm="1">
        <f t="array" ref="AI244">_xlfn.IFS(AG244=1, "starter", AH244=1, "legendary",T244&lt; 13, "weak",T244&lt; 17, "moderate", TRUE, "strong")</f>
        <v>moderate</v>
      </c>
      <c r="AK244">
        <v>1</v>
      </c>
      <c r="AL244">
        <v>0</v>
      </c>
      <c r="AM244">
        <v>0</v>
      </c>
    </row>
    <row r="245" spans="1:39" x14ac:dyDescent="0.25">
      <c r="A245">
        <v>307</v>
      </c>
      <c r="B245" t="s">
        <v>121</v>
      </c>
      <c r="C245" t="s">
        <v>22</v>
      </c>
      <c r="D245" t="s">
        <v>26</v>
      </c>
      <c r="E245">
        <v>30</v>
      </c>
      <c r="F245">
        <f>40*2</f>
        <v>80</v>
      </c>
      <c r="G245">
        <v>55</v>
      </c>
      <c r="H245">
        <v>40</v>
      </c>
      <c r="I245">
        <v>55</v>
      </c>
      <c r="J245">
        <v>60</v>
      </c>
      <c r="K245" t="s">
        <v>292</v>
      </c>
      <c r="L245" t="s">
        <v>304</v>
      </c>
      <c r="M245" t="s">
        <v>299</v>
      </c>
      <c r="N245">
        <f t="shared" si="217"/>
        <v>6.8</v>
      </c>
      <c r="O245">
        <f t="shared" si="218"/>
        <v>4.5</v>
      </c>
      <c r="P245">
        <v>0</v>
      </c>
      <c r="Q245">
        <v>0</v>
      </c>
      <c r="R245" s="2">
        <f t="shared" si="219"/>
        <v>7</v>
      </c>
      <c r="S245" s="2">
        <f t="shared" si="220"/>
        <v>5</v>
      </c>
      <c r="T245" s="2">
        <f t="shared" si="221"/>
        <v>12</v>
      </c>
      <c r="U245" t="str">
        <f t="shared" si="222"/>
        <v>fighting</v>
      </c>
      <c r="V245" t="str">
        <f>IF(D245 = 0, "", D245)</f>
        <v>psychic</v>
      </c>
      <c r="W245" t="s">
        <v>33</v>
      </c>
      <c r="X245" t="s">
        <v>8</v>
      </c>
      <c r="Y245" t="str">
        <f>B246</f>
        <v>Medicham</v>
      </c>
      <c r="Z245" s="2">
        <f t="shared" si="216"/>
        <v>6</v>
      </c>
      <c r="AA245" t="str">
        <f t="shared" si="206"/>
        <v>Meditite</v>
      </c>
      <c r="AC245" t="s">
        <v>869</v>
      </c>
      <c r="AD245" t="str">
        <f>VLOOKUP(AC245,moves!A:B,2,FALSE)</f>
        <v>psychic</v>
      </c>
      <c r="AE245">
        <f>VLOOKUP(AC245,moves!A:D,4,FALSE)</f>
        <v>2</v>
      </c>
      <c r="AF245">
        <f>VLOOKUP(AC245,moves!A:F,5,FALSE)</f>
        <v>0</v>
      </c>
      <c r="AG245">
        <v>0</v>
      </c>
      <c r="AH245">
        <v>0</v>
      </c>
      <c r="AI245" t="str" cm="1">
        <f t="array" ref="AI245">_xlfn.IFS(AG245=1, "starter", AH245=1, "legendary",T245&lt; 13, "weak",T245&lt; 17, "moderate", TRUE, "strong")</f>
        <v>weak</v>
      </c>
      <c r="AK245">
        <v>1</v>
      </c>
      <c r="AL245">
        <v>0</v>
      </c>
      <c r="AM245">
        <v>0</v>
      </c>
    </row>
    <row r="246" spans="1:39" x14ac:dyDescent="0.25">
      <c r="A246">
        <v>308</v>
      </c>
      <c r="B246" t="s">
        <v>122</v>
      </c>
      <c r="C246" t="s">
        <v>22</v>
      </c>
      <c r="D246" t="s">
        <v>26</v>
      </c>
      <c r="E246">
        <v>60</v>
      </c>
      <c r="F246">
        <f>60*2</f>
        <v>120</v>
      </c>
      <c r="G246">
        <v>75</v>
      </c>
      <c r="H246">
        <v>60</v>
      </c>
      <c r="I246">
        <v>75</v>
      </c>
      <c r="J246">
        <v>80</v>
      </c>
      <c r="K246" t="s">
        <v>292</v>
      </c>
      <c r="L246" t="s">
        <v>304</v>
      </c>
      <c r="M246" t="s">
        <v>299</v>
      </c>
      <c r="N246">
        <f t="shared" si="217"/>
        <v>9.8000000000000007</v>
      </c>
      <c r="O246">
        <f t="shared" si="218"/>
        <v>6.9</v>
      </c>
      <c r="P246">
        <v>0</v>
      </c>
      <c r="Q246">
        <v>0</v>
      </c>
      <c r="R246" s="2">
        <f t="shared" si="219"/>
        <v>10</v>
      </c>
      <c r="S246" s="2">
        <f t="shared" si="220"/>
        <v>7</v>
      </c>
      <c r="T246" s="2">
        <f t="shared" si="221"/>
        <v>17</v>
      </c>
      <c r="U246" t="str">
        <f t="shared" si="222"/>
        <v>fighting</v>
      </c>
      <c r="V246" t="str">
        <f>IF(D246 = 0, "", D246)</f>
        <v>psychic</v>
      </c>
      <c r="W246" t="s">
        <v>33</v>
      </c>
      <c r="X246" t="s">
        <v>8</v>
      </c>
      <c r="Z246" s="2" t="str">
        <f t="shared" si="216"/>
        <v/>
      </c>
      <c r="AA246" t="str">
        <f t="shared" si="206"/>
        <v>Medicham</v>
      </c>
      <c r="AC246" t="s">
        <v>581</v>
      </c>
      <c r="AD246" t="str">
        <f>VLOOKUP(AC246,moves!A:B,2,FALSE)</f>
        <v>fighting</v>
      </c>
      <c r="AE246">
        <f>VLOOKUP(AC246,moves!A:D,4,FALSE)</f>
        <v>3</v>
      </c>
      <c r="AF246">
        <f>VLOOKUP(AC246,moves!A:F,5,FALSE)</f>
        <v>0</v>
      </c>
      <c r="AG246">
        <v>0</v>
      </c>
      <c r="AH246">
        <v>0</v>
      </c>
      <c r="AI246" t="str" cm="1">
        <f t="array" ref="AI246">_xlfn.IFS(AG246=1, "starter", AH246=1, "legendary",T246&lt; 13, "weak",T246&lt; 17, "moderate", TRUE, "strong")</f>
        <v>strong</v>
      </c>
      <c r="AK246">
        <v>2</v>
      </c>
      <c r="AL246">
        <v>0</v>
      </c>
      <c r="AM246">
        <v>0</v>
      </c>
    </row>
    <row r="247" spans="1:39" x14ac:dyDescent="0.25">
      <c r="A247">
        <v>371</v>
      </c>
      <c r="B247" t="s">
        <v>137</v>
      </c>
      <c r="C247" t="s">
        <v>67</v>
      </c>
      <c r="D247"/>
      <c r="E247">
        <v>45</v>
      </c>
      <c r="F247">
        <v>75</v>
      </c>
      <c r="G247">
        <v>60</v>
      </c>
      <c r="H247">
        <v>40</v>
      </c>
      <c r="I247">
        <v>30</v>
      </c>
      <c r="J247">
        <v>50</v>
      </c>
      <c r="K247" t="s">
        <v>296</v>
      </c>
      <c r="L247" t="s">
        <v>304</v>
      </c>
      <c r="M247" t="s">
        <v>299</v>
      </c>
      <c r="N247">
        <f t="shared" si="217"/>
        <v>6.15</v>
      </c>
      <c r="O247">
        <f t="shared" si="218"/>
        <v>4.5</v>
      </c>
      <c r="P247">
        <v>0</v>
      </c>
      <c r="Q247">
        <v>0</v>
      </c>
      <c r="R247" s="2">
        <f t="shared" si="219"/>
        <v>6</v>
      </c>
      <c r="S247" s="2">
        <f t="shared" si="220"/>
        <v>5</v>
      </c>
      <c r="T247" s="2">
        <f t="shared" si="221"/>
        <v>11</v>
      </c>
      <c r="U247" t="str">
        <f t="shared" si="222"/>
        <v>dragon</v>
      </c>
      <c r="V247" t="s">
        <v>8</v>
      </c>
      <c r="W247" t="s">
        <v>9</v>
      </c>
      <c r="X247" t="s">
        <v>4</v>
      </c>
      <c r="Y247" t="str">
        <f>B248</f>
        <v>Shelgon</v>
      </c>
      <c r="Z247" s="2">
        <f t="shared" si="216"/>
        <v>3</v>
      </c>
      <c r="AA247" t="str">
        <f t="shared" si="206"/>
        <v>Bagon</v>
      </c>
      <c r="AC247" t="s">
        <v>528</v>
      </c>
      <c r="AD247" t="str">
        <f>VLOOKUP(AC247,moves!A:B,2,FALSE)</f>
        <v>dark</v>
      </c>
      <c r="AE247">
        <f>VLOOKUP(AC247,moves!A:D,4,FALSE)</f>
        <v>3</v>
      </c>
      <c r="AF247">
        <f>VLOOKUP(AC247,moves!A:F,5,FALSE)</f>
        <v>0</v>
      </c>
      <c r="AG247">
        <v>0</v>
      </c>
      <c r="AH247">
        <v>0</v>
      </c>
      <c r="AI247" t="str" cm="1">
        <f t="array" ref="AI247">_xlfn.IFS(AG247=1, "starter", AH247=1, "legendary",T247&lt; 13, "weak",T247&lt; 17, "moderate", TRUE, "strong")</f>
        <v>weak</v>
      </c>
      <c r="AK247">
        <v>1</v>
      </c>
      <c r="AL247">
        <v>0</v>
      </c>
      <c r="AM247">
        <v>0</v>
      </c>
    </row>
    <row r="248" spans="1:39" x14ac:dyDescent="0.25">
      <c r="A248">
        <v>372</v>
      </c>
      <c r="B248" t="s">
        <v>138</v>
      </c>
      <c r="C248" t="s">
        <v>67</v>
      </c>
      <c r="D248"/>
      <c r="E248">
        <v>65</v>
      </c>
      <c r="F248">
        <v>95</v>
      </c>
      <c r="G248">
        <v>100</v>
      </c>
      <c r="H248">
        <v>60</v>
      </c>
      <c r="I248">
        <v>50</v>
      </c>
      <c r="J248">
        <v>50</v>
      </c>
      <c r="K248" t="s">
        <v>297</v>
      </c>
      <c r="L248" t="s">
        <v>304</v>
      </c>
      <c r="M248" t="s">
        <v>299</v>
      </c>
      <c r="N248">
        <f t="shared" si="217"/>
        <v>7.35</v>
      </c>
      <c r="O248">
        <f t="shared" si="218"/>
        <v>7.1</v>
      </c>
      <c r="P248">
        <v>0</v>
      </c>
      <c r="Q248">
        <v>0</v>
      </c>
      <c r="R248" s="2">
        <f t="shared" si="219"/>
        <v>7</v>
      </c>
      <c r="S248" s="2">
        <f t="shared" si="220"/>
        <v>7</v>
      </c>
      <c r="T248" s="2">
        <f t="shared" si="221"/>
        <v>14</v>
      </c>
      <c r="U248" t="str">
        <f t="shared" si="222"/>
        <v>dragon</v>
      </c>
      <c r="V248" t="s">
        <v>8</v>
      </c>
      <c r="W248" t="s">
        <v>9</v>
      </c>
      <c r="X248" t="s">
        <v>4</v>
      </c>
      <c r="Y248" t="str">
        <f>B249</f>
        <v>Salamence</v>
      </c>
      <c r="Z248" s="2">
        <f t="shared" si="216"/>
        <v>9</v>
      </c>
      <c r="AA248" t="str">
        <f t="shared" si="206"/>
        <v>Shelgon</v>
      </c>
      <c r="AC248" t="s">
        <v>586</v>
      </c>
      <c r="AD248" t="str">
        <f>VLOOKUP(AC248,moves!A:B,2,FALSE)</f>
        <v>normal</v>
      </c>
      <c r="AE248">
        <f>VLOOKUP(AC248,moves!A:D,4,FALSE)</f>
        <v>3</v>
      </c>
      <c r="AF248">
        <f>VLOOKUP(AC248,moves!A:F,5,FALSE)</f>
        <v>0</v>
      </c>
      <c r="AG248">
        <v>0</v>
      </c>
      <c r="AH248">
        <v>0</v>
      </c>
      <c r="AI248" t="str" cm="1">
        <f t="array" ref="AI248">_xlfn.IFS(AG248=1, "starter", AH248=1, "legendary",T248&lt; 13, "weak",T248&lt; 17, "moderate", TRUE, "strong")</f>
        <v>moderate</v>
      </c>
      <c r="AK248">
        <v>2</v>
      </c>
      <c r="AL248">
        <v>0</v>
      </c>
      <c r="AM248">
        <v>0</v>
      </c>
    </row>
    <row r="249" spans="1:39" x14ac:dyDescent="0.25">
      <c r="A249">
        <v>373</v>
      </c>
      <c r="B249" t="s">
        <v>139</v>
      </c>
      <c r="C249" t="s">
        <v>67</v>
      </c>
      <c r="D249" t="s">
        <v>5</v>
      </c>
      <c r="E249">
        <v>95</v>
      </c>
      <c r="F249">
        <v>135</v>
      </c>
      <c r="G249">
        <v>80</v>
      </c>
      <c r="H249">
        <v>110</v>
      </c>
      <c r="I249">
        <v>80</v>
      </c>
      <c r="J249">
        <v>100</v>
      </c>
      <c r="K249" t="s">
        <v>268</v>
      </c>
      <c r="L249" t="s">
        <v>304</v>
      </c>
      <c r="M249" t="s">
        <v>299</v>
      </c>
      <c r="N249">
        <f t="shared" si="217"/>
        <v>11.85</v>
      </c>
      <c r="O249">
        <f t="shared" si="218"/>
        <v>8.6</v>
      </c>
      <c r="P249">
        <v>0</v>
      </c>
      <c r="Q249">
        <v>-1</v>
      </c>
      <c r="R249" s="2">
        <f t="shared" si="219"/>
        <v>12</v>
      </c>
      <c r="S249" s="2">
        <f t="shared" si="220"/>
        <v>8</v>
      </c>
      <c r="T249" s="2">
        <f t="shared" si="221"/>
        <v>20</v>
      </c>
      <c r="U249" t="str">
        <f t="shared" si="222"/>
        <v>dragon</v>
      </c>
      <c r="V249" t="str">
        <f>IF(D249 = 0, "", D249)</f>
        <v>flying</v>
      </c>
      <c r="W249" t="s">
        <v>9</v>
      </c>
      <c r="X249" t="s">
        <v>4</v>
      </c>
      <c r="Z249" s="2" t="str">
        <f t="shared" si="216"/>
        <v/>
      </c>
      <c r="AA249" t="str">
        <f t="shared" si="206"/>
        <v>Salamence</v>
      </c>
      <c r="AC249" t="s">
        <v>503</v>
      </c>
      <c r="AD249" t="str">
        <f>VLOOKUP(AC249,moves!A:B,2,FALSE)</f>
        <v>dragon</v>
      </c>
      <c r="AE249">
        <f>VLOOKUP(AC249,moves!A:D,4,FALSE)</f>
        <v>5</v>
      </c>
      <c r="AF249">
        <f>VLOOKUP(AC249,moves!A:F,5,FALSE)</f>
        <v>0</v>
      </c>
      <c r="AG249">
        <v>0</v>
      </c>
      <c r="AH249">
        <v>0</v>
      </c>
      <c r="AI249" t="str" cm="1">
        <f t="array" ref="AI249">_xlfn.IFS(AG249=1, "starter", AH249=1, "legendary",T249&lt; 13, "weak",T249&lt; 17, "moderate", TRUE, "strong")</f>
        <v>strong</v>
      </c>
      <c r="AK249">
        <v>3</v>
      </c>
      <c r="AL249">
        <v>0</v>
      </c>
      <c r="AM249">
        <v>0</v>
      </c>
    </row>
    <row r="250" spans="1:39" x14ac:dyDescent="0.25">
      <c r="A250">
        <v>236</v>
      </c>
      <c r="B250" t="s">
        <v>102</v>
      </c>
      <c r="C250" t="s">
        <v>22</v>
      </c>
      <c r="D250"/>
      <c r="E250">
        <v>35</v>
      </c>
      <c r="F250">
        <v>35</v>
      </c>
      <c r="G250">
        <v>35</v>
      </c>
      <c r="H250">
        <v>35</v>
      </c>
      <c r="I250">
        <v>35</v>
      </c>
      <c r="J250">
        <v>35</v>
      </c>
      <c r="K250" t="s">
        <v>286</v>
      </c>
      <c r="L250" t="s">
        <v>304</v>
      </c>
      <c r="M250" t="s">
        <v>300</v>
      </c>
      <c r="N250">
        <f t="shared" si="217"/>
        <v>3.5</v>
      </c>
      <c r="O250">
        <f t="shared" si="218"/>
        <v>3.5</v>
      </c>
      <c r="P250">
        <v>0</v>
      </c>
      <c r="Q250">
        <v>0</v>
      </c>
      <c r="R250" s="2">
        <f t="shared" si="219"/>
        <v>4</v>
      </c>
      <c r="S250" s="2">
        <f t="shared" si="220"/>
        <v>4</v>
      </c>
      <c r="T250" s="2">
        <f t="shared" si="221"/>
        <v>8</v>
      </c>
      <c r="U250" t="str">
        <f t="shared" si="222"/>
        <v>fighting</v>
      </c>
      <c r="V250" t="s">
        <v>8</v>
      </c>
      <c r="W250" t="s">
        <v>13</v>
      </c>
      <c r="X250" t="s">
        <v>39</v>
      </c>
      <c r="Y250" t="s">
        <v>567</v>
      </c>
      <c r="Z250" s="2">
        <f t="shared" si="216"/>
        <v>7</v>
      </c>
      <c r="AA250" t="str">
        <f t="shared" si="206"/>
        <v>Tyrogue</v>
      </c>
      <c r="AC250" t="s">
        <v>511</v>
      </c>
      <c r="AD250" t="str">
        <f>VLOOKUP(AC250,moves!A:B,2,FALSE)</f>
        <v>normal</v>
      </c>
      <c r="AE250">
        <f>VLOOKUP(AC250,moves!A:D,4,FALSE)</f>
        <v>2</v>
      </c>
      <c r="AF250">
        <f>VLOOKUP(AC250,moves!A:F,5,FALSE)</f>
        <v>0</v>
      </c>
      <c r="AG250">
        <v>0</v>
      </c>
      <c r="AH250">
        <v>0</v>
      </c>
      <c r="AI250" t="str" cm="1">
        <f t="array" ref="AI250">_xlfn.IFS(AG250=1, "starter", AH250=1, "legendary",T250&lt; 13, "weak",T250&lt; 17, "moderate", TRUE, "strong")</f>
        <v>weak</v>
      </c>
      <c r="AK250">
        <v>1</v>
      </c>
      <c r="AL250">
        <v>0</v>
      </c>
      <c r="AM250">
        <v>0</v>
      </c>
    </row>
    <row r="251" spans="1:39" x14ac:dyDescent="0.25">
      <c r="A251">
        <v>106</v>
      </c>
      <c r="B251" t="s">
        <v>46</v>
      </c>
      <c r="C251" t="s">
        <v>22</v>
      </c>
      <c r="D251"/>
      <c r="E251">
        <v>50</v>
      </c>
      <c r="F251">
        <v>120</v>
      </c>
      <c r="G251">
        <v>53</v>
      </c>
      <c r="H251">
        <v>35</v>
      </c>
      <c r="I251">
        <v>110</v>
      </c>
      <c r="J251">
        <v>87</v>
      </c>
      <c r="K251" t="s">
        <v>266</v>
      </c>
      <c r="L251" t="s">
        <v>304</v>
      </c>
      <c r="M251" t="s">
        <v>300</v>
      </c>
      <c r="N251">
        <f t="shared" si="217"/>
        <v>9.8300000000000018</v>
      </c>
      <c r="O251">
        <f t="shared" si="218"/>
        <v>6.8900000000000006</v>
      </c>
      <c r="P251">
        <v>0</v>
      </c>
      <c r="Q251">
        <v>-1</v>
      </c>
      <c r="R251" s="2">
        <f t="shared" si="219"/>
        <v>10</v>
      </c>
      <c r="S251" s="2">
        <f t="shared" si="220"/>
        <v>6</v>
      </c>
      <c r="T251" s="2">
        <f t="shared" si="221"/>
        <v>16</v>
      </c>
      <c r="U251" t="str">
        <f t="shared" si="222"/>
        <v>fighting</v>
      </c>
      <c r="V251" t="s">
        <v>8</v>
      </c>
      <c r="W251" t="s">
        <v>13</v>
      </c>
      <c r="X251" t="s">
        <v>4</v>
      </c>
      <c r="Z251" s="2" t="str">
        <f t="shared" si="216"/>
        <v/>
      </c>
      <c r="AA251" t="str">
        <f t="shared" si="206"/>
        <v>Hitmonlee</v>
      </c>
      <c r="AC251" t="s">
        <v>565</v>
      </c>
      <c r="AD251" t="str">
        <f>VLOOKUP(AC251,moves!A:B,2,FALSE)</f>
        <v>fighting</v>
      </c>
      <c r="AE251">
        <f>VLOOKUP(AC251,moves!A:D,4,FALSE)</f>
        <v>5</v>
      </c>
      <c r="AF251">
        <f>VLOOKUP(AC251,moves!A:F,5,FALSE)</f>
        <v>0</v>
      </c>
      <c r="AG251">
        <v>0</v>
      </c>
      <c r="AH251">
        <v>0</v>
      </c>
      <c r="AI251" t="str" cm="1">
        <f t="array" ref="AI251">_xlfn.IFS(AG251=1, "starter", AH251=1, "legendary",T251&lt; 13, "weak",T251&lt; 17, "moderate", TRUE, "strong")</f>
        <v>moderate</v>
      </c>
      <c r="AK251">
        <v>2</v>
      </c>
      <c r="AL251">
        <v>0</v>
      </c>
      <c r="AM251">
        <v>0</v>
      </c>
    </row>
    <row r="252" spans="1:39" x14ac:dyDescent="0.25">
      <c r="A252">
        <v>107</v>
      </c>
      <c r="B252" t="s">
        <v>47</v>
      </c>
      <c r="C252" t="s">
        <v>22</v>
      </c>
      <c r="D252"/>
      <c r="E252">
        <v>50</v>
      </c>
      <c r="F252">
        <v>105</v>
      </c>
      <c r="G252">
        <v>79</v>
      </c>
      <c r="H252">
        <v>35</v>
      </c>
      <c r="I252">
        <v>110</v>
      </c>
      <c r="J252">
        <v>76</v>
      </c>
      <c r="K252" t="s">
        <v>267</v>
      </c>
      <c r="L252" t="s">
        <v>304</v>
      </c>
      <c r="M252" t="s">
        <v>300</v>
      </c>
      <c r="N252">
        <f t="shared" si="217"/>
        <v>8.64</v>
      </c>
      <c r="O252">
        <f t="shared" si="218"/>
        <v>7.67</v>
      </c>
      <c r="P252">
        <v>0</v>
      </c>
      <c r="Q252">
        <v>-1</v>
      </c>
      <c r="R252" s="2">
        <f t="shared" si="219"/>
        <v>9</v>
      </c>
      <c r="S252" s="2">
        <f t="shared" si="220"/>
        <v>7</v>
      </c>
      <c r="T252" s="2">
        <f t="shared" si="221"/>
        <v>16</v>
      </c>
      <c r="U252" t="str">
        <f t="shared" si="222"/>
        <v>fighting</v>
      </c>
      <c r="V252" t="s">
        <v>11</v>
      </c>
      <c r="W252" t="s">
        <v>4</v>
      </c>
      <c r="X252" t="s">
        <v>14</v>
      </c>
      <c r="Z252" s="2" t="str">
        <f t="shared" si="216"/>
        <v/>
      </c>
      <c r="AA252" t="str">
        <f t="shared" si="206"/>
        <v>Hitmonchan</v>
      </c>
      <c r="AC252" t="s">
        <v>718</v>
      </c>
      <c r="AD252" t="str">
        <f>VLOOKUP(AC252,moves!A:B,2,FALSE)</f>
        <v>typeless</v>
      </c>
      <c r="AE252">
        <f>VLOOKUP(AC252,moves!A:D,4,FALSE)</f>
        <v>4</v>
      </c>
      <c r="AF252">
        <f>VLOOKUP(AC252,moves!A:F,5,FALSE)</f>
        <v>0</v>
      </c>
      <c r="AG252">
        <v>0</v>
      </c>
      <c r="AH252">
        <v>0</v>
      </c>
      <c r="AI252" t="str" cm="1">
        <f t="array" ref="AI252">_xlfn.IFS(AG252=1, "starter", AH252=1, "legendary",T252&lt; 13, "weak",T252&lt; 17, "moderate", TRUE, "strong")</f>
        <v>moderate</v>
      </c>
      <c r="AK252">
        <v>2</v>
      </c>
      <c r="AL252">
        <v>0</v>
      </c>
      <c r="AM252">
        <v>0</v>
      </c>
    </row>
    <row r="253" spans="1:39" x14ac:dyDescent="0.25">
      <c r="A253">
        <v>237</v>
      </c>
      <c r="B253" t="s">
        <v>103</v>
      </c>
      <c r="C253" t="s">
        <v>22</v>
      </c>
      <c r="D253"/>
      <c r="E253">
        <v>50</v>
      </c>
      <c r="F253">
        <v>95</v>
      </c>
      <c r="G253">
        <v>95</v>
      </c>
      <c r="H253">
        <v>35</v>
      </c>
      <c r="I253">
        <v>110</v>
      </c>
      <c r="J253">
        <v>70</v>
      </c>
      <c r="K253" t="s">
        <v>287</v>
      </c>
      <c r="L253" t="s">
        <v>304</v>
      </c>
      <c r="M253" t="s">
        <v>300</v>
      </c>
      <c r="N253">
        <f t="shared" si="217"/>
        <v>7.9</v>
      </c>
      <c r="O253">
        <f t="shared" si="218"/>
        <v>8.15</v>
      </c>
      <c r="P253">
        <v>0</v>
      </c>
      <c r="Q253">
        <v>0</v>
      </c>
      <c r="R253" s="2">
        <f t="shared" si="219"/>
        <v>8</v>
      </c>
      <c r="S253" s="2">
        <f t="shared" si="220"/>
        <v>8</v>
      </c>
      <c r="T253" s="2">
        <f t="shared" si="221"/>
        <v>16</v>
      </c>
      <c r="U253" t="str">
        <f t="shared" si="222"/>
        <v>fighting</v>
      </c>
      <c r="V253" t="s">
        <v>8</v>
      </c>
      <c r="W253" t="s">
        <v>13</v>
      </c>
      <c r="X253" t="s">
        <v>39</v>
      </c>
      <c r="Z253" s="2" t="str">
        <f t="shared" si="216"/>
        <v/>
      </c>
      <c r="AA253" t="str">
        <f t="shared" si="206"/>
        <v>Hitmontop</v>
      </c>
      <c r="AC253" t="s">
        <v>566</v>
      </c>
      <c r="AD253" t="str">
        <f>VLOOKUP(AC253,moves!A:B,2,FALSE)</f>
        <v>fighting</v>
      </c>
      <c r="AE253">
        <f>VLOOKUP(AC253,moves!A:D,4,FALSE)</f>
        <v>3</v>
      </c>
      <c r="AF253">
        <f>VLOOKUP(AC253,moves!A:F,5,FALSE)</f>
        <v>0</v>
      </c>
      <c r="AG253">
        <v>0</v>
      </c>
      <c r="AH253">
        <v>0</v>
      </c>
      <c r="AI253" t="str" cm="1">
        <f t="array" ref="AI253">_xlfn.IFS(AG253=1, "starter", AH253=1, "legendary",T253&lt; 13, "weak",T253&lt; 17, "moderate", TRUE, "strong")</f>
        <v>moderate</v>
      </c>
      <c r="AK253">
        <v>2</v>
      </c>
      <c r="AL253">
        <v>0</v>
      </c>
      <c r="AM253">
        <v>0</v>
      </c>
    </row>
    <row r="254" spans="1:39" x14ac:dyDescent="0.25">
      <c r="A254">
        <v>349</v>
      </c>
      <c r="B254" t="s">
        <v>126</v>
      </c>
      <c r="C254" t="s">
        <v>6</v>
      </c>
      <c r="D254"/>
      <c r="E254">
        <v>20</v>
      </c>
      <c r="F254">
        <v>15</v>
      </c>
      <c r="G254">
        <v>20</v>
      </c>
      <c r="H254">
        <v>10</v>
      </c>
      <c r="I254">
        <v>55</v>
      </c>
      <c r="J254">
        <v>80</v>
      </c>
      <c r="K254" t="s">
        <v>270</v>
      </c>
      <c r="L254" t="s">
        <v>303</v>
      </c>
      <c r="M254" t="s">
        <v>299</v>
      </c>
      <c r="N254">
        <f t="shared" si="217"/>
        <v>4.05</v>
      </c>
      <c r="O254">
        <f t="shared" si="218"/>
        <v>3.05</v>
      </c>
      <c r="P254">
        <v>0</v>
      </c>
      <c r="Q254">
        <v>0</v>
      </c>
      <c r="R254" s="2">
        <f t="shared" si="219"/>
        <v>4</v>
      </c>
      <c r="S254" s="2">
        <f t="shared" si="220"/>
        <v>3</v>
      </c>
      <c r="T254" s="2">
        <f t="shared" si="221"/>
        <v>7</v>
      </c>
      <c r="U254" t="str">
        <f t="shared" si="222"/>
        <v>water</v>
      </c>
      <c r="V254" t="s">
        <v>8</v>
      </c>
      <c r="W254" t="s">
        <v>14</v>
      </c>
      <c r="X254" t="s">
        <v>67</v>
      </c>
      <c r="Y254" t="str">
        <f>B255</f>
        <v>Milotic</v>
      </c>
      <c r="Z254" s="2">
        <f t="shared" si="216"/>
        <v>11</v>
      </c>
      <c r="AA254" t="str">
        <f t="shared" si="206"/>
        <v>Feebas</v>
      </c>
      <c r="AC254" t="s">
        <v>552</v>
      </c>
      <c r="AD254" t="str">
        <f>VLOOKUP(AC254,moves!A:B,2,FALSE)</f>
        <v>normal</v>
      </c>
      <c r="AE254">
        <f>VLOOKUP(AC254,moves!A:D,4,FALSE)</f>
        <v>1</v>
      </c>
      <c r="AF254" t="str">
        <f>VLOOKUP(AC254,moves!A:F,5,FALSE)</f>
        <v>agile</v>
      </c>
      <c r="AG254">
        <v>0</v>
      </c>
      <c r="AH254">
        <v>0</v>
      </c>
      <c r="AI254" t="str" cm="1">
        <f t="array" ref="AI254">_xlfn.IFS(AG254=1, "starter", AH254=1, "legendary",T254&lt; 13, "weak",T254&lt; 17, "moderate", TRUE, "strong")</f>
        <v>weak</v>
      </c>
      <c r="AK254">
        <v>1</v>
      </c>
      <c r="AL254">
        <v>0</v>
      </c>
      <c r="AM254">
        <v>0</v>
      </c>
    </row>
    <row r="255" spans="1:39" x14ac:dyDescent="0.25">
      <c r="A255">
        <v>350</v>
      </c>
      <c r="B255" t="s">
        <v>127</v>
      </c>
      <c r="C255" t="s">
        <v>6</v>
      </c>
      <c r="D255"/>
      <c r="E255">
        <v>95</v>
      </c>
      <c r="F255">
        <v>60</v>
      </c>
      <c r="G255">
        <v>79</v>
      </c>
      <c r="H255">
        <v>100</v>
      </c>
      <c r="I255">
        <v>125</v>
      </c>
      <c r="J255">
        <v>81</v>
      </c>
      <c r="K255" t="s">
        <v>295</v>
      </c>
      <c r="L255" t="s">
        <v>303</v>
      </c>
      <c r="M255" t="s">
        <v>299</v>
      </c>
      <c r="N255">
        <f t="shared" si="217"/>
        <v>8.84</v>
      </c>
      <c r="O255">
        <f t="shared" si="218"/>
        <v>9.92</v>
      </c>
      <c r="P255">
        <v>0</v>
      </c>
      <c r="Q255">
        <v>0</v>
      </c>
      <c r="R255" s="2">
        <f t="shared" si="219"/>
        <v>9</v>
      </c>
      <c r="S255" s="2">
        <f t="shared" si="220"/>
        <v>10</v>
      </c>
      <c r="T255" s="2">
        <f t="shared" si="221"/>
        <v>19</v>
      </c>
      <c r="U255" t="str">
        <f t="shared" si="222"/>
        <v>water</v>
      </c>
      <c r="V255" t="s">
        <v>16</v>
      </c>
      <c r="W255" t="s">
        <v>14</v>
      </c>
      <c r="X255" t="s">
        <v>67</v>
      </c>
      <c r="Z255" s="2" t="str">
        <f t="shared" si="216"/>
        <v/>
      </c>
      <c r="AA255" t="str">
        <f t="shared" si="206"/>
        <v>Milotic</v>
      </c>
      <c r="AC255" t="s">
        <v>480</v>
      </c>
      <c r="AD255" t="str">
        <f>VLOOKUP(AC255,moves!A:B,2,FALSE)</f>
        <v>water</v>
      </c>
      <c r="AE255">
        <f>VLOOKUP(AC255,moves!A:D,4,FALSE)</f>
        <v>5</v>
      </c>
      <c r="AF255">
        <f>VLOOKUP(AC255,moves!A:F,5,FALSE)</f>
        <v>0</v>
      </c>
      <c r="AG255">
        <v>0</v>
      </c>
      <c r="AH255">
        <v>0</v>
      </c>
      <c r="AI255" t="str" cm="1">
        <f t="array" ref="AI255">_xlfn.IFS(AG255=1, "starter", AH255=1, "legendary",T255&lt; 13, "weak",T255&lt; 17, "moderate", TRUE, "strong")</f>
        <v>strong</v>
      </c>
      <c r="AK255">
        <v>2</v>
      </c>
      <c r="AL255">
        <v>0</v>
      </c>
      <c r="AM255">
        <v>0</v>
      </c>
    </row>
    <row r="256" spans="1:39" x14ac:dyDescent="0.25">
      <c r="A256">
        <v>251</v>
      </c>
      <c r="B256" t="s">
        <v>110</v>
      </c>
      <c r="C256" t="s">
        <v>26</v>
      </c>
      <c r="D256" t="s">
        <v>2</v>
      </c>
      <c r="E256">
        <v>100</v>
      </c>
      <c r="F256">
        <v>100</v>
      </c>
      <c r="G256">
        <v>100</v>
      </c>
      <c r="H256">
        <v>100</v>
      </c>
      <c r="I256">
        <v>100</v>
      </c>
      <c r="J256">
        <v>100</v>
      </c>
      <c r="K256" t="s">
        <v>290</v>
      </c>
      <c r="L256" t="s">
        <v>298</v>
      </c>
      <c r="M256" t="s">
        <v>300</v>
      </c>
      <c r="N256">
        <f t="shared" si="217"/>
        <v>10</v>
      </c>
      <c r="O256">
        <f t="shared" si="218"/>
        <v>10</v>
      </c>
      <c r="P256">
        <v>0</v>
      </c>
      <c r="Q256">
        <v>0</v>
      </c>
      <c r="R256" s="2">
        <f t="shared" si="219"/>
        <v>10</v>
      </c>
      <c r="S256" s="2">
        <f t="shared" si="220"/>
        <v>10</v>
      </c>
      <c r="T256" s="2">
        <f t="shared" si="221"/>
        <v>20</v>
      </c>
      <c r="U256" t="str">
        <f t="shared" si="222"/>
        <v>psychic</v>
      </c>
      <c r="V256" t="str">
        <f>IF(D256 = 0, "", D256)</f>
        <v>grass</v>
      </c>
      <c r="W256" t="s">
        <v>16</v>
      </c>
      <c r="X256" t="s">
        <v>33</v>
      </c>
      <c r="Z256" s="2" t="str">
        <f t="shared" si="216"/>
        <v/>
      </c>
      <c r="AA256" t="str">
        <f t="shared" si="206"/>
        <v>Celebi</v>
      </c>
      <c r="AC256" t="s">
        <v>1235</v>
      </c>
      <c r="AD256" t="str">
        <f>VLOOKUP(AC256,moves!A:B,2,FALSE)</f>
        <v>grass</v>
      </c>
      <c r="AE256">
        <f>VLOOKUP(AC256,moves!A:D,4,FALSE)</f>
        <v>4</v>
      </c>
      <c r="AF256">
        <f>VLOOKUP(AC256,moves!A:F,5,FALSE)</f>
        <v>0</v>
      </c>
      <c r="AG256">
        <v>0</v>
      </c>
      <c r="AH256">
        <v>1</v>
      </c>
      <c r="AI256" t="str" cm="1">
        <f t="array" ref="AI256">_xlfn.IFS(AG256=1, "starter", AH256=1, "legendary",T256&lt; 13, "weak",T256&lt; 17, "moderate", TRUE, "strong")</f>
        <v>legendary</v>
      </c>
      <c r="AK256">
        <v>1</v>
      </c>
      <c r="AL256">
        <v>0</v>
      </c>
      <c r="AM256">
        <v>0</v>
      </c>
    </row>
    <row r="257" spans="1:39" x14ac:dyDescent="0.25">
      <c r="A257">
        <v>222</v>
      </c>
      <c r="B257" t="s">
        <v>95</v>
      </c>
      <c r="C257" t="s">
        <v>6</v>
      </c>
      <c r="D257" t="s">
        <v>33</v>
      </c>
      <c r="E257">
        <v>65</v>
      </c>
      <c r="F257">
        <v>55</v>
      </c>
      <c r="G257">
        <v>95</v>
      </c>
      <c r="H257">
        <v>65</v>
      </c>
      <c r="I257">
        <v>95</v>
      </c>
      <c r="J257">
        <v>35</v>
      </c>
      <c r="K257" t="s">
        <v>282</v>
      </c>
      <c r="L257" t="s">
        <v>303</v>
      </c>
      <c r="M257" t="s">
        <v>299</v>
      </c>
      <c r="N257">
        <f t="shared" si="217"/>
        <v>5.2</v>
      </c>
      <c r="O257">
        <f t="shared" si="218"/>
        <v>8.3000000000000007</v>
      </c>
      <c r="P257">
        <v>0</v>
      </c>
      <c r="Q257">
        <v>0</v>
      </c>
      <c r="R257" s="2">
        <f t="shared" si="219"/>
        <v>5</v>
      </c>
      <c r="S257" s="2">
        <f t="shared" si="220"/>
        <v>8</v>
      </c>
      <c r="T257" s="2">
        <f t="shared" si="221"/>
        <v>13</v>
      </c>
      <c r="U257" t="str">
        <f t="shared" si="222"/>
        <v>water</v>
      </c>
      <c r="V257" t="str">
        <f>IF(D257 = 0, "", D257)</f>
        <v>rock</v>
      </c>
      <c r="W257" t="s">
        <v>13</v>
      </c>
      <c r="X257" t="s">
        <v>8</v>
      </c>
      <c r="Z257" s="2" t="str">
        <f t="shared" si="216"/>
        <v/>
      </c>
      <c r="AA257" t="str">
        <f t="shared" si="206"/>
        <v>Corsola</v>
      </c>
      <c r="AC257" t="s">
        <v>501</v>
      </c>
      <c r="AD257" t="str">
        <f>VLOOKUP(AC257,moves!A:B,2,FALSE)</f>
        <v>rock</v>
      </c>
      <c r="AE257">
        <f>VLOOKUP(AC257,moves!A:D,4,FALSE)</f>
        <v>5</v>
      </c>
      <c r="AF257">
        <f>VLOOKUP(AC257,moves!A:F,5,FALSE)</f>
        <v>0</v>
      </c>
      <c r="AG257">
        <v>0</v>
      </c>
      <c r="AH257">
        <v>0</v>
      </c>
      <c r="AI257" t="str" cm="1">
        <f t="array" ref="AI257">_xlfn.IFS(AG257=1, "starter", AH257=1, "legendary",T257&lt; 13, "weak",T257&lt; 17, "moderate", TRUE, "strong")</f>
        <v>moderate</v>
      </c>
      <c r="AK257">
        <v>1</v>
      </c>
      <c r="AL257">
        <v>0</v>
      </c>
      <c r="AM257">
        <v>0</v>
      </c>
    </row>
    <row r="258" spans="1:39" x14ac:dyDescent="0.25">
      <c r="A258">
        <v>147</v>
      </c>
      <c r="B258" t="s">
        <v>66</v>
      </c>
      <c r="C258" t="s">
        <v>67</v>
      </c>
      <c r="D258"/>
      <c r="E258">
        <v>41</v>
      </c>
      <c r="F258">
        <v>64</v>
      </c>
      <c r="G258">
        <v>45</v>
      </c>
      <c r="H258">
        <v>50</v>
      </c>
      <c r="I258">
        <v>50</v>
      </c>
      <c r="J258">
        <v>50</v>
      </c>
      <c r="K258" t="s">
        <v>268</v>
      </c>
      <c r="L258" t="s">
        <v>303</v>
      </c>
      <c r="M258" t="s">
        <v>300</v>
      </c>
      <c r="N258">
        <f t="shared" si="217"/>
        <v>5.7</v>
      </c>
      <c r="O258">
        <f t="shared" si="218"/>
        <v>4.49</v>
      </c>
      <c r="P258">
        <v>0</v>
      </c>
      <c r="Q258">
        <v>0</v>
      </c>
      <c r="R258" s="2">
        <f t="shared" si="219"/>
        <v>6</v>
      </c>
      <c r="S258" s="2">
        <f t="shared" si="220"/>
        <v>4</v>
      </c>
      <c r="T258" s="2">
        <f t="shared" si="221"/>
        <v>10</v>
      </c>
      <c r="U258" t="str">
        <f t="shared" si="222"/>
        <v>dragon</v>
      </c>
      <c r="V258" t="s">
        <v>8</v>
      </c>
      <c r="W258" t="s">
        <v>6</v>
      </c>
      <c r="X258" t="s">
        <v>4</v>
      </c>
      <c r="Y258" t="str">
        <f>B259</f>
        <v>Dragonair</v>
      </c>
      <c r="Z258" s="2">
        <f t="shared" si="216"/>
        <v>4</v>
      </c>
      <c r="AA258" t="str">
        <f t="shared" si="206"/>
        <v>Dratini</v>
      </c>
      <c r="AC258" t="s">
        <v>588</v>
      </c>
      <c r="AD258" t="str">
        <f>VLOOKUP(AC258,moves!A:B,2,FALSE)</f>
        <v>dragon</v>
      </c>
      <c r="AE258">
        <f>VLOOKUP(AC258,moves!A:D,4,FALSE)</f>
        <v>2</v>
      </c>
      <c r="AF258">
        <f>VLOOKUP(AC258,moves!A:F,5,FALSE)</f>
        <v>0</v>
      </c>
      <c r="AG258">
        <v>0</v>
      </c>
      <c r="AH258">
        <v>0</v>
      </c>
      <c r="AI258" t="str" cm="1">
        <f t="array" ref="AI258">_xlfn.IFS(AG258=1, "starter", AH258=1, "legendary",T258&lt; 13, "weak",T258&lt; 17, "moderate", TRUE, "strong")</f>
        <v>weak</v>
      </c>
      <c r="AK258">
        <v>1</v>
      </c>
      <c r="AL258">
        <v>0</v>
      </c>
      <c r="AM258">
        <v>0</v>
      </c>
    </row>
    <row r="259" spans="1:39" x14ac:dyDescent="0.25">
      <c r="A259">
        <v>148</v>
      </c>
      <c r="B259" t="s">
        <v>68</v>
      </c>
      <c r="C259" t="s">
        <v>67</v>
      </c>
      <c r="D259"/>
      <c r="E259">
        <v>61</v>
      </c>
      <c r="F259">
        <v>84</v>
      </c>
      <c r="G259">
        <v>65</v>
      </c>
      <c r="H259">
        <v>70</v>
      </c>
      <c r="I259">
        <v>70</v>
      </c>
      <c r="J259">
        <v>70</v>
      </c>
      <c r="K259" t="s">
        <v>268</v>
      </c>
      <c r="L259" t="s">
        <v>303</v>
      </c>
      <c r="M259" t="s">
        <v>300</v>
      </c>
      <c r="N259">
        <f t="shared" si="217"/>
        <v>7.7</v>
      </c>
      <c r="O259">
        <f t="shared" si="218"/>
        <v>6.49</v>
      </c>
      <c r="P259">
        <v>0</v>
      </c>
      <c r="Q259">
        <v>0</v>
      </c>
      <c r="R259" s="2">
        <f t="shared" si="219"/>
        <v>8</v>
      </c>
      <c r="S259" s="2">
        <f t="shared" si="220"/>
        <v>6</v>
      </c>
      <c r="T259" s="2">
        <f t="shared" si="221"/>
        <v>14</v>
      </c>
      <c r="U259" t="str">
        <f t="shared" si="222"/>
        <v>dragon</v>
      </c>
      <c r="V259" t="s">
        <v>8</v>
      </c>
      <c r="W259" t="s">
        <v>6</v>
      </c>
      <c r="X259" t="s">
        <v>4</v>
      </c>
      <c r="Y259" t="str">
        <f>B260</f>
        <v>Dragonite</v>
      </c>
      <c r="Z259" s="2">
        <f t="shared" si="216"/>
        <v>9</v>
      </c>
      <c r="AA259" t="str">
        <f t="shared" si="206"/>
        <v>Dragonair</v>
      </c>
      <c r="AC259" t="s">
        <v>580</v>
      </c>
      <c r="AD259" t="str">
        <f>VLOOKUP(AC259,moves!A:B,2,FALSE)</f>
        <v>water</v>
      </c>
      <c r="AE259">
        <f>VLOOKUP(AC259,moves!A:D,4,FALSE)</f>
        <v>4</v>
      </c>
      <c r="AF259">
        <f>VLOOKUP(AC259,moves!A:F,5,FALSE)</f>
        <v>0</v>
      </c>
      <c r="AG259">
        <v>0</v>
      </c>
      <c r="AH259">
        <v>0</v>
      </c>
      <c r="AI259" t="str" cm="1">
        <f t="array" ref="AI259">_xlfn.IFS(AG259=1, "starter", AH259=1, "legendary",T259&lt; 13, "weak",T259&lt; 17, "moderate", TRUE, "strong")</f>
        <v>moderate</v>
      </c>
      <c r="AK259">
        <v>2</v>
      </c>
      <c r="AL259">
        <v>0</v>
      </c>
      <c r="AM259">
        <v>0</v>
      </c>
    </row>
    <row r="260" spans="1:39" x14ac:dyDescent="0.25">
      <c r="A260">
        <v>149</v>
      </c>
      <c r="B260" t="s">
        <v>69</v>
      </c>
      <c r="C260" t="s">
        <v>67</v>
      </c>
      <c r="D260" t="s">
        <v>5</v>
      </c>
      <c r="E260">
        <v>91</v>
      </c>
      <c r="F260">
        <v>134</v>
      </c>
      <c r="G260">
        <v>95</v>
      </c>
      <c r="H260">
        <v>100</v>
      </c>
      <c r="I260">
        <v>100</v>
      </c>
      <c r="J260">
        <v>80</v>
      </c>
      <c r="K260" t="s">
        <v>268</v>
      </c>
      <c r="L260" t="s">
        <v>303</v>
      </c>
      <c r="M260" t="s">
        <v>300</v>
      </c>
      <c r="N260">
        <f t="shared" si="217"/>
        <v>10.9</v>
      </c>
      <c r="O260">
        <f t="shared" si="218"/>
        <v>9.49</v>
      </c>
      <c r="P260">
        <v>0</v>
      </c>
      <c r="Q260">
        <v>0</v>
      </c>
      <c r="R260" s="2">
        <f t="shared" si="219"/>
        <v>11</v>
      </c>
      <c r="S260" s="2">
        <f t="shared" si="220"/>
        <v>9</v>
      </c>
      <c r="T260" s="2">
        <f t="shared" si="221"/>
        <v>20</v>
      </c>
      <c r="U260" t="str">
        <f t="shared" si="222"/>
        <v>dragon</v>
      </c>
      <c r="V260" t="str">
        <f t="shared" ref="V260:V269" si="223">IF(D260 = 0, "", D260)</f>
        <v>flying</v>
      </c>
      <c r="W260" t="s">
        <v>6</v>
      </c>
      <c r="X260" t="s">
        <v>4</v>
      </c>
      <c r="Z260" s="2" t="str">
        <f t="shared" si="216"/>
        <v/>
      </c>
      <c r="AA260" t="str">
        <f t="shared" si="206"/>
        <v>Dragonite</v>
      </c>
      <c r="AC260" t="s">
        <v>589</v>
      </c>
      <c r="AD260" t="str">
        <f>VLOOKUP(AC260,moves!A:B,2,FALSE)</f>
        <v>dragon</v>
      </c>
      <c r="AE260">
        <f>VLOOKUP(AC260,moves!A:D,4,FALSE)</f>
        <v>5</v>
      </c>
      <c r="AF260">
        <f>VLOOKUP(AC260,moves!A:F,5,FALSE)</f>
        <v>0</v>
      </c>
      <c r="AG260">
        <v>0</v>
      </c>
      <c r="AH260">
        <v>0</v>
      </c>
      <c r="AI260" t="str" cm="1">
        <f t="array" ref="AI260">_xlfn.IFS(AG260=1, "starter", AH260=1, "legendary",T260&lt; 13, "weak",T260&lt; 17, "moderate", TRUE, "strong")</f>
        <v>strong</v>
      </c>
      <c r="AK260">
        <v>3</v>
      </c>
      <c r="AL260">
        <v>0</v>
      </c>
      <c r="AM260">
        <v>0</v>
      </c>
    </row>
    <row r="261" spans="1:39" x14ac:dyDescent="0.25">
      <c r="A261">
        <v>163</v>
      </c>
      <c r="B261" t="s">
        <v>606</v>
      </c>
      <c r="C261" t="s">
        <v>8</v>
      </c>
      <c r="D261" t="s">
        <v>5</v>
      </c>
      <c r="E261">
        <v>60</v>
      </c>
      <c r="F261">
        <v>30</v>
      </c>
      <c r="G261">
        <v>30</v>
      </c>
      <c r="H261">
        <v>36</v>
      </c>
      <c r="I261">
        <v>56</v>
      </c>
      <c r="J261">
        <v>50</v>
      </c>
      <c r="K261" t="s">
        <v>608</v>
      </c>
      <c r="L261" t="s">
        <v>298</v>
      </c>
      <c r="M261" t="s">
        <v>300</v>
      </c>
      <c r="N261">
        <f t="shared" si="217"/>
        <v>4.0999999999999996</v>
      </c>
      <c r="O261">
        <f t="shared" si="218"/>
        <v>4.9799999999999995</v>
      </c>
      <c r="P261">
        <v>0</v>
      </c>
      <c r="Q261">
        <v>0</v>
      </c>
      <c r="R261" s="2">
        <f t="shared" si="219"/>
        <v>4</v>
      </c>
      <c r="S261" s="2">
        <f t="shared" si="220"/>
        <v>5</v>
      </c>
      <c r="T261" s="2">
        <f t="shared" si="221"/>
        <v>9</v>
      </c>
      <c r="U261" t="str">
        <f t="shared" si="222"/>
        <v>normal</v>
      </c>
      <c r="V261" t="str">
        <f t="shared" si="223"/>
        <v>flying</v>
      </c>
      <c r="W261" t="s">
        <v>26</v>
      </c>
      <c r="X261" t="s">
        <v>16</v>
      </c>
      <c r="Y261" t="str">
        <f>B262</f>
        <v>Noctowl</v>
      </c>
      <c r="Z261" s="2">
        <f t="shared" si="216"/>
        <v>7</v>
      </c>
      <c r="AA261" t="str">
        <f t="shared" si="206"/>
        <v>Hoothoot</v>
      </c>
      <c r="AC261" t="s">
        <v>497</v>
      </c>
      <c r="AD261" t="str">
        <f>VLOOKUP(AC261,moves!A:B,2,FALSE)</f>
        <v>psychic</v>
      </c>
      <c r="AE261">
        <f>VLOOKUP(AC261,moves!A:D,4,FALSE)</f>
        <v>2</v>
      </c>
      <c r="AF261">
        <f>VLOOKUP(AC261,moves!A:F,5,FALSE)</f>
        <v>0</v>
      </c>
      <c r="AG261">
        <v>0</v>
      </c>
      <c r="AH261">
        <v>0</v>
      </c>
      <c r="AI261" t="str" cm="1">
        <f t="array" ref="AI261">_xlfn.IFS(AG261=1, "starter", AH261=1, "legendary",T261&lt; 13, "weak",T261&lt; 17, "moderate", TRUE, "strong")</f>
        <v>weak</v>
      </c>
      <c r="AK261">
        <v>1</v>
      </c>
      <c r="AL261">
        <v>0</v>
      </c>
      <c r="AM261">
        <v>0</v>
      </c>
    </row>
    <row r="262" spans="1:39" x14ac:dyDescent="0.25">
      <c r="A262">
        <v>164</v>
      </c>
      <c r="B262" t="s">
        <v>607</v>
      </c>
      <c r="C262" t="s">
        <v>8</v>
      </c>
      <c r="D262" t="s">
        <v>5</v>
      </c>
      <c r="E262">
        <v>100</v>
      </c>
      <c r="F262">
        <v>50</v>
      </c>
      <c r="G262">
        <v>50</v>
      </c>
      <c r="H262">
        <v>86</v>
      </c>
      <c r="I262">
        <v>96</v>
      </c>
      <c r="J262">
        <v>70</v>
      </c>
      <c r="K262" t="s">
        <v>608</v>
      </c>
      <c r="L262" t="s">
        <v>298</v>
      </c>
      <c r="M262" t="s">
        <v>300</v>
      </c>
      <c r="N262">
        <f t="shared" si="217"/>
        <v>7.6</v>
      </c>
      <c r="O262">
        <f t="shared" si="218"/>
        <v>8.379999999999999</v>
      </c>
      <c r="P262">
        <v>0</v>
      </c>
      <c r="Q262">
        <v>0</v>
      </c>
      <c r="R262" s="2">
        <f t="shared" si="219"/>
        <v>8</v>
      </c>
      <c r="S262" s="2">
        <f t="shared" si="220"/>
        <v>8</v>
      </c>
      <c r="T262" s="2">
        <f t="shared" si="221"/>
        <v>16</v>
      </c>
      <c r="U262" t="str">
        <f t="shared" si="222"/>
        <v>normal</v>
      </c>
      <c r="V262" t="str">
        <f t="shared" si="223"/>
        <v>flying</v>
      </c>
      <c r="W262" t="s">
        <v>26</v>
      </c>
      <c r="X262" t="s">
        <v>16</v>
      </c>
      <c r="Z262" s="2" t="str">
        <f t="shared" si="216"/>
        <v/>
      </c>
      <c r="AA262" t="str">
        <f t="shared" si="206"/>
        <v>Noctowl</v>
      </c>
      <c r="AC262" t="s">
        <v>516</v>
      </c>
      <c r="AD262" t="str">
        <f>VLOOKUP(AC262,moves!A:B,2,FALSE)</f>
        <v>flying</v>
      </c>
      <c r="AE262">
        <f>VLOOKUP(AC262,moves!A:D,4,FALSE)</f>
        <v>4</v>
      </c>
      <c r="AF262">
        <f>VLOOKUP(AC262,moves!A:F,5,FALSE)</f>
        <v>0</v>
      </c>
      <c r="AG262">
        <v>0</v>
      </c>
      <c r="AH262">
        <v>0</v>
      </c>
      <c r="AI262" t="str" cm="1">
        <f t="array" ref="AI262">_xlfn.IFS(AG262=1, "starter", AH262=1, "legendary",T262&lt; 13, "weak",T262&lt; 17, "moderate", TRUE, "strong")</f>
        <v>moderate</v>
      </c>
      <c r="AK262">
        <v>2</v>
      </c>
      <c r="AL262">
        <v>0</v>
      </c>
      <c r="AM262">
        <v>0</v>
      </c>
    </row>
    <row r="263" spans="1:39" x14ac:dyDescent="0.25">
      <c r="A263">
        <v>278</v>
      </c>
      <c r="B263" t="s">
        <v>609</v>
      </c>
      <c r="C263" t="s">
        <v>6</v>
      </c>
      <c r="D263" t="s">
        <v>5</v>
      </c>
      <c r="E263">
        <v>40</v>
      </c>
      <c r="F263">
        <v>30</v>
      </c>
      <c r="G263">
        <v>30</v>
      </c>
      <c r="H263">
        <v>55</v>
      </c>
      <c r="I263">
        <v>30</v>
      </c>
      <c r="J263">
        <v>85</v>
      </c>
      <c r="K263" t="s">
        <v>611</v>
      </c>
      <c r="L263" t="s">
        <v>303</v>
      </c>
      <c r="M263" t="s">
        <v>302</v>
      </c>
      <c r="N263">
        <f t="shared" si="217"/>
        <v>6.45</v>
      </c>
      <c r="O263">
        <f t="shared" si="218"/>
        <v>3.4</v>
      </c>
      <c r="P263">
        <v>0</v>
      </c>
      <c r="Q263">
        <v>0</v>
      </c>
      <c r="R263" s="2">
        <f t="shared" si="219"/>
        <v>6</v>
      </c>
      <c r="S263" s="2">
        <f t="shared" si="220"/>
        <v>3</v>
      </c>
      <c r="T263" s="2">
        <f t="shared" si="221"/>
        <v>9</v>
      </c>
      <c r="U263" t="str">
        <f t="shared" si="222"/>
        <v>water</v>
      </c>
      <c r="V263" t="str">
        <f t="shared" si="223"/>
        <v>flying</v>
      </c>
      <c r="W263" t="s">
        <v>14</v>
      </c>
      <c r="X263" t="s">
        <v>8</v>
      </c>
      <c r="Y263" t="str">
        <f>B264</f>
        <v>Pelipper</v>
      </c>
      <c r="Z263" s="2">
        <f t="shared" si="216"/>
        <v>7</v>
      </c>
      <c r="AA263" t="str">
        <f t="shared" si="206"/>
        <v>Wingull</v>
      </c>
      <c r="AC263" t="s">
        <v>602</v>
      </c>
      <c r="AD263" t="str">
        <f>VLOOKUP(AC263,moves!A:B,2,FALSE)</f>
        <v>water</v>
      </c>
      <c r="AE263">
        <f>VLOOKUP(AC263,moves!A:D,4,FALSE)</f>
        <v>2</v>
      </c>
      <c r="AF263">
        <f>VLOOKUP(AC263,moves!A:F,5,FALSE)</f>
        <v>0</v>
      </c>
      <c r="AG263">
        <v>0</v>
      </c>
      <c r="AH263">
        <v>0</v>
      </c>
      <c r="AI263" t="str" cm="1">
        <f t="array" ref="AI263">_xlfn.IFS(AG263=1, "starter", AH263=1, "legendary",T263&lt; 13, "weak",T263&lt; 17, "moderate", TRUE, "strong")</f>
        <v>weak</v>
      </c>
      <c r="AK263">
        <v>1</v>
      </c>
      <c r="AL263">
        <v>0</v>
      </c>
      <c r="AM263">
        <v>0</v>
      </c>
    </row>
    <row r="264" spans="1:39" x14ac:dyDescent="0.25">
      <c r="A264">
        <v>279</v>
      </c>
      <c r="B264" t="s">
        <v>610</v>
      </c>
      <c r="C264" t="s">
        <v>6</v>
      </c>
      <c r="D264" t="s">
        <v>5</v>
      </c>
      <c r="E264">
        <v>60</v>
      </c>
      <c r="F264">
        <v>50</v>
      </c>
      <c r="G264">
        <v>100</v>
      </c>
      <c r="H264">
        <v>95</v>
      </c>
      <c r="I264">
        <v>70</v>
      </c>
      <c r="J264">
        <v>65</v>
      </c>
      <c r="K264" t="s">
        <v>612</v>
      </c>
      <c r="L264" t="s">
        <v>303</v>
      </c>
      <c r="M264" t="s">
        <v>302</v>
      </c>
      <c r="N264">
        <f t="shared" si="217"/>
        <v>7.85</v>
      </c>
      <c r="O264">
        <f t="shared" si="218"/>
        <v>7.5</v>
      </c>
      <c r="P264">
        <v>0</v>
      </c>
      <c r="Q264">
        <v>0</v>
      </c>
      <c r="R264" s="2">
        <f t="shared" si="219"/>
        <v>8</v>
      </c>
      <c r="S264" s="2">
        <f t="shared" si="220"/>
        <v>8</v>
      </c>
      <c r="T264" s="2">
        <f t="shared" si="221"/>
        <v>16</v>
      </c>
      <c r="U264" t="str">
        <f t="shared" si="222"/>
        <v>water</v>
      </c>
      <c r="V264" t="str">
        <f t="shared" si="223"/>
        <v>flying</v>
      </c>
      <c r="W264" t="s">
        <v>14</v>
      </c>
      <c r="X264" t="s">
        <v>8</v>
      </c>
      <c r="Z264" s="2" t="str">
        <f t="shared" si="216"/>
        <v/>
      </c>
      <c r="AA264" t="str">
        <f t="shared" si="206"/>
        <v>Pelipper</v>
      </c>
      <c r="AC264" t="s">
        <v>613</v>
      </c>
      <c r="AD264" t="str">
        <f>VLOOKUP(AC264,moves!A:B,2,FALSE)</f>
        <v>normal</v>
      </c>
      <c r="AE264">
        <f>VLOOKUP(AC264,moves!A:D,4,FALSE)</f>
        <v>4</v>
      </c>
      <c r="AF264" t="str">
        <f>VLOOKUP(AC264,moves!A:F,5,FALSE)</f>
        <v>decisive</v>
      </c>
      <c r="AG264">
        <v>0</v>
      </c>
      <c r="AH264">
        <v>0</v>
      </c>
      <c r="AI264" t="str" cm="1">
        <f t="array" ref="AI264">_xlfn.IFS(AG264=1, "starter", AH264=1, "legendary",T264&lt; 13, "weak",T264&lt; 17, "moderate", TRUE, "strong")</f>
        <v>moderate</v>
      </c>
      <c r="AK264">
        <v>2</v>
      </c>
      <c r="AL264">
        <v>0</v>
      </c>
      <c r="AM264">
        <v>0</v>
      </c>
    </row>
    <row r="265" spans="1:39" x14ac:dyDescent="0.25">
      <c r="A265">
        <v>203</v>
      </c>
      <c r="B265" t="s">
        <v>614</v>
      </c>
      <c r="C265" t="s">
        <v>8</v>
      </c>
      <c r="D265" t="s">
        <v>26</v>
      </c>
      <c r="E265">
        <v>70</v>
      </c>
      <c r="F265">
        <v>80</v>
      </c>
      <c r="G265">
        <v>65</v>
      </c>
      <c r="H265">
        <v>90</v>
      </c>
      <c r="I265">
        <v>65</v>
      </c>
      <c r="J265">
        <v>85</v>
      </c>
      <c r="K265" t="s">
        <v>615</v>
      </c>
      <c r="L265" t="s">
        <v>301</v>
      </c>
      <c r="M265" t="s">
        <v>300</v>
      </c>
      <c r="N265">
        <f t="shared" si="217"/>
        <v>8.6999999999999993</v>
      </c>
      <c r="O265">
        <f t="shared" si="218"/>
        <v>6.7</v>
      </c>
      <c r="P265">
        <v>0</v>
      </c>
      <c r="Q265">
        <v>0</v>
      </c>
      <c r="R265" s="2">
        <f t="shared" si="219"/>
        <v>9</v>
      </c>
      <c r="S265" s="2">
        <f t="shared" si="220"/>
        <v>7</v>
      </c>
      <c r="T265" s="2">
        <f t="shared" si="221"/>
        <v>16</v>
      </c>
      <c r="U265" t="str">
        <f t="shared" si="222"/>
        <v>normal</v>
      </c>
      <c r="V265" t="str">
        <f t="shared" si="223"/>
        <v>psychic</v>
      </c>
      <c r="W265" t="s">
        <v>9</v>
      </c>
      <c r="X265" t="s">
        <v>11</v>
      </c>
      <c r="Z265" s="2" t="str">
        <f t="shared" si="216"/>
        <v/>
      </c>
      <c r="AA265" t="str">
        <f t="shared" si="206"/>
        <v>Girafarig</v>
      </c>
      <c r="AC265" t="s">
        <v>496</v>
      </c>
      <c r="AD265" t="str">
        <f>VLOOKUP(AC265,moves!A:B,2,FALSE)</f>
        <v>psychic</v>
      </c>
      <c r="AE265">
        <f>VLOOKUP(AC265,moves!A:D,4,FALSE)</f>
        <v>5</v>
      </c>
      <c r="AF265">
        <f>VLOOKUP(AC265,moves!A:F,5,FALSE)</f>
        <v>0</v>
      </c>
      <c r="AG265">
        <v>0</v>
      </c>
      <c r="AH265">
        <v>0</v>
      </c>
      <c r="AI265" t="str" cm="1">
        <f t="array" ref="AI265">_xlfn.IFS(AG265=1, "starter", AH265=1, "legendary",T265&lt; 13, "weak",T265&lt; 17, "moderate", TRUE, "strong")</f>
        <v>moderate</v>
      </c>
      <c r="AK265">
        <v>1</v>
      </c>
      <c r="AL265">
        <v>0</v>
      </c>
      <c r="AM265">
        <v>0</v>
      </c>
    </row>
    <row r="266" spans="1:39" x14ac:dyDescent="0.25">
      <c r="A266">
        <v>72</v>
      </c>
      <c r="B266" t="s">
        <v>616</v>
      </c>
      <c r="C266" t="s">
        <v>6</v>
      </c>
      <c r="D266" t="s">
        <v>3</v>
      </c>
      <c r="E266">
        <v>40</v>
      </c>
      <c r="F266">
        <v>40</v>
      </c>
      <c r="G266">
        <v>35</v>
      </c>
      <c r="H266">
        <v>50</v>
      </c>
      <c r="I266">
        <v>100</v>
      </c>
      <c r="J266">
        <v>70</v>
      </c>
      <c r="K266" t="s">
        <v>618</v>
      </c>
      <c r="L266" t="s">
        <v>303</v>
      </c>
      <c r="M266" t="s">
        <v>300</v>
      </c>
      <c r="N266">
        <f t="shared" si="217"/>
        <v>5.7</v>
      </c>
      <c r="O266">
        <f t="shared" si="218"/>
        <v>5.65</v>
      </c>
      <c r="P266">
        <v>0</v>
      </c>
      <c r="Q266">
        <v>0</v>
      </c>
      <c r="R266" s="2">
        <f t="shared" si="219"/>
        <v>6</v>
      </c>
      <c r="S266" s="2">
        <f t="shared" si="220"/>
        <v>6</v>
      </c>
      <c r="T266" s="2">
        <f t="shared" si="221"/>
        <v>12</v>
      </c>
      <c r="U266" t="str">
        <f t="shared" si="222"/>
        <v>water</v>
      </c>
      <c r="V266" t="str">
        <f t="shared" si="223"/>
        <v>poison</v>
      </c>
      <c r="W266" t="s">
        <v>8</v>
      </c>
      <c r="X266" t="s">
        <v>14</v>
      </c>
      <c r="Y266" t="str">
        <f>B267</f>
        <v>Tentacruel</v>
      </c>
      <c r="Z266" s="2">
        <f t="shared" si="216"/>
        <v>8</v>
      </c>
      <c r="AA266" t="str">
        <f t="shared" si="206"/>
        <v>Tentacool</v>
      </c>
      <c r="AC266" t="s">
        <v>543</v>
      </c>
      <c r="AD266" t="str">
        <f>VLOOKUP(AC266,moves!A:B,2,FALSE)</f>
        <v>water</v>
      </c>
      <c r="AE266">
        <f>VLOOKUP(AC266,moves!A:D,4,FALSE)</f>
        <v>3</v>
      </c>
      <c r="AF266">
        <f>VLOOKUP(AC266,moves!A:F,5,FALSE)</f>
        <v>0</v>
      </c>
      <c r="AG266">
        <v>0</v>
      </c>
      <c r="AH266">
        <v>0</v>
      </c>
      <c r="AI266" t="str" cm="1">
        <f t="array" ref="AI266">_xlfn.IFS(AG266=1, "starter", AH266=1, "legendary",T266&lt; 13, "weak",T266&lt; 17, "moderate", TRUE, "strong")</f>
        <v>weak</v>
      </c>
      <c r="AK266">
        <v>1</v>
      </c>
      <c r="AL266">
        <v>0</v>
      </c>
      <c r="AM266">
        <v>0</v>
      </c>
    </row>
    <row r="267" spans="1:39" x14ac:dyDescent="0.25">
      <c r="A267">
        <v>73</v>
      </c>
      <c r="B267" t="s">
        <v>617</v>
      </c>
      <c r="C267" t="s">
        <v>6</v>
      </c>
      <c r="D267" t="s">
        <v>3</v>
      </c>
      <c r="E267">
        <v>80</v>
      </c>
      <c r="F267">
        <v>70</v>
      </c>
      <c r="G267">
        <v>65</v>
      </c>
      <c r="H267">
        <v>80</v>
      </c>
      <c r="I267">
        <v>120</v>
      </c>
      <c r="J267">
        <v>100</v>
      </c>
      <c r="K267" t="s">
        <v>618</v>
      </c>
      <c r="L267" t="s">
        <v>303</v>
      </c>
      <c r="M267" t="s">
        <v>300</v>
      </c>
      <c r="N267">
        <f t="shared" si="217"/>
        <v>8.6999999999999993</v>
      </c>
      <c r="O267">
        <f t="shared" si="218"/>
        <v>8.75</v>
      </c>
      <c r="P267">
        <v>0</v>
      </c>
      <c r="Q267">
        <v>0</v>
      </c>
      <c r="R267" s="2">
        <f t="shared" si="219"/>
        <v>9</v>
      </c>
      <c r="S267" s="2">
        <f t="shared" si="220"/>
        <v>9</v>
      </c>
      <c r="T267" s="2">
        <f t="shared" si="221"/>
        <v>18</v>
      </c>
      <c r="U267" t="str">
        <f t="shared" si="222"/>
        <v>water</v>
      </c>
      <c r="V267" t="str">
        <f t="shared" si="223"/>
        <v>poison</v>
      </c>
      <c r="W267" t="s">
        <v>8</v>
      </c>
      <c r="X267" t="s">
        <v>14</v>
      </c>
      <c r="Z267" s="2" t="str">
        <f t="shared" si="216"/>
        <v/>
      </c>
      <c r="AA267" t="str">
        <f t="shared" si="206"/>
        <v>Tentacruel</v>
      </c>
      <c r="AC267" t="s">
        <v>619</v>
      </c>
      <c r="AD267" t="str">
        <f>VLOOKUP(AC267,moves!A:B,2,FALSE)</f>
        <v>poison</v>
      </c>
      <c r="AE267">
        <f>VLOOKUP(AC267,moves!A:D,4,FALSE)</f>
        <v>5</v>
      </c>
      <c r="AF267">
        <f>VLOOKUP(AC267,moves!A:F,5,FALSE)</f>
        <v>0</v>
      </c>
      <c r="AG267">
        <v>0</v>
      </c>
      <c r="AH267">
        <v>0</v>
      </c>
      <c r="AI267" t="str" cm="1">
        <f t="array" ref="AI267">_xlfn.IFS(AG267=1, "starter", AH267=1, "legendary",T267&lt; 13, "weak",T267&lt; 17, "moderate", TRUE, "strong")</f>
        <v>strong</v>
      </c>
      <c r="AK267">
        <v>2</v>
      </c>
      <c r="AL267">
        <v>0</v>
      </c>
      <c r="AM267">
        <v>0</v>
      </c>
    </row>
    <row r="268" spans="1:39" x14ac:dyDescent="0.25">
      <c r="A268">
        <v>339</v>
      </c>
      <c r="B268" t="s">
        <v>620</v>
      </c>
      <c r="C268" t="s">
        <v>6</v>
      </c>
      <c r="D268" t="s">
        <v>13</v>
      </c>
      <c r="E268">
        <v>50</v>
      </c>
      <c r="F268">
        <v>48</v>
      </c>
      <c r="G268">
        <v>43</v>
      </c>
      <c r="H268">
        <v>46</v>
      </c>
      <c r="I268">
        <v>41</v>
      </c>
      <c r="J268">
        <v>60</v>
      </c>
      <c r="K268" t="s">
        <v>622</v>
      </c>
      <c r="L268" t="s">
        <v>303</v>
      </c>
      <c r="M268" t="s">
        <v>300</v>
      </c>
      <c r="N268">
        <f t="shared" si="217"/>
        <v>5.26</v>
      </c>
      <c r="O268">
        <f t="shared" si="218"/>
        <v>4.5199999999999996</v>
      </c>
      <c r="P268">
        <v>0</v>
      </c>
      <c r="Q268">
        <v>0</v>
      </c>
      <c r="R268" s="2">
        <f t="shared" si="219"/>
        <v>5</v>
      </c>
      <c r="S268" s="2">
        <f t="shared" si="220"/>
        <v>5</v>
      </c>
      <c r="T268" s="2">
        <f t="shared" si="221"/>
        <v>10</v>
      </c>
      <c r="U268" t="str">
        <f t="shared" si="222"/>
        <v>water</v>
      </c>
      <c r="V268" t="str">
        <f t="shared" si="223"/>
        <v>ground</v>
      </c>
      <c r="W268" t="s">
        <v>26</v>
      </c>
      <c r="X268" t="s">
        <v>8</v>
      </c>
      <c r="Y268" t="str">
        <f>B269</f>
        <v>Whiscash</v>
      </c>
      <c r="Z268" s="2">
        <f t="shared" si="216"/>
        <v>6</v>
      </c>
      <c r="AA268" t="str">
        <f t="shared" ref="AA268:AA386" si="224">B268</f>
        <v>Barboach</v>
      </c>
      <c r="AC268" t="s">
        <v>543</v>
      </c>
      <c r="AD268" t="str">
        <f>VLOOKUP(AC268,moves!A:B,2,FALSE)</f>
        <v>water</v>
      </c>
      <c r="AE268">
        <f>VLOOKUP(AC268,moves!A:D,4,FALSE)</f>
        <v>3</v>
      </c>
      <c r="AF268">
        <f>VLOOKUP(AC268,moves!A:F,5,FALSE)</f>
        <v>0</v>
      </c>
      <c r="AG268">
        <v>0</v>
      </c>
      <c r="AH268">
        <v>0</v>
      </c>
      <c r="AI268" t="str" cm="1">
        <f t="array" ref="AI268">_xlfn.IFS(AG268=1, "starter", AH268=1, "legendary",T268&lt; 13, "weak",T268&lt; 17, "moderate", TRUE, "strong")</f>
        <v>weak</v>
      </c>
      <c r="AK268">
        <v>1</v>
      </c>
      <c r="AL268">
        <v>0</v>
      </c>
      <c r="AM268">
        <v>0</v>
      </c>
    </row>
    <row r="269" spans="1:39" x14ac:dyDescent="0.25">
      <c r="A269">
        <v>340</v>
      </c>
      <c r="B269" t="s">
        <v>621</v>
      </c>
      <c r="C269" t="s">
        <v>6</v>
      </c>
      <c r="D269" t="s">
        <v>13</v>
      </c>
      <c r="E269">
        <v>110</v>
      </c>
      <c r="F269">
        <v>78</v>
      </c>
      <c r="G269">
        <v>73</v>
      </c>
      <c r="H269">
        <v>76</v>
      </c>
      <c r="I269">
        <v>71</v>
      </c>
      <c r="J269">
        <v>60</v>
      </c>
      <c r="K269" t="s">
        <v>622</v>
      </c>
      <c r="L269" t="s">
        <v>303</v>
      </c>
      <c r="M269" t="s">
        <v>300</v>
      </c>
      <c r="N269">
        <f t="shared" si="217"/>
        <v>7.06</v>
      </c>
      <c r="O269">
        <f t="shared" si="218"/>
        <v>8.7200000000000006</v>
      </c>
      <c r="P269">
        <v>0</v>
      </c>
      <c r="Q269">
        <v>0</v>
      </c>
      <c r="R269" s="2">
        <f t="shared" si="219"/>
        <v>7</v>
      </c>
      <c r="S269" s="2">
        <f t="shared" si="220"/>
        <v>9</v>
      </c>
      <c r="T269" s="2">
        <f t="shared" si="221"/>
        <v>16</v>
      </c>
      <c r="U269" t="str">
        <f t="shared" si="222"/>
        <v>water</v>
      </c>
      <c r="V269" t="str">
        <f t="shared" si="223"/>
        <v>ground</v>
      </c>
      <c r="W269" t="s">
        <v>26</v>
      </c>
      <c r="X269" t="s">
        <v>8</v>
      </c>
      <c r="Z269" s="2" t="str">
        <f t="shared" si="216"/>
        <v/>
      </c>
      <c r="AA269" t="str">
        <f t="shared" si="224"/>
        <v>Whiscash</v>
      </c>
      <c r="AC269" t="s">
        <v>485</v>
      </c>
      <c r="AD269" t="str">
        <f>VLOOKUP(AC269,moves!A:B,2,FALSE)</f>
        <v>ground</v>
      </c>
      <c r="AE269">
        <f>VLOOKUP(AC269,moves!A:D,4,FALSE)</f>
        <v>5</v>
      </c>
      <c r="AF269">
        <f>VLOOKUP(AC269,moves!A:F,5,FALSE)</f>
        <v>0</v>
      </c>
      <c r="AG269">
        <v>0</v>
      </c>
      <c r="AH269">
        <v>0</v>
      </c>
      <c r="AI269" t="str" cm="1">
        <f t="array" ref="AI269">_xlfn.IFS(AG269=1, "starter", AH269=1, "legendary",T269&lt; 13, "weak",T269&lt; 17, "moderate", TRUE, "strong")</f>
        <v>moderate</v>
      </c>
      <c r="AK269">
        <v>2</v>
      </c>
      <c r="AL269">
        <v>0</v>
      </c>
      <c r="AM269">
        <v>0</v>
      </c>
    </row>
    <row r="270" spans="1:39" x14ac:dyDescent="0.25">
      <c r="A270">
        <v>54</v>
      </c>
      <c r="B270" t="s">
        <v>623</v>
      </c>
      <c r="C270" t="s">
        <v>6</v>
      </c>
      <c r="D270"/>
      <c r="E270">
        <v>50</v>
      </c>
      <c r="F270">
        <v>52</v>
      </c>
      <c r="G270">
        <v>48</v>
      </c>
      <c r="H270">
        <v>65</v>
      </c>
      <c r="I270">
        <v>50</v>
      </c>
      <c r="J270">
        <v>55</v>
      </c>
      <c r="K270" t="s">
        <v>625</v>
      </c>
      <c r="L270" t="s">
        <v>301</v>
      </c>
      <c r="M270" t="s">
        <v>300</v>
      </c>
      <c r="N270">
        <f t="shared" si="217"/>
        <v>5.9700000000000006</v>
      </c>
      <c r="O270">
        <f t="shared" si="218"/>
        <v>4.9399999999999995</v>
      </c>
      <c r="P270">
        <v>0</v>
      </c>
      <c r="Q270">
        <v>0</v>
      </c>
      <c r="R270" s="2">
        <f t="shared" si="219"/>
        <v>6</v>
      </c>
      <c r="S270" s="2">
        <f t="shared" si="220"/>
        <v>5</v>
      </c>
      <c r="T270" s="2">
        <f t="shared" si="221"/>
        <v>11</v>
      </c>
      <c r="U270" t="str">
        <f t="shared" si="222"/>
        <v>water</v>
      </c>
      <c r="V270" t="s">
        <v>26</v>
      </c>
      <c r="W270" t="s">
        <v>8</v>
      </c>
      <c r="X270" t="s">
        <v>14</v>
      </c>
      <c r="Y270" t="str">
        <f>B271</f>
        <v>Golduck</v>
      </c>
      <c r="Z270" s="2">
        <f t="shared" si="216"/>
        <v>7</v>
      </c>
      <c r="AA270" t="str">
        <f t="shared" si="224"/>
        <v>Psyduck</v>
      </c>
      <c r="AC270" t="s">
        <v>497</v>
      </c>
      <c r="AD270" t="str">
        <f>VLOOKUP(AC270,moves!A:B,2,FALSE)</f>
        <v>psychic</v>
      </c>
      <c r="AE270">
        <f>VLOOKUP(AC270,moves!A:D,4,FALSE)</f>
        <v>2</v>
      </c>
      <c r="AF270">
        <f>VLOOKUP(AC270,moves!A:F,5,FALSE)</f>
        <v>0</v>
      </c>
      <c r="AG270">
        <v>0</v>
      </c>
      <c r="AH270">
        <v>0</v>
      </c>
      <c r="AI270" t="str" cm="1">
        <f t="array" ref="AI270">_xlfn.IFS(AG270=1, "starter", AH270=1, "legendary",T270&lt; 13, "weak",T270&lt; 17, "moderate", TRUE, "strong")</f>
        <v>weak</v>
      </c>
      <c r="AK270">
        <v>1</v>
      </c>
      <c r="AL270">
        <v>0</v>
      </c>
      <c r="AM270">
        <v>0</v>
      </c>
    </row>
    <row r="271" spans="1:39" x14ac:dyDescent="0.25">
      <c r="A271">
        <v>55</v>
      </c>
      <c r="B271" t="s">
        <v>624</v>
      </c>
      <c r="C271" t="s">
        <v>6</v>
      </c>
      <c r="D271"/>
      <c r="E271">
        <v>80</v>
      </c>
      <c r="F271">
        <v>82</v>
      </c>
      <c r="G271">
        <v>78</v>
      </c>
      <c r="H271">
        <v>95</v>
      </c>
      <c r="I271">
        <v>80</v>
      </c>
      <c r="J271">
        <v>85</v>
      </c>
      <c r="K271" t="s">
        <v>625</v>
      </c>
      <c r="L271" t="s">
        <v>301</v>
      </c>
      <c r="M271" t="s">
        <v>300</v>
      </c>
      <c r="N271">
        <f t="shared" si="217"/>
        <v>8.9700000000000006</v>
      </c>
      <c r="O271">
        <f t="shared" si="218"/>
        <v>7.94</v>
      </c>
      <c r="P271">
        <v>0</v>
      </c>
      <c r="Q271">
        <v>0</v>
      </c>
      <c r="R271" s="2">
        <f t="shared" si="219"/>
        <v>9</v>
      </c>
      <c r="S271" s="2">
        <f t="shared" si="220"/>
        <v>8</v>
      </c>
      <c r="T271" s="2">
        <f t="shared" si="221"/>
        <v>17</v>
      </c>
      <c r="U271" t="str">
        <f t="shared" si="222"/>
        <v>water</v>
      </c>
      <c r="V271" t="s">
        <v>26</v>
      </c>
      <c r="W271" t="s">
        <v>8</v>
      </c>
      <c r="X271" t="s">
        <v>14</v>
      </c>
      <c r="Z271" s="2" t="str">
        <f t="shared" si="216"/>
        <v/>
      </c>
      <c r="AA271" t="str">
        <f t="shared" si="224"/>
        <v>Golduck</v>
      </c>
      <c r="AC271" t="s">
        <v>480</v>
      </c>
      <c r="AD271" t="str">
        <f>VLOOKUP(AC271,moves!A:B,2,FALSE)</f>
        <v>water</v>
      </c>
      <c r="AE271">
        <f>VLOOKUP(AC271,moves!A:D,4,FALSE)</f>
        <v>5</v>
      </c>
      <c r="AF271">
        <f>VLOOKUP(AC271,moves!A:F,5,FALSE)</f>
        <v>0</v>
      </c>
      <c r="AG271">
        <v>0</v>
      </c>
      <c r="AH271">
        <v>0</v>
      </c>
      <c r="AI271" t="str" cm="1">
        <f t="array" ref="AI271">_xlfn.IFS(AG271=1, "starter", AH271=1, "legendary",T271&lt; 13, "weak",T271&lt; 17, "moderate", TRUE, "strong")</f>
        <v>strong</v>
      </c>
      <c r="AK271">
        <v>2</v>
      </c>
      <c r="AL271">
        <v>0</v>
      </c>
      <c r="AM271">
        <v>0</v>
      </c>
    </row>
    <row r="272" spans="1:39" x14ac:dyDescent="0.25">
      <c r="A272">
        <v>118</v>
      </c>
      <c r="B272" t="s">
        <v>626</v>
      </c>
      <c r="C272" t="s">
        <v>6</v>
      </c>
      <c r="D272"/>
      <c r="E272">
        <v>45</v>
      </c>
      <c r="F272">
        <v>67</v>
      </c>
      <c r="G272">
        <v>60</v>
      </c>
      <c r="H272">
        <v>35</v>
      </c>
      <c r="I272">
        <v>50</v>
      </c>
      <c r="J272">
        <v>63</v>
      </c>
      <c r="K272" t="s">
        <v>628</v>
      </c>
      <c r="L272" t="s">
        <v>303</v>
      </c>
      <c r="M272" t="s">
        <v>302</v>
      </c>
      <c r="N272">
        <f t="shared" si="217"/>
        <v>6.2200000000000006</v>
      </c>
      <c r="O272">
        <f t="shared" si="218"/>
        <v>5.0999999999999996</v>
      </c>
      <c r="P272">
        <v>0</v>
      </c>
      <c r="Q272">
        <v>0</v>
      </c>
      <c r="R272" s="2">
        <f t="shared" si="219"/>
        <v>6</v>
      </c>
      <c r="S272" s="2">
        <f t="shared" si="220"/>
        <v>5</v>
      </c>
      <c r="T272" s="2">
        <f t="shared" si="221"/>
        <v>11</v>
      </c>
      <c r="U272" t="str">
        <f t="shared" ref="U272:U367" si="225">C272</f>
        <v>water</v>
      </c>
      <c r="V272" t="s">
        <v>8</v>
      </c>
      <c r="W272" t="s">
        <v>7</v>
      </c>
      <c r="X272" t="s">
        <v>14</v>
      </c>
      <c r="Y272" t="str">
        <f>B273</f>
        <v>Seaking</v>
      </c>
      <c r="Z272" s="2">
        <f t="shared" si="216"/>
        <v>6</v>
      </c>
      <c r="AA272" t="str">
        <f t="shared" si="224"/>
        <v>Goldeen</v>
      </c>
      <c r="AC272" t="s">
        <v>602</v>
      </c>
      <c r="AD272" t="str">
        <f>VLOOKUP(AC272,moves!A:B,2,FALSE)</f>
        <v>water</v>
      </c>
      <c r="AE272">
        <f>VLOOKUP(AC272,moves!A:D,4,FALSE)</f>
        <v>2</v>
      </c>
      <c r="AF272">
        <f>VLOOKUP(AC272,moves!A:F,5,FALSE)</f>
        <v>0</v>
      </c>
      <c r="AG272">
        <v>0</v>
      </c>
      <c r="AH272">
        <v>0</v>
      </c>
      <c r="AI272" t="str" cm="1">
        <f t="array" ref="AI272">_xlfn.IFS(AG272=1, "starter", AH272=1, "legendary",T272&lt; 13, "weak",T272&lt; 17, "moderate", TRUE, "strong")</f>
        <v>weak</v>
      </c>
      <c r="AK272">
        <v>1</v>
      </c>
      <c r="AL272">
        <v>0</v>
      </c>
      <c r="AM272">
        <v>0</v>
      </c>
    </row>
    <row r="273" spans="1:39" x14ac:dyDescent="0.25">
      <c r="A273">
        <v>119</v>
      </c>
      <c r="B273" t="s">
        <v>627</v>
      </c>
      <c r="C273" t="s">
        <v>6</v>
      </c>
      <c r="D273"/>
      <c r="E273">
        <v>80</v>
      </c>
      <c r="F273">
        <v>92</v>
      </c>
      <c r="G273">
        <v>65</v>
      </c>
      <c r="H273">
        <v>65</v>
      </c>
      <c r="I273">
        <v>80</v>
      </c>
      <c r="J273">
        <v>68</v>
      </c>
      <c r="K273" t="s">
        <v>628</v>
      </c>
      <c r="L273" t="s">
        <v>303</v>
      </c>
      <c r="M273" t="s">
        <v>302</v>
      </c>
      <c r="N273">
        <f t="shared" si="217"/>
        <v>7.9700000000000006</v>
      </c>
      <c r="O273">
        <f t="shared" si="218"/>
        <v>7.55</v>
      </c>
      <c r="P273">
        <v>0</v>
      </c>
      <c r="Q273">
        <v>0</v>
      </c>
      <c r="R273" s="2">
        <f t="shared" si="219"/>
        <v>8</v>
      </c>
      <c r="S273" s="2">
        <f t="shared" si="220"/>
        <v>8</v>
      </c>
      <c r="T273" s="2">
        <f t="shared" si="221"/>
        <v>16</v>
      </c>
      <c r="U273" t="str">
        <f t="shared" si="225"/>
        <v>water</v>
      </c>
      <c r="V273" t="s">
        <v>8</v>
      </c>
      <c r="W273" t="s">
        <v>7</v>
      </c>
      <c r="X273" t="s">
        <v>14</v>
      </c>
      <c r="Z273" s="2" t="str">
        <f t="shared" si="216"/>
        <v/>
      </c>
      <c r="AA273" t="str">
        <f t="shared" si="224"/>
        <v>Seaking</v>
      </c>
      <c r="AC273" t="s">
        <v>498</v>
      </c>
      <c r="AD273" t="str">
        <f>VLOOKUP(AC273,moves!A:B,2,FALSE)</f>
        <v>bug</v>
      </c>
      <c r="AE273">
        <f>VLOOKUP(AC273,moves!A:D,4,FALSE)</f>
        <v>5</v>
      </c>
      <c r="AF273">
        <f>VLOOKUP(AC273,moves!A:F,5,FALSE)</f>
        <v>0</v>
      </c>
      <c r="AG273">
        <v>0</v>
      </c>
      <c r="AH273">
        <v>0</v>
      </c>
      <c r="AI273" t="str" cm="1">
        <f t="array" ref="AI273">_xlfn.IFS(AG273=1, "starter", AH273=1, "legendary",T273&lt; 13, "weak",T273&lt; 17, "moderate", TRUE, "strong")</f>
        <v>moderate</v>
      </c>
      <c r="AK273">
        <v>2</v>
      </c>
      <c r="AL273">
        <v>0</v>
      </c>
      <c r="AM273">
        <v>0</v>
      </c>
    </row>
    <row r="274" spans="1:39" x14ac:dyDescent="0.25">
      <c r="A274">
        <v>550</v>
      </c>
      <c r="B274" t="s">
        <v>642</v>
      </c>
      <c r="C274" t="s">
        <v>6</v>
      </c>
      <c r="D274"/>
      <c r="E274">
        <v>70</v>
      </c>
      <c r="F274">
        <v>92</v>
      </c>
      <c r="G274">
        <v>65</v>
      </c>
      <c r="H274">
        <v>80</v>
      </c>
      <c r="I274">
        <v>55</v>
      </c>
      <c r="J274">
        <v>98</v>
      </c>
      <c r="K274" t="s">
        <v>641</v>
      </c>
      <c r="L274" t="s">
        <v>303</v>
      </c>
      <c r="M274" t="s">
        <v>302</v>
      </c>
      <c r="N274">
        <f t="shared" si="217"/>
        <v>9.32</v>
      </c>
      <c r="O274">
        <f t="shared" si="218"/>
        <v>6.4</v>
      </c>
      <c r="P274">
        <v>0</v>
      </c>
      <c r="Q274">
        <v>0</v>
      </c>
      <c r="R274" s="2">
        <f t="shared" si="219"/>
        <v>9</v>
      </c>
      <c r="S274" s="2">
        <f t="shared" si="220"/>
        <v>6</v>
      </c>
      <c r="T274" s="2">
        <f t="shared" si="221"/>
        <v>15</v>
      </c>
      <c r="U274" t="str">
        <f t="shared" si="225"/>
        <v>water</v>
      </c>
      <c r="V274" t="s">
        <v>9</v>
      </c>
      <c r="W274" t="s">
        <v>22</v>
      </c>
      <c r="X274" t="s">
        <v>33</v>
      </c>
      <c r="Z274" s="2" t="str">
        <f t="shared" si="216"/>
        <v/>
      </c>
      <c r="AA274" t="str">
        <f t="shared" si="224"/>
        <v>Basculin</v>
      </c>
      <c r="AC274" t="s">
        <v>635</v>
      </c>
      <c r="AD274" t="str">
        <f>VLOOKUP(AC274,moves!A:B,2,FALSE)</f>
        <v>water</v>
      </c>
      <c r="AE274">
        <f>VLOOKUP(AC274,moves!A:D,4,FALSE)</f>
        <v>3</v>
      </c>
      <c r="AF274" t="str">
        <f>VLOOKUP(AC274,moves!A:F,5,FALSE)</f>
        <v>switch</v>
      </c>
      <c r="AG274">
        <v>0</v>
      </c>
      <c r="AH274">
        <v>0</v>
      </c>
      <c r="AI274" t="str" cm="1">
        <f t="array" ref="AI274">_xlfn.IFS(AG274=1, "starter", AH274=1, "legendary",T274&lt; 13, "weak",T274&lt; 17, "moderate", TRUE, "strong")</f>
        <v>moderate</v>
      </c>
      <c r="AK274">
        <v>1</v>
      </c>
      <c r="AL274">
        <v>0</v>
      </c>
      <c r="AM274">
        <v>0</v>
      </c>
    </row>
    <row r="275" spans="1:39" x14ac:dyDescent="0.25">
      <c r="A275">
        <v>123</v>
      </c>
      <c r="B275" t="s">
        <v>644</v>
      </c>
      <c r="C275" t="s">
        <v>7</v>
      </c>
      <c r="D275" t="s">
        <v>5</v>
      </c>
      <c r="E275">
        <v>70</v>
      </c>
      <c r="F275">
        <v>110</v>
      </c>
      <c r="G275">
        <v>80</v>
      </c>
      <c r="H275">
        <v>55</v>
      </c>
      <c r="I275">
        <v>80</v>
      </c>
      <c r="J275">
        <v>105</v>
      </c>
      <c r="K275" t="s">
        <v>645</v>
      </c>
      <c r="L275" t="s">
        <v>298</v>
      </c>
      <c r="M275" t="s">
        <v>299</v>
      </c>
      <c r="N275">
        <f t="shared" si="217"/>
        <v>10.25</v>
      </c>
      <c r="O275">
        <f t="shared" si="218"/>
        <v>7.6</v>
      </c>
      <c r="P275">
        <v>0</v>
      </c>
      <c r="Q275">
        <v>0</v>
      </c>
      <c r="R275" s="2">
        <f t="shared" si="219"/>
        <v>10</v>
      </c>
      <c r="S275" s="2">
        <f t="shared" si="220"/>
        <v>8</v>
      </c>
      <c r="T275" s="2">
        <f t="shared" si="221"/>
        <v>18</v>
      </c>
      <c r="U275" t="str">
        <f t="shared" si="225"/>
        <v>bug</v>
      </c>
      <c r="V275" t="str">
        <f>IF(D275 = 0, "", D275)</f>
        <v>flying</v>
      </c>
      <c r="W275" t="s">
        <v>39</v>
      </c>
      <c r="X275" t="s">
        <v>8</v>
      </c>
      <c r="Y275" t="s">
        <v>646</v>
      </c>
      <c r="Z275" s="2">
        <f t="shared" si="216"/>
        <v>3</v>
      </c>
      <c r="AA275" t="str">
        <f t="shared" si="224"/>
        <v>Scyther</v>
      </c>
      <c r="AC275" t="s">
        <v>648</v>
      </c>
      <c r="AD275" t="str">
        <f>VLOOKUP(AC275,moves!A:B,2,FALSE)</f>
        <v>bug</v>
      </c>
      <c r="AE275">
        <f>VLOOKUP(AC275,moves!A:D,4,FALSE)</f>
        <v>4</v>
      </c>
      <c r="AF275">
        <f>VLOOKUP(AC275,moves!A:F,5,FALSE)</f>
        <v>0</v>
      </c>
      <c r="AG275">
        <v>0</v>
      </c>
      <c r="AH275">
        <v>0</v>
      </c>
      <c r="AI275" t="str" cm="1">
        <f t="array" ref="AI275">_xlfn.IFS(AG275=1, "starter", AH275=1, "legendary",T275&lt; 13, "weak",T275&lt; 17, "moderate", TRUE, "strong")</f>
        <v>strong</v>
      </c>
      <c r="AK275">
        <v>1</v>
      </c>
      <c r="AL275">
        <v>0</v>
      </c>
      <c r="AM275">
        <v>0</v>
      </c>
    </row>
    <row r="276" spans="1:39" x14ac:dyDescent="0.25">
      <c r="A276">
        <v>212</v>
      </c>
      <c r="B276" t="s">
        <v>646</v>
      </c>
      <c r="C276" t="s">
        <v>7</v>
      </c>
      <c r="D276" t="s">
        <v>39</v>
      </c>
      <c r="E276">
        <v>70</v>
      </c>
      <c r="F276">
        <v>130</v>
      </c>
      <c r="G276">
        <v>100</v>
      </c>
      <c r="H276">
        <v>55</v>
      </c>
      <c r="I276">
        <v>80</v>
      </c>
      <c r="J276">
        <v>65</v>
      </c>
      <c r="K276" t="s">
        <v>647</v>
      </c>
      <c r="L276" t="s">
        <v>298</v>
      </c>
      <c r="M276" t="s">
        <v>299</v>
      </c>
      <c r="N276">
        <f t="shared" si="217"/>
        <v>9.65</v>
      </c>
      <c r="O276">
        <f t="shared" si="218"/>
        <v>8.1999999999999993</v>
      </c>
      <c r="P276">
        <v>0</v>
      </c>
      <c r="Q276">
        <v>1</v>
      </c>
      <c r="R276" s="2">
        <f t="shared" si="219"/>
        <v>10</v>
      </c>
      <c r="S276" s="2">
        <f t="shared" si="220"/>
        <v>9</v>
      </c>
      <c r="T276" s="2">
        <f t="shared" si="221"/>
        <v>19</v>
      </c>
      <c r="U276" t="str">
        <f t="shared" si="225"/>
        <v>bug</v>
      </c>
      <c r="V276" t="str">
        <f>IF(D276 = 0, "", D276)</f>
        <v>steel</v>
      </c>
      <c r="W276" t="s">
        <v>5</v>
      </c>
      <c r="X276" t="s">
        <v>8</v>
      </c>
      <c r="Z276" s="2" t="str">
        <f t="shared" si="216"/>
        <v/>
      </c>
      <c r="AA276" t="str">
        <f t="shared" si="224"/>
        <v>Scizor</v>
      </c>
      <c r="AC276" t="s">
        <v>649</v>
      </c>
      <c r="AD276" t="str">
        <f>VLOOKUP(AC276,moves!A:B,2,FALSE)</f>
        <v>steel</v>
      </c>
      <c r="AE276">
        <f>VLOOKUP(AC276,moves!A:D,4,FALSE)</f>
        <v>2</v>
      </c>
      <c r="AF276" t="str">
        <f>VLOOKUP(AC276,moves!A:F,5,FALSE)</f>
        <v>agile</v>
      </c>
      <c r="AG276">
        <v>0</v>
      </c>
      <c r="AH276">
        <v>0</v>
      </c>
      <c r="AI276" t="str" cm="1">
        <f t="array" ref="AI276">_xlfn.IFS(AG276=1, "starter", AH276=1, "legendary",T276&lt; 13, "weak",T276&lt; 17, "moderate", TRUE, "strong")</f>
        <v>strong</v>
      </c>
      <c r="AK276">
        <v>2</v>
      </c>
      <c r="AL276">
        <v>0</v>
      </c>
      <c r="AM276">
        <v>0</v>
      </c>
    </row>
    <row r="277" spans="1:39" x14ac:dyDescent="0.25">
      <c r="A277">
        <v>100</v>
      </c>
      <c r="B277" t="s">
        <v>653</v>
      </c>
      <c r="C277" t="s">
        <v>11</v>
      </c>
      <c r="D277"/>
      <c r="E277">
        <v>40</v>
      </c>
      <c r="F277">
        <v>30</v>
      </c>
      <c r="G277">
        <v>50</v>
      </c>
      <c r="H277">
        <v>55</v>
      </c>
      <c r="I277">
        <v>55</v>
      </c>
      <c r="J277">
        <v>100</v>
      </c>
      <c r="K277" t="s">
        <v>655</v>
      </c>
      <c r="L277" t="s">
        <v>301</v>
      </c>
      <c r="M277" t="s">
        <v>300</v>
      </c>
      <c r="N277">
        <f t="shared" si="217"/>
        <v>7.05</v>
      </c>
      <c r="O277">
        <f t="shared" si="218"/>
        <v>4.75</v>
      </c>
      <c r="P277">
        <v>0</v>
      </c>
      <c r="Q277">
        <v>0</v>
      </c>
      <c r="R277" s="2">
        <f t="shared" si="219"/>
        <v>7</v>
      </c>
      <c r="S277" s="2">
        <f t="shared" si="220"/>
        <v>5</v>
      </c>
      <c r="T277" s="2">
        <f t="shared" si="221"/>
        <v>12</v>
      </c>
      <c r="U277" t="str">
        <f t="shared" si="225"/>
        <v>electric</v>
      </c>
      <c r="V277" t="s">
        <v>8</v>
      </c>
      <c r="W277" t="s">
        <v>33</v>
      </c>
      <c r="X277" t="s">
        <v>39</v>
      </c>
      <c r="Y277" t="s">
        <v>654</v>
      </c>
      <c r="Z277" s="2">
        <f t="shared" si="216"/>
        <v>8</v>
      </c>
      <c r="AA277" t="str">
        <f t="shared" si="224"/>
        <v>Voltorb</v>
      </c>
      <c r="AC277" t="s">
        <v>656</v>
      </c>
      <c r="AD277" t="str">
        <f>VLOOKUP(AC277,moves!A:B,2,FALSE)</f>
        <v>electric</v>
      </c>
      <c r="AE277" t="str">
        <f>VLOOKUP(AC277,moves!A:D,4,FALSE)</f>
        <v>?</v>
      </c>
      <c r="AF277">
        <f>VLOOKUP(AC277,moves!A:F,5,FALSE)</f>
        <v>0</v>
      </c>
      <c r="AG277">
        <v>0</v>
      </c>
      <c r="AH277">
        <v>0</v>
      </c>
      <c r="AI277" t="str" cm="1">
        <f t="array" ref="AI277">_xlfn.IFS(AG277=1, "starter", AH277=1, "legendary",T277&lt; 13, "weak",T277&lt; 17, "moderate", TRUE, "strong")</f>
        <v>weak</v>
      </c>
      <c r="AK277">
        <v>1</v>
      </c>
      <c r="AL277">
        <v>0</v>
      </c>
      <c r="AM277">
        <v>0</v>
      </c>
    </row>
    <row r="278" spans="1:39" x14ac:dyDescent="0.25">
      <c r="A278">
        <v>101</v>
      </c>
      <c r="B278" t="s">
        <v>654</v>
      </c>
      <c r="C278" t="s">
        <v>11</v>
      </c>
      <c r="D278"/>
      <c r="E278">
        <v>60</v>
      </c>
      <c r="F278">
        <v>50</v>
      </c>
      <c r="G278">
        <v>70</v>
      </c>
      <c r="H278">
        <v>80</v>
      </c>
      <c r="I278">
        <v>80</v>
      </c>
      <c r="J278">
        <v>150</v>
      </c>
      <c r="K278" t="s">
        <v>655</v>
      </c>
      <c r="L278" t="s">
        <v>301</v>
      </c>
      <c r="M278" t="s">
        <v>300</v>
      </c>
      <c r="N278">
        <f t="shared" si="217"/>
        <v>10.5</v>
      </c>
      <c r="O278">
        <f t="shared" si="218"/>
        <v>6.9</v>
      </c>
      <c r="P278">
        <v>0</v>
      </c>
      <c r="Q278">
        <v>0</v>
      </c>
      <c r="R278" s="2">
        <f t="shared" si="219"/>
        <v>11</v>
      </c>
      <c r="S278" s="2">
        <f t="shared" si="220"/>
        <v>7</v>
      </c>
      <c r="T278" s="2">
        <f t="shared" si="221"/>
        <v>18</v>
      </c>
      <c r="U278" t="str">
        <f t="shared" si="225"/>
        <v>electric</v>
      </c>
      <c r="V278" t="s">
        <v>8</v>
      </c>
      <c r="W278" t="s">
        <v>33</v>
      </c>
      <c r="X278" t="s">
        <v>39</v>
      </c>
      <c r="Z278" s="2" t="str">
        <f t="shared" si="216"/>
        <v/>
      </c>
      <c r="AA278" t="str">
        <f t="shared" si="224"/>
        <v>Electrode</v>
      </c>
      <c r="AC278" t="s">
        <v>518</v>
      </c>
      <c r="AD278" t="str">
        <f>VLOOKUP(AC278,moves!A:B,2,FALSE)</f>
        <v>normal</v>
      </c>
      <c r="AE278">
        <f>VLOOKUP(AC278,moves!A:D,4,FALSE)</f>
        <v>8</v>
      </c>
      <c r="AF278" t="str">
        <f>VLOOKUP(AC278,moves!A:F,5,FALSE)</f>
        <v>decisive</v>
      </c>
      <c r="AG278">
        <v>0</v>
      </c>
      <c r="AH278">
        <v>0</v>
      </c>
      <c r="AI278" t="str" cm="1">
        <f t="array" ref="AI278">_xlfn.IFS(AG278=1, "starter", AH278=1, "legendary",T278&lt; 13, "weak",T278&lt; 17, "moderate", TRUE, "strong")</f>
        <v>strong</v>
      </c>
      <c r="AK278">
        <v>2</v>
      </c>
      <c r="AL278">
        <v>0</v>
      </c>
      <c r="AM278">
        <v>0</v>
      </c>
    </row>
    <row r="279" spans="1:39" x14ac:dyDescent="0.25">
      <c r="A279">
        <v>570</v>
      </c>
      <c r="B279" t="s">
        <v>659</v>
      </c>
      <c r="C279" t="s">
        <v>9</v>
      </c>
      <c r="D279"/>
      <c r="E279">
        <v>40</v>
      </c>
      <c r="F279">
        <v>65</v>
      </c>
      <c r="G279">
        <v>40</v>
      </c>
      <c r="H279">
        <v>80</v>
      </c>
      <c r="I279">
        <v>40</v>
      </c>
      <c r="J279">
        <v>65</v>
      </c>
      <c r="K279" t="s">
        <v>661</v>
      </c>
      <c r="L279" t="s">
        <v>304</v>
      </c>
      <c r="M279" t="s">
        <v>299</v>
      </c>
      <c r="N279">
        <f t="shared" si="217"/>
        <v>7.25</v>
      </c>
      <c r="O279">
        <f t="shared" si="218"/>
        <v>4</v>
      </c>
      <c r="P279">
        <v>0</v>
      </c>
      <c r="Q279">
        <v>0</v>
      </c>
      <c r="R279" s="2">
        <f t="shared" si="219"/>
        <v>7</v>
      </c>
      <c r="S279" s="2">
        <f t="shared" si="220"/>
        <v>4</v>
      </c>
      <c r="T279" s="2">
        <f t="shared" si="221"/>
        <v>11</v>
      </c>
      <c r="U279" t="str">
        <f t="shared" si="225"/>
        <v>dark</v>
      </c>
      <c r="V279" t="s">
        <v>8</v>
      </c>
      <c r="W279" t="s">
        <v>42</v>
      </c>
      <c r="X279" t="s">
        <v>22</v>
      </c>
      <c r="Y279" t="s">
        <v>660</v>
      </c>
      <c r="Z279" s="2">
        <f t="shared" si="216"/>
        <v>7</v>
      </c>
      <c r="AA279" t="str">
        <f t="shared" si="224"/>
        <v>Zorua</v>
      </c>
      <c r="AC279" t="s">
        <v>826</v>
      </c>
      <c r="AD279" t="str">
        <f>VLOOKUP(AC279,moves!A:B,2,FALSE)</f>
        <v>dark</v>
      </c>
      <c r="AE279" t="str">
        <f>VLOOKUP(AC279,moves!A:D,4,FALSE)</f>
        <v>?</v>
      </c>
      <c r="AF279">
        <f>VLOOKUP(AC279,moves!A:F,5,FALSE)</f>
        <v>0</v>
      </c>
      <c r="AG279">
        <v>0</v>
      </c>
      <c r="AH279">
        <v>0</v>
      </c>
      <c r="AI279" t="str" cm="1">
        <f t="array" ref="AI279">_xlfn.IFS(AG279=1, "starter", AH279=1, "legendary",T279&lt; 13, "weak",T279&lt; 17, "moderate", TRUE, "strong")</f>
        <v>weak</v>
      </c>
      <c r="AK279">
        <v>1</v>
      </c>
      <c r="AL279">
        <v>0</v>
      </c>
      <c r="AM279">
        <v>0</v>
      </c>
    </row>
    <row r="280" spans="1:39" x14ac:dyDescent="0.25">
      <c r="A280">
        <v>571</v>
      </c>
      <c r="B280" t="s">
        <v>660</v>
      </c>
      <c r="C280" t="s">
        <v>9</v>
      </c>
      <c r="D280"/>
      <c r="E280">
        <v>60</v>
      </c>
      <c r="F280">
        <v>105</v>
      </c>
      <c r="G280">
        <v>60</v>
      </c>
      <c r="H280">
        <v>120</v>
      </c>
      <c r="I280">
        <v>60</v>
      </c>
      <c r="J280">
        <v>105</v>
      </c>
      <c r="K280" t="s">
        <v>662</v>
      </c>
      <c r="L280" t="s">
        <v>304</v>
      </c>
      <c r="M280" t="s">
        <v>299</v>
      </c>
      <c r="N280">
        <f t="shared" si="217"/>
        <v>11.25</v>
      </c>
      <c r="O280">
        <f t="shared" si="218"/>
        <v>6</v>
      </c>
      <c r="P280">
        <v>0</v>
      </c>
      <c r="Q280">
        <v>0</v>
      </c>
      <c r="R280" s="2">
        <f t="shared" si="219"/>
        <v>11</v>
      </c>
      <c r="S280" s="2">
        <f t="shared" si="220"/>
        <v>6</v>
      </c>
      <c r="T280" s="2">
        <f t="shared" si="221"/>
        <v>17</v>
      </c>
      <c r="U280" t="str">
        <f t="shared" si="225"/>
        <v>dark</v>
      </c>
      <c r="V280" t="s">
        <v>8</v>
      </c>
      <c r="W280" t="s">
        <v>42</v>
      </c>
      <c r="X280" t="s">
        <v>22</v>
      </c>
      <c r="Z280" s="2" t="str">
        <f t="shared" si="216"/>
        <v/>
      </c>
      <c r="AA280" t="str">
        <f t="shared" si="224"/>
        <v>Zoroark</v>
      </c>
      <c r="AC280" t="s">
        <v>663</v>
      </c>
      <c r="AD280" t="str">
        <f>VLOOKUP(AC280,moves!A:B,2,FALSE)</f>
        <v>dark</v>
      </c>
      <c r="AE280">
        <f>VLOOKUP(AC280,moves!A:D,4,FALSE)</f>
        <v>5</v>
      </c>
      <c r="AF280">
        <f>VLOOKUP(AC280,moves!A:F,5,FALSE)</f>
        <v>0</v>
      </c>
      <c r="AG280">
        <v>0</v>
      </c>
      <c r="AH280">
        <v>0</v>
      </c>
      <c r="AI280" t="str" cm="1">
        <f t="array" ref="AI280">_xlfn.IFS(AG280=1, "starter", AH280=1, "legendary",T280&lt; 13, "weak",T280&lt; 17, "moderate", TRUE, "strong")</f>
        <v>strong</v>
      </c>
      <c r="AK280">
        <v>2</v>
      </c>
      <c r="AL280">
        <v>0</v>
      </c>
      <c r="AM280">
        <v>0</v>
      </c>
    </row>
    <row r="281" spans="1:39" x14ac:dyDescent="0.25">
      <c r="A281">
        <v>627</v>
      </c>
      <c r="B281" t="s">
        <v>665</v>
      </c>
      <c r="C281" t="s">
        <v>8</v>
      </c>
      <c r="D281" t="s">
        <v>5</v>
      </c>
      <c r="E281">
        <v>70</v>
      </c>
      <c r="F281">
        <v>83</v>
      </c>
      <c r="G281">
        <v>50</v>
      </c>
      <c r="H281">
        <v>37</v>
      </c>
      <c r="I281">
        <v>50</v>
      </c>
      <c r="J281">
        <v>60</v>
      </c>
      <c r="K281" t="s">
        <v>667</v>
      </c>
      <c r="L281" t="s">
        <v>304</v>
      </c>
      <c r="M281" t="s">
        <v>299</v>
      </c>
      <c r="N281">
        <f t="shared" si="217"/>
        <v>6.92</v>
      </c>
      <c r="O281">
        <f t="shared" si="218"/>
        <v>5.8</v>
      </c>
      <c r="P281">
        <v>0</v>
      </c>
      <c r="Q281">
        <v>0</v>
      </c>
      <c r="R281" s="2">
        <f t="shared" si="219"/>
        <v>7</v>
      </c>
      <c r="S281" s="2">
        <f t="shared" si="220"/>
        <v>6</v>
      </c>
      <c r="T281" s="2">
        <f t="shared" si="221"/>
        <v>13</v>
      </c>
      <c r="U281" t="str">
        <f t="shared" si="225"/>
        <v>normal</v>
      </c>
      <c r="V281" t="str">
        <f>IF(D281 = 0, "", D281)</f>
        <v>flying</v>
      </c>
      <c r="W281" t="s">
        <v>22</v>
      </c>
      <c r="X281" t="s">
        <v>26</v>
      </c>
      <c r="Y281" t="s">
        <v>666</v>
      </c>
      <c r="Z281" s="2">
        <f t="shared" si="216"/>
        <v>9</v>
      </c>
      <c r="AA281" t="str">
        <f t="shared" si="224"/>
        <v>Rufflet</v>
      </c>
      <c r="AC281" t="s">
        <v>495</v>
      </c>
      <c r="AD281" t="str">
        <f>VLOOKUP(AC281,moves!A:B,2,FALSE)</f>
        <v>flying</v>
      </c>
      <c r="AE281">
        <f>VLOOKUP(AC281,moves!A:D,4,FALSE)</f>
        <v>3</v>
      </c>
      <c r="AF281">
        <f>VLOOKUP(AC281,moves!A:F,5,FALSE)</f>
        <v>0</v>
      </c>
      <c r="AG281">
        <v>0</v>
      </c>
      <c r="AH281">
        <v>0</v>
      </c>
      <c r="AI281" t="str" cm="1">
        <f t="array" ref="AI281">_xlfn.IFS(AG281=1, "starter", AH281=1, "legendary",T281&lt; 13, "weak",T281&lt; 17, "moderate", TRUE, "strong")</f>
        <v>moderate</v>
      </c>
      <c r="AK281">
        <v>1</v>
      </c>
      <c r="AL281">
        <v>0</v>
      </c>
      <c r="AM281">
        <v>0</v>
      </c>
    </row>
    <row r="282" spans="1:39" x14ac:dyDescent="0.25">
      <c r="A282">
        <v>628</v>
      </c>
      <c r="B282" t="s">
        <v>666</v>
      </c>
      <c r="C282" t="s">
        <v>8</v>
      </c>
      <c r="D282" t="s">
        <v>5</v>
      </c>
      <c r="E282">
        <v>100</v>
      </c>
      <c r="F282">
        <v>123</v>
      </c>
      <c r="G282">
        <v>75</v>
      </c>
      <c r="H282">
        <v>57</v>
      </c>
      <c r="I282">
        <v>75</v>
      </c>
      <c r="J282">
        <v>80</v>
      </c>
      <c r="K282" t="s">
        <v>668</v>
      </c>
      <c r="L282" t="s">
        <v>304</v>
      </c>
      <c r="M282" t="s">
        <v>299</v>
      </c>
      <c r="N282">
        <f t="shared" si="217"/>
        <v>9.92</v>
      </c>
      <c r="O282">
        <f t="shared" si="218"/>
        <v>8.5</v>
      </c>
      <c r="P282">
        <v>0</v>
      </c>
      <c r="Q282">
        <v>0</v>
      </c>
      <c r="R282" s="2">
        <f t="shared" si="219"/>
        <v>10</v>
      </c>
      <c r="S282" s="2">
        <f t="shared" si="220"/>
        <v>9</v>
      </c>
      <c r="T282" s="2">
        <f t="shared" si="221"/>
        <v>19</v>
      </c>
      <c r="U282" t="str">
        <f t="shared" si="225"/>
        <v>normal</v>
      </c>
      <c r="V282" t="str">
        <f>IF(D282 = 0, "", D282)</f>
        <v>flying</v>
      </c>
      <c r="W282" t="s">
        <v>22</v>
      </c>
      <c r="X282" t="s">
        <v>26</v>
      </c>
      <c r="Z282" s="2" t="str">
        <f t="shared" si="216"/>
        <v/>
      </c>
      <c r="AA282" t="str">
        <f t="shared" si="224"/>
        <v>Braviary</v>
      </c>
      <c r="AC282" t="s">
        <v>669</v>
      </c>
      <c r="AD282" t="str">
        <f>VLOOKUP(AC282,moves!A:B,2,FALSE)</f>
        <v>flying</v>
      </c>
      <c r="AE282">
        <f>VLOOKUP(AC282,moves!A:D,4,FALSE)</f>
        <v>5</v>
      </c>
      <c r="AF282">
        <f>VLOOKUP(AC282,moves!A:F,5,FALSE)</f>
        <v>0</v>
      </c>
      <c r="AG282">
        <v>0</v>
      </c>
      <c r="AH282">
        <v>0</v>
      </c>
      <c r="AI282" t="str" cm="1">
        <f t="array" ref="AI282">_xlfn.IFS(AG282=1, "starter", AH282=1, "legendary",T282&lt; 13, "weak",T282&lt; 17, "moderate", TRUE, "strong")</f>
        <v>strong</v>
      </c>
      <c r="AK282">
        <v>2</v>
      </c>
      <c r="AL282">
        <v>0</v>
      </c>
      <c r="AM282">
        <v>0</v>
      </c>
    </row>
    <row r="283" spans="1:39" x14ac:dyDescent="0.25">
      <c r="A283">
        <v>778</v>
      </c>
      <c r="B283" t="s">
        <v>670</v>
      </c>
      <c r="C283" t="s">
        <v>42</v>
      </c>
      <c r="D283" t="s">
        <v>16</v>
      </c>
      <c r="E283">
        <v>55</v>
      </c>
      <c r="F283">
        <v>90</v>
      </c>
      <c r="G283">
        <v>80</v>
      </c>
      <c r="H283">
        <v>50</v>
      </c>
      <c r="I283">
        <v>105</v>
      </c>
      <c r="J283">
        <v>96</v>
      </c>
      <c r="K283" t="s">
        <v>671</v>
      </c>
      <c r="L283" t="s">
        <v>301</v>
      </c>
      <c r="M283" t="s">
        <v>299</v>
      </c>
      <c r="N283">
        <f t="shared" si="217"/>
        <v>8.84</v>
      </c>
      <c r="O283">
        <f t="shared" si="218"/>
        <v>7.75</v>
      </c>
      <c r="P283">
        <v>0</v>
      </c>
      <c r="Q283">
        <v>0</v>
      </c>
      <c r="R283" s="2">
        <f t="shared" si="219"/>
        <v>9</v>
      </c>
      <c r="S283" s="2">
        <f t="shared" si="220"/>
        <v>8</v>
      </c>
      <c r="T283" s="2">
        <f t="shared" si="221"/>
        <v>17</v>
      </c>
      <c r="U283" t="str">
        <f t="shared" si="225"/>
        <v>ghost</v>
      </c>
      <c r="V283" t="str">
        <f>IF(D283 = 0, "", D283)</f>
        <v>fairy</v>
      </c>
      <c r="W283" t="s">
        <v>2</v>
      </c>
      <c r="X283" t="s">
        <v>8</v>
      </c>
      <c r="Z283" s="2" t="str">
        <f t="shared" si="216"/>
        <v/>
      </c>
      <c r="AA283" t="str">
        <f t="shared" si="224"/>
        <v>Mimikyu</v>
      </c>
      <c r="AC283" t="s">
        <v>1390</v>
      </c>
      <c r="AD283" t="str">
        <f>VLOOKUP(AC283,moves!A:B,2,FALSE)</f>
        <v>ghost</v>
      </c>
      <c r="AE283">
        <f>VLOOKUP(AC283,moves!A:D,4,FALSE)</f>
        <v>4</v>
      </c>
      <c r="AF283" t="str">
        <f>VLOOKUP(AC283,moves!A:F,5,FALSE)</f>
        <v>decisive</v>
      </c>
      <c r="AG283">
        <v>0</v>
      </c>
      <c r="AH283">
        <v>0</v>
      </c>
      <c r="AI283" t="str" cm="1">
        <f t="array" ref="AI283">_xlfn.IFS(AG283=1, "starter", AH283=1, "legendary",T283&lt; 13, "weak",T283&lt; 17, "moderate", TRUE, "strong")</f>
        <v>strong</v>
      </c>
      <c r="AK283">
        <v>1</v>
      </c>
      <c r="AL283">
        <v>0</v>
      </c>
      <c r="AM283">
        <v>0</v>
      </c>
    </row>
    <row r="284" spans="1:39" x14ac:dyDescent="0.25">
      <c r="A284">
        <v>615</v>
      </c>
      <c r="B284" t="s">
        <v>676</v>
      </c>
      <c r="C284" t="s">
        <v>14</v>
      </c>
      <c r="D284"/>
      <c r="E284">
        <v>80</v>
      </c>
      <c r="F284">
        <v>50</v>
      </c>
      <c r="G284">
        <v>50</v>
      </c>
      <c r="H284">
        <v>95</v>
      </c>
      <c r="I284">
        <v>135</v>
      </c>
      <c r="J284">
        <v>105</v>
      </c>
      <c r="K284" t="s">
        <v>675</v>
      </c>
      <c r="L284" t="s">
        <v>301</v>
      </c>
      <c r="M284" t="s">
        <v>299</v>
      </c>
      <c r="N284">
        <f t="shared" si="217"/>
        <v>9.4499999999999993</v>
      </c>
      <c r="O284">
        <f t="shared" si="218"/>
        <v>8.75</v>
      </c>
      <c r="P284">
        <v>0</v>
      </c>
      <c r="Q284">
        <v>0</v>
      </c>
      <c r="R284" s="2">
        <f t="shared" si="219"/>
        <v>9</v>
      </c>
      <c r="S284" s="2">
        <f t="shared" si="220"/>
        <v>9</v>
      </c>
      <c r="T284" s="2">
        <f t="shared" si="221"/>
        <v>18</v>
      </c>
      <c r="U284" t="str">
        <f t="shared" si="225"/>
        <v>ice</v>
      </c>
      <c r="V284" t="s">
        <v>33</v>
      </c>
      <c r="W284" t="s">
        <v>9</v>
      </c>
      <c r="X284" t="s">
        <v>2</v>
      </c>
      <c r="Z284" s="2" t="str">
        <f t="shared" si="216"/>
        <v/>
      </c>
      <c r="AA284" t="str">
        <f t="shared" si="224"/>
        <v>Cryogonal</v>
      </c>
      <c r="AC284" t="s">
        <v>571</v>
      </c>
      <c r="AD284" t="str">
        <f>VLOOKUP(AC284,moves!A:B,2,FALSE)</f>
        <v>ice</v>
      </c>
      <c r="AE284">
        <f>VLOOKUP(AC284,moves!A:D,4,FALSE)</f>
        <v>6</v>
      </c>
      <c r="AF284">
        <f>VLOOKUP(AC284,moves!A:F,5,FALSE)</f>
        <v>0</v>
      </c>
      <c r="AG284">
        <v>0</v>
      </c>
      <c r="AH284">
        <v>0</v>
      </c>
      <c r="AI284" t="str" cm="1">
        <f t="array" ref="AI284">_xlfn.IFS(AG284=1, "starter", AH284=1, "legendary",T284&lt; 13, "weak",T284&lt; 17, "moderate", TRUE, "strong")</f>
        <v>strong</v>
      </c>
      <c r="AK284">
        <v>1</v>
      </c>
      <c r="AL284">
        <v>0</v>
      </c>
      <c r="AM284">
        <v>0</v>
      </c>
    </row>
    <row r="285" spans="1:39" x14ac:dyDescent="0.25">
      <c r="A285">
        <v>712</v>
      </c>
      <c r="B285" t="s">
        <v>678</v>
      </c>
      <c r="C285" t="s">
        <v>14</v>
      </c>
      <c r="D285"/>
      <c r="E285">
        <v>55</v>
      </c>
      <c r="F285">
        <v>69</v>
      </c>
      <c r="G285">
        <v>85</v>
      </c>
      <c r="H285">
        <v>32</v>
      </c>
      <c r="I285">
        <v>35</v>
      </c>
      <c r="J285">
        <v>28</v>
      </c>
      <c r="K285" t="s">
        <v>677</v>
      </c>
      <c r="L285" t="s">
        <v>303</v>
      </c>
      <c r="M285" t="s">
        <v>299</v>
      </c>
      <c r="N285">
        <f t="shared" si="217"/>
        <v>4.8900000000000006</v>
      </c>
      <c r="O285">
        <f t="shared" si="218"/>
        <v>5.8</v>
      </c>
      <c r="P285">
        <v>0</v>
      </c>
      <c r="Q285">
        <v>0</v>
      </c>
      <c r="R285" s="2">
        <f t="shared" si="219"/>
        <v>5</v>
      </c>
      <c r="S285" s="2">
        <f t="shared" si="220"/>
        <v>6</v>
      </c>
      <c r="T285" s="2">
        <f t="shared" si="221"/>
        <v>11</v>
      </c>
      <c r="U285" t="str">
        <f t="shared" si="225"/>
        <v>ice</v>
      </c>
      <c r="V285" t="s">
        <v>8</v>
      </c>
      <c r="W285" t="s">
        <v>33</v>
      </c>
      <c r="X285" t="s">
        <v>9</v>
      </c>
      <c r="Y285" t="s">
        <v>679</v>
      </c>
      <c r="Z285" s="2">
        <f t="shared" si="216"/>
        <v>8</v>
      </c>
      <c r="AA285" t="str">
        <f t="shared" si="224"/>
        <v>Bergmite</v>
      </c>
      <c r="AC285" t="s">
        <v>680</v>
      </c>
      <c r="AD285" t="str">
        <f>VLOOKUP(AC285,moves!A:B,2,FALSE)</f>
        <v>ice</v>
      </c>
      <c r="AE285">
        <f>VLOOKUP(AC285,moves!A:D,4,FALSE)</f>
        <v>1</v>
      </c>
      <c r="AF285">
        <f>VLOOKUP(AC285,moves!A:F,5,FALSE)</f>
        <v>0</v>
      </c>
      <c r="AG285">
        <v>0</v>
      </c>
      <c r="AH285">
        <v>0</v>
      </c>
      <c r="AI285" t="str" cm="1">
        <f t="array" ref="AI285">_xlfn.IFS(AG285=1, "starter", AH285=1, "legendary",T285&lt; 13, "weak",T285&lt; 17, "moderate", TRUE, "strong")</f>
        <v>weak</v>
      </c>
      <c r="AK285">
        <v>1</v>
      </c>
      <c r="AL285">
        <v>0</v>
      </c>
      <c r="AM285">
        <v>0</v>
      </c>
    </row>
    <row r="286" spans="1:39" x14ac:dyDescent="0.25">
      <c r="A286">
        <v>713</v>
      </c>
      <c r="B286" t="s">
        <v>679</v>
      </c>
      <c r="C286" t="s">
        <v>14</v>
      </c>
      <c r="D286"/>
      <c r="E286">
        <v>95</v>
      </c>
      <c r="F286">
        <v>117</v>
      </c>
      <c r="G286">
        <v>184</v>
      </c>
      <c r="H286">
        <v>44</v>
      </c>
      <c r="I286">
        <v>46</v>
      </c>
      <c r="J286">
        <v>28</v>
      </c>
      <c r="K286" t="s">
        <v>446</v>
      </c>
      <c r="L286" t="s">
        <v>303</v>
      </c>
      <c r="M286" t="s">
        <v>299</v>
      </c>
      <c r="N286">
        <f t="shared" si="217"/>
        <v>7.410000000000001</v>
      </c>
      <c r="O286">
        <f t="shared" si="218"/>
        <v>10.7</v>
      </c>
      <c r="P286">
        <v>0</v>
      </c>
      <c r="Q286">
        <v>0</v>
      </c>
      <c r="R286" s="2">
        <f t="shared" si="219"/>
        <v>7</v>
      </c>
      <c r="S286" s="2">
        <f t="shared" si="220"/>
        <v>11</v>
      </c>
      <c r="T286" s="2">
        <f t="shared" si="221"/>
        <v>18</v>
      </c>
      <c r="U286" t="str">
        <f t="shared" si="225"/>
        <v>ice</v>
      </c>
      <c r="V286" t="s">
        <v>8</v>
      </c>
      <c r="W286" t="s">
        <v>33</v>
      </c>
      <c r="X286" t="s">
        <v>9</v>
      </c>
      <c r="Z286" s="2" t="str">
        <f t="shared" si="216"/>
        <v/>
      </c>
      <c r="AA286" t="str">
        <f t="shared" si="224"/>
        <v>Avalugg</v>
      </c>
      <c r="AC286" t="s">
        <v>1201</v>
      </c>
      <c r="AD286" t="str">
        <f>VLOOKUP(AC286,moves!A:B,2,FALSE)</f>
        <v>ice</v>
      </c>
      <c r="AE286">
        <f>VLOOKUP(AC286,moves!A:D,4,FALSE)</f>
        <v>5</v>
      </c>
      <c r="AF286">
        <f>VLOOKUP(AC286,moves!A:F,5,FALSE)</f>
        <v>0</v>
      </c>
      <c r="AG286">
        <v>0</v>
      </c>
      <c r="AH286">
        <v>0</v>
      </c>
      <c r="AI286" t="str" cm="1">
        <f t="array" ref="AI286">_xlfn.IFS(AG286=1, "starter", AH286=1, "legendary",T286&lt; 13, "weak",T286&lt; 17, "moderate", TRUE, "strong")</f>
        <v>strong</v>
      </c>
      <c r="AK286">
        <v>2</v>
      </c>
      <c r="AL286">
        <v>0</v>
      </c>
      <c r="AM286">
        <v>0</v>
      </c>
    </row>
    <row r="287" spans="1:39" x14ac:dyDescent="0.25">
      <c r="A287">
        <v>781</v>
      </c>
      <c r="B287" t="s">
        <v>684</v>
      </c>
      <c r="C287" t="s">
        <v>42</v>
      </c>
      <c r="D287" t="s">
        <v>2</v>
      </c>
      <c r="E287">
        <v>70</v>
      </c>
      <c r="F287">
        <v>131</v>
      </c>
      <c r="G287">
        <v>100</v>
      </c>
      <c r="H287">
        <v>86</v>
      </c>
      <c r="I287">
        <v>90</v>
      </c>
      <c r="J287">
        <v>40</v>
      </c>
      <c r="K287" t="s">
        <v>685</v>
      </c>
      <c r="L287" t="s">
        <v>303</v>
      </c>
      <c r="M287" t="s">
        <v>302</v>
      </c>
      <c r="N287">
        <f t="shared" si="217"/>
        <v>9.01</v>
      </c>
      <c r="O287">
        <f t="shared" si="218"/>
        <v>8.5</v>
      </c>
      <c r="P287">
        <v>0</v>
      </c>
      <c r="Q287">
        <v>0</v>
      </c>
      <c r="R287" s="2">
        <f t="shared" si="219"/>
        <v>9</v>
      </c>
      <c r="S287" s="2">
        <f t="shared" si="220"/>
        <v>9</v>
      </c>
      <c r="T287" s="2">
        <f t="shared" si="221"/>
        <v>18</v>
      </c>
      <c r="U287" t="str">
        <f t="shared" si="225"/>
        <v>ghost</v>
      </c>
      <c r="V287" t="str">
        <f t="shared" ref="V287:V292" si="226">IF(D287 = 0, "", D287)</f>
        <v>grass</v>
      </c>
      <c r="W287" t="s">
        <v>39</v>
      </c>
      <c r="X287" t="s">
        <v>8</v>
      </c>
      <c r="Z287" s="2" t="str">
        <f t="shared" si="216"/>
        <v/>
      </c>
      <c r="AA287" t="str">
        <f t="shared" si="224"/>
        <v>Dhelmise</v>
      </c>
      <c r="AC287" t="s">
        <v>686</v>
      </c>
      <c r="AD287" t="str">
        <f>VLOOKUP(AC287,moves!A:B,2,FALSE)</f>
        <v>steel</v>
      </c>
      <c r="AE287">
        <f>VLOOKUP(AC287,moves!A:D,4,FALSE)</f>
        <v>4</v>
      </c>
      <c r="AF287" t="str">
        <f>VLOOKUP(AC287,moves!A:F,5,FALSE)</f>
        <v>trap</v>
      </c>
      <c r="AG287">
        <v>0</v>
      </c>
      <c r="AH287">
        <v>0</v>
      </c>
      <c r="AI287" t="str" cm="1">
        <f t="array" ref="AI287">_xlfn.IFS(AG287=1, "starter", AH287=1, "legendary",T287&lt; 13, "weak",T287&lt; 17, "moderate", TRUE, "strong")</f>
        <v>strong</v>
      </c>
      <c r="AK287">
        <v>1</v>
      </c>
      <c r="AL287">
        <v>0</v>
      </c>
      <c r="AM287">
        <v>0</v>
      </c>
    </row>
    <row r="288" spans="1:39" x14ac:dyDescent="0.25">
      <c r="A288">
        <v>776</v>
      </c>
      <c r="B288" t="s">
        <v>689</v>
      </c>
      <c r="C288" t="s">
        <v>4</v>
      </c>
      <c r="D288" t="s">
        <v>67</v>
      </c>
      <c r="E288">
        <v>60</v>
      </c>
      <c r="F288">
        <v>78</v>
      </c>
      <c r="G288">
        <v>135</v>
      </c>
      <c r="H288">
        <v>91</v>
      </c>
      <c r="I288">
        <v>85</v>
      </c>
      <c r="J288">
        <v>36</v>
      </c>
      <c r="K288" t="s">
        <v>690</v>
      </c>
      <c r="L288" t="s">
        <v>304</v>
      </c>
      <c r="M288" t="s">
        <v>302</v>
      </c>
      <c r="N288">
        <f t="shared" si="217"/>
        <v>6.7700000000000005</v>
      </c>
      <c r="O288">
        <f t="shared" si="218"/>
        <v>9</v>
      </c>
      <c r="P288">
        <v>0</v>
      </c>
      <c r="Q288">
        <v>0</v>
      </c>
      <c r="R288" s="2">
        <f t="shared" si="219"/>
        <v>7</v>
      </c>
      <c r="S288" s="2">
        <f t="shared" si="220"/>
        <v>9</v>
      </c>
      <c r="T288" s="2">
        <f t="shared" si="221"/>
        <v>16</v>
      </c>
      <c r="U288" t="str">
        <f t="shared" si="225"/>
        <v>fire</v>
      </c>
      <c r="V288" t="str">
        <f t="shared" si="226"/>
        <v>dragon</v>
      </c>
      <c r="W288" t="s">
        <v>8</v>
      </c>
      <c r="X288" t="s">
        <v>13</v>
      </c>
      <c r="Z288" s="2" t="str">
        <f t="shared" si="216"/>
        <v/>
      </c>
      <c r="AA288" t="str">
        <f t="shared" si="224"/>
        <v>Turtonator</v>
      </c>
      <c r="AC288" t="s">
        <v>688</v>
      </c>
      <c r="AD288" t="str">
        <f>VLOOKUP(AC288,moves!A:B,2,FALSE)</f>
        <v>fire</v>
      </c>
      <c r="AE288">
        <f>VLOOKUP(AC288,moves!A:D,4,FALSE)</f>
        <v>2</v>
      </c>
      <c r="AF288">
        <f>VLOOKUP(AC288,moves!A:F,5,FALSE)</f>
        <v>0</v>
      </c>
      <c r="AG288">
        <v>0</v>
      </c>
      <c r="AH288">
        <v>0</v>
      </c>
      <c r="AI288" t="str" cm="1">
        <f t="array" ref="AI288">_xlfn.IFS(AG288=1, "starter", AH288=1, "legendary",T288&lt; 13, "weak",T288&lt; 17, "moderate", TRUE, "strong")</f>
        <v>moderate</v>
      </c>
      <c r="AK288">
        <v>1</v>
      </c>
      <c r="AL288">
        <v>0</v>
      </c>
      <c r="AM288">
        <v>0</v>
      </c>
    </row>
    <row r="289" spans="1:39" x14ac:dyDescent="0.25">
      <c r="A289">
        <v>363</v>
      </c>
      <c r="B289" t="s">
        <v>134</v>
      </c>
      <c r="C289" s="1" t="s">
        <v>14</v>
      </c>
      <c r="D289" s="1" t="s">
        <v>6</v>
      </c>
      <c r="E289">
        <v>70</v>
      </c>
      <c r="F289">
        <v>40</v>
      </c>
      <c r="G289">
        <v>50</v>
      </c>
      <c r="H289">
        <v>55</v>
      </c>
      <c r="I289">
        <v>50</v>
      </c>
      <c r="J289">
        <v>25</v>
      </c>
      <c r="K289" t="s">
        <v>432</v>
      </c>
      <c r="L289" t="s">
        <v>303</v>
      </c>
      <c r="M289" t="s">
        <v>299</v>
      </c>
      <c r="N289">
        <f t="shared" si="217"/>
        <v>4.1500000000000004</v>
      </c>
      <c r="O289">
        <f t="shared" si="218"/>
        <v>5.8</v>
      </c>
      <c r="P289">
        <v>0</v>
      </c>
      <c r="Q289">
        <v>0</v>
      </c>
      <c r="R289" s="2">
        <f t="shared" si="219"/>
        <v>4</v>
      </c>
      <c r="S289" s="2">
        <f t="shared" si="220"/>
        <v>6</v>
      </c>
      <c r="T289" s="2">
        <f t="shared" si="221"/>
        <v>10</v>
      </c>
      <c r="U289" t="str">
        <f t="shared" si="225"/>
        <v>ice</v>
      </c>
      <c r="V289" t="str">
        <f t="shared" si="226"/>
        <v>water</v>
      </c>
      <c r="W289" t="s">
        <v>33</v>
      </c>
      <c r="X289" t="s">
        <v>8</v>
      </c>
      <c r="Y289" t="str">
        <f>B290</f>
        <v>Sealeo</v>
      </c>
      <c r="Z289" s="2">
        <f t="shared" si="216"/>
        <v>4</v>
      </c>
      <c r="AA289" t="str">
        <f t="shared" si="224"/>
        <v>Spheal</v>
      </c>
      <c r="AC289" t="s">
        <v>534</v>
      </c>
      <c r="AD289" t="str">
        <f>VLOOKUP(AC289,moves!A:B,2,FALSE)</f>
        <v>rock</v>
      </c>
      <c r="AE289">
        <f>VLOOKUP(AC289,moves!A:D,4,FALSE)</f>
        <v>3</v>
      </c>
      <c r="AF289">
        <f>VLOOKUP(AC289,moves!A:F,5,FALSE)</f>
        <v>0</v>
      </c>
      <c r="AG289">
        <v>1</v>
      </c>
      <c r="AH289">
        <v>0</v>
      </c>
      <c r="AI289" t="str" cm="1">
        <f t="array" ref="AI289">_xlfn.IFS(AG289=1, "starter", AH289=1, "legendary",T289&lt; 13, "weak",T289&lt; 17, "moderate", TRUE, "strong")</f>
        <v>starter</v>
      </c>
      <c r="AK289">
        <v>1</v>
      </c>
      <c r="AL289">
        <v>0</v>
      </c>
      <c r="AM289">
        <v>0</v>
      </c>
    </row>
    <row r="290" spans="1:39" x14ac:dyDescent="0.25">
      <c r="A290">
        <v>364</v>
      </c>
      <c r="B290" t="s">
        <v>135</v>
      </c>
      <c r="C290" s="1" t="s">
        <v>14</v>
      </c>
      <c r="D290" s="1" t="s">
        <v>6</v>
      </c>
      <c r="E290">
        <v>90</v>
      </c>
      <c r="F290">
        <v>60</v>
      </c>
      <c r="G290">
        <v>70</v>
      </c>
      <c r="H290">
        <v>75</v>
      </c>
      <c r="I290">
        <v>70</v>
      </c>
      <c r="J290">
        <v>45</v>
      </c>
      <c r="K290" t="s">
        <v>433</v>
      </c>
      <c r="L290" t="s">
        <v>303</v>
      </c>
      <c r="M290" t="s">
        <v>299</v>
      </c>
      <c r="N290">
        <f t="shared" si="217"/>
        <v>6.15</v>
      </c>
      <c r="O290">
        <f t="shared" si="218"/>
        <v>7.8</v>
      </c>
      <c r="P290">
        <v>0</v>
      </c>
      <c r="Q290">
        <v>0</v>
      </c>
      <c r="R290" s="2">
        <f t="shared" si="219"/>
        <v>6</v>
      </c>
      <c r="S290" s="2">
        <f t="shared" si="220"/>
        <v>8</v>
      </c>
      <c r="T290" s="2">
        <f t="shared" si="221"/>
        <v>14</v>
      </c>
      <c r="U290" t="str">
        <f t="shared" si="225"/>
        <v>ice</v>
      </c>
      <c r="V290" t="str">
        <f t="shared" si="226"/>
        <v>water</v>
      </c>
      <c r="W290" t="s">
        <v>33</v>
      </c>
      <c r="X290" t="s">
        <v>8</v>
      </c>
      <c r="Y290" t="str">
        <f>B291</f>
        <v>Walrein</v>
      </c>
      <c r="Z290" s="2">
        <f t="shared" si="216"/>
        <v>6</v>
      </c>
      <c r="AA290" t="str">
        <f t="shared" si="224"/>
        <v>Sealeo</v>
      </c>
      <c r="AC290" t="s">
        <v>580</v>
      </c>
      <c r="AD290" t="str">
        <f>VLOOKUP(AC290,moves!A:B,2,FALSE)</f>
        <v>water</v>
      </c>
      <c r="AE290">
        <f>VLOOKUP(AC290,moves!A:D,4,FALSE)</f>
        <v>4</v>
      </c>
      <c r="AF290">
        <f>VLOOKUP(AC290,moves!A:F,5,FALSE)</f>
        <v>0</v>
      </c>
      <c r="AG290">
        <v>0</v>
      </c>
      <c r="AH290">
        <v>0</v>
      </c>
      <c r="AI290" t="str" cm="1">
        <f t="array" ref="AI290">_xlfn.IFS(AG290=1, "starter", AH290=1, "legendary",T290&lt; 13, "weak",T290&lt; 17, "moderate", TRUE, "strong")</f>
        <v>moderate</v>
      </c>
      <c r="AK290">
        <v>2</v>
      </c>
      <c r="AL290">
        <v>0</v>
      </c>
      <c r="AM290">
        <v>0</v>
      </c>
    </row>
    <row r="291" spans="1:39" x14ac:dyDescent="0.25">
      <c r="A291">
        <v>365</v>
      </c>
      <c r="B291" t="s">
        <v>136</v>
      </c>
      <c r="C291" s="1" t="s">
        <v>14</v>
      </c>
      <c r="D291" s="1" t="s">
        <v>6</v>
      </c>
      <c r="E291">
        <v>110</v>
      </c>
      <c r="F291">
        <v>80</v>
      </c>
      <c r="G291">
        <v>90</v>
      </c>
      <c r="H291">
        <v>95</v>
      </c>
      <c r="I291">
        <v>90</v>
      </c>
      <c r="J291">
        <v>65</v>
      </c>
      <c r="K291" t="s">
        <v>434</v>
      </c>
      <c r="L291" t="s">
        <v>303</v>
      </c>
      <c r="M291" t="s">
        <v>299</v>
      </c>
      <c r="N291">
        <f t="shared" si="217"/>
        <v>8.15</v>
      </c>
      <c r="O291">
        <f t="shared" si="218"/>
        <v>9.8000000000000007</v>
      </c>
      <c r="P291">
        <v>0</v>
      </c>
      <c r="Q291">
        <v>0</v>
      </c>
      <c r="R291" s="2">
        <f t="shared" si="219"/>
        <v>8</v>
      </c>
      <c r="S291" s="2">
        <f t="shared" si="220"/>
        <v>10</v>
      </c>
      <c r="T291" s="2">
        <f t="shared" si="221"/>
        <v>18</v>
      </c>
      <c r="U291" t="str">
        <f t="shared" si="225"/>
        <v>ice</v>
      </c>
      <c r="V291" t="str">
        <f t="shared" si="226"/>
        <v>water</v>
      </c>
      <c r="W291" t="s">
        <v>33</v>
      </c>
      <c r="X291" t="s">
        <v>8</v>
      </c>
      <c r="Z291" s="2" t="str">
        <f>IF(ISBLANK(Y291), "", ROUND(( (T293-6)*(T293-7) - (T291-6)*(T291-7) )/15, 0) + 1)</f>
        <v/>
      </c>
      <c r="AA291" t="str">
        <f t="shared" si="224"/>
        <v>Walrein</v>
      </c>
      <c r="AC291" t="s">
        <v>571</v>
      </c>
      <c r="AD291" t="str">
        <f>VLOOKUP(AC291,moves!A:B,2,FALSE)</f>
        <v>ice</v>
      </c>
      <c r="AE291">
        <f>VLOOKUP(AC291,moves!A:D,4,FALSE)</f>
        <v>6</v>
      </c>
      <c r="AF291">
        <f>VLOOKUP(AC291,moves!A:F,5,FALSE)</f>
        <v>0</v>
      </c>
      <c r="AG291">
        <v>0</v>
      </c>
      <c r="AH291">
        <v>0</v>
      </c>
      <c r="AI291" t="str" cm="1">
        <f t="array" ref="AI291">_xlfn.IFS(AG291=1, "starter", AH291=1, "legendary",T291&lt; 13, "weak",T291&lt; 17, "moderate", TRUE, "strong")</f>
        <v>strong</v>
      </c>
      <c r="AK291">
        <v>3</v>
      </c>
      <c r="AL291">
        <v>0</v>
      </c>
      <c r="AM291">
        <v>1</v>
      </c>
    </row>
    <row r="292" spans="1:39" x14ac:dyDescent="0.25">
      <c r="A292" s="31" t="s">
        <v>1074</v>
      </c>
      <c r="B292" t="s">
        <v>136</v>
      </c>
      <c r="C292" s="1" t="s">
        <v>14</v>
      </c>
      <c r="D292" s="1" t="s">
        <v>6</v>
      </c>
      <c r="E292">
        <v>110</v>
      </c>
      <c r="F292">
        <v>80</v>
      </c>
      <c r="G292">
        <v>90</v>
      </c>
      <c r="H292">
        <v>95</v>
      </c>
      <c r="I292">
        <v>90</v>
      </c>
      <c r="J292">
        <v>65</v>
      </c>
      <c r="K292" t="s">
        <v>434</v>
      </c>
      <c r="M292" t="s">
        <v>797</v>
      </c>
      <c r="N292">
        <f t="shared" ref="N292" si="227">(0.4*J292 + 0.5*MAX(F292,H292) + 0.1*MIN(F292,H292)) / 10</f>
        <v>8.15</v>
      </c>
      <c r="O292">
        <f t="shared" ref="O292" si="228">(0.4*E292 + 0.3*G292 + 0.3*I292) / 10</f>
        <v>9.8000000000000007</v>
      </c>
      <c r="P292">
        <v>2</v>
      </c>
      <c r="Q292">
        <v>2</v>
      </c>
      <c r="R292" s="2">
        <f t="shared" ref="R292" si="229">ROUND(N292,0)+P292</f>
        <v>10</v>
      </c>
      <c r="S292" s="2">
        <f t="shared" ref="S292" si="230">ROUND(O292,0)+Q292</f>
        <v>12</v>
      </c>
      <c r="T292" s="2">
        <f t="shared" ref="T292" si="231">SUM(ROUND(R292,0),ROUND(S292,0))</f>
        <v>22</v>
      </c>
      <c r="U292" t="str">
        <f t="shared" ref="U292" si="232">C292</f>
        <v>ice</v>
      </c>
      <c r="V292" t="str">
        <f t="shared" si="226"/>
        <v>water</v>
      </c>
      <c r="W292" t="s">
        <v>33</v>
      </c>
      <c r="X292" t="s">
        <v>8</v>
      </c>
      <c r="Z292" s="2" t="str">
        <f>IF(ISBLANK(Y292), "", ROUND(( (T294-6)*(T294-7) - (T292-6)*(T292-7) )/15, 0) + 1)</f>
        <v/>
      </c>
      <c r="AA292" t="str">
        <f t="shared" ref="AA292" si="233">B292</f>
        <v>Walrein</v>
      </c>
      <c r="AB292" t="s">
        <v>1070</v>
      </c>
      <c r="AC292" t="s">
        <v>571</v>
      </c>
      <c r="AD292" t="str">
        <f>VLOOKUP(AC292,moves!A:B,2,FALSE)</f>
        <v>ice</v>
      </c>
      <c r="AE292">
        <f>VLOOKUP(AC292,moves!A:D,4,FALSE)</f>
        <v>6</v>
      </c>
      <c r="AF292">
        <f>VLOOKUP(AC292,moves!A:F,5,FALSE)</f>
        <v>0</v>
      </c>
      <c r="AG292">
        <v>0</v>
      </c>
      <c r="AH292">
        <v>1</v>
      </c>
      <c r="AI292" t="str" cm="1">
        <f t="array" ref="AI292">_xlfn.IFS(AG292=1, "starter", AH292=1, "legendary",T292&lt; 13, "weak",T292&lt; 17, "moderate", TRUE, "strong")</f>
        <v>legendary</v>
      </c>
      <c r="AK292">
        <v>3</v>
      </c>
      <c r="AL292">
        <v>0</v>
      </c>
      <c r="AM292">
        <v>2</v>
      </c>
    </row>
    <row r="293" spans="1:39" x14ac:dyDescent="0.25">
      <c r="A293">
        <v>137</v>
      </c>
      <c r="B293" t="s">
        <v>763</v>
      </c>
      <c r="C293" s="1" t="s">
        <v>8</v>
      </c>
      <c r="E293">
        <v>65</v>
      </c>
      <c r="F293">
        <v>60</v>
      </c>
      <c r="G293">
        <v>70</v>
      </c>
      <c r="H293">
        <v>85</v>
      </c>
      <c r="I293">
        <v>75</v>
      </c>
      <c r="J293">
        <v>40</v>
      </c>
      <c r="K293" t="s">
        <v>596</v>
      </c>
      <c r="M293" t="s">
        <v>551</v>
      </c>
      <c r="N293">
        <f t="shared" si="217"/>
        <v>6.45</v>
      </c>
      <c r="O293">
        <f t="shared" si="218"/>
        <v>6.95</v>
      </c>
      <c r="P293">
        <v>0</v>
      </c>
      <c r="Q293">
        <v>-1</v>
      </c>
      <c r="R293" s="2">
        <f>ROUND(N293,0)+P293</f>
        <v>6</v>
      </c>
      <c r="S293" s="2">
        <f>ROUND(O293,0)+Q293</f>
        <v>6</v>
      </c>
      <c r="T293" s="2">
        <f>SUM(ROUND(R293,0),ROUND(S293,0))</f>
        <v>12</v>
      </c>
      <c r="U293" t="str">
        <f t="shared" si="225"/>
        <v>normal</v>
      </c>
      <c r="V293" t="s">
        <v>11</v>
      </c>
      <c r="W293" t="s">
        <v>14</v>
      </c>
      <c r="X293" t="s">
        <v>26</v>
      </c>
      <c r="Y293" t="str">
        <f t="shared" ref="Y293:Y303" si="234">B294</f>
        <v>Porygon2</v>
      </c>
      <c r="Z293" s="2">
        <f t="shared" ref="Z293:Z305" si="235">IF(ISBLANK(Y293), "", ROUND(( (T294-6)*(T294-7) - (T293-6)*(T293-7) )/15, 0) + 1)</f>
        <v>5</v>
      </c>
      <c r="AA293" t="str">
        <f t="shared" si="224"/>
        <v>Porygon</v>
      </c>
      <c r="AC293" t="s">
        <v>764</v>
      </c>
      <c r="AD293" t="str">
        <f>VLOOKUP(AC293,moves!A:B,2,FALSE)</f>
        <v>normal</v>
      </c>
      <c r="AE293">
        <f>VLOOKUP(AC293,moves!A:D,4,FALSE)</f>
        <v>2</v>
      </c>
      <c r="AF293" t="str">
        <f>VLOOKUP(AC293,moves!A:F,5,FALSE)</f>
        <v>boost</v>
      </c>
      <c r="AG293">
        <v>1</v>
      </c>
      <c r="AH293">
        <v>0</v>
      </c>
      <c r="AI293" t="str" cm="1">
        <f t="array" ref="AI293">_xlfn.IFS(AG293=1, "starter", AH293=1, "legendary",T293&lt; 13, "weak",T293&lt; 17, "moderate", TRUE, "strong")</f>
        <v>starter</v>
      </c>
      <c r="AK293">
        <v>1</v>
      </c>
      <c r="AL293">
        <v>0</v>
      </c>
      <c r="AM293">
        <v>0</v>
      </c>
    </row>
    <row r="294" spans="1:39" x14ac:dyDescent="0.25">
      <c r="A294">
        <v>233</v>
      </c>
      <c r="B294" t="s">
        <v>766</v>
      </c>
      <c r="C294" s="1" t="s">
        <v>8</v>
      </c>
      <c r="E294">
        <v>85</v>
      </c>
      <c r="F294">
        <v>80</v>
      </c>
      <c r="G294">
        <v>90</v>
      </c>
      <c r="H294">
        <v>105</v>
      </c>
      <c r="I294">
        <v>95</v>
      </c>
      <c r="J294">
        <v>60</v>
      </c>
      <c r="K294" t="s">
        <v>596</v>
      </c>
      <c r="M294" t="s">
        <v>551</v>
      </c>
      <c r="N294">
        <f t="shared" ref="N294:N305" si="236">(0.4*J294 + 0.5*MAX(F294,H294) + 0.1*MIN(F294,H294)) / 10</f>
        <v>8.4499999999999993</v>
      </c>
      <c r="O294">
        <f t="shared" ref="O294:O305" si="237">(0.4*E294 + 0.3*G294 + 0.3*I294) / 10</f>
        <v>8.9499999999999993</v>
      </c>
      <c r="P294">
        <v>0</v>
      </c>
      <c r="Q294">
        <v>-1</v>
      </c>
      <c r="R294" s="2">
        <f t="shared" ref="R294:R305" si="238">ROUND(N294,0)+P294</f>
        <v>8</v>
      </c>
      <c r="S294" s="2">
        <f t="shared" ref="S294:S305" si="239">ROUND(O294,0)+Q294</f>
        <v>8</v>
      </c>
      <c r="T294" s="2">
        <f t="shared" ref="T294:T305" si="240">SUM(ROUND(R294,0),ROUND(S294,0))</f>
        <v>16</v>
      </c>
      <c r="U294" t="str">
        <f>C294</f>
        <v>normal</v>
      </c>
      <c r="V294" t="s">
        <v>11</v>
      </c>
      <c r="W294" t="s">
        <v>14</v>
      </c>
      <c r="X294" t="s">
        <v>26</v>
      </c>
      <c r="Y294" t="str">
        <f t="shared" si="234"/>
        <v>Porygon-Z</v>
      </c>
      <c r="Z294" s="2">
        <f t="shared" si="235"/>
        <v>5</v>
      </c>
      <c r="AA294" t="str">
        <f t="shared" si="224"/>
        <v>Porygon2</v>
      </c>
      <c r="AC294" t="s">
        <v>765</v>
      </c>
      <c r="AD294" t="str">
        <f>VLOOKUP(AC294,moves!A:B,2,FALSE)</f>
        <v>normal</v>
      </c>
      <c r="AE294">
        <f>VLOOKUP(AC294,moves!A:D,4,FALSE)</f>
        <v>3</v>
      </c>
      <c r="AF294">
        <f>VLOOKUP(AC294,moves!A:F,5,FALSE)</f>
        <v>0</v>
      </c>
      <c r="AG294">
        <v>0</v>
      </c>
      <c r="AH294">
        <v>0</v>
      </c>
      <c r="AI294" t="str" cm="1">
        <f t="array" ref="AI294">_xlfn.IFS(AG294=1, "starter", AH294=1, "legendary",T294&lt; 13, "weak",T294&lt; 17, "moderate", TRUE, "strong")</f>
        <v>moderate</v>
      </c>
      <c r="AK294">
        <v>2</v>
      </c>
      <c r="AL294">
        <v>0</v>
      </c>
      <c r="AM294">
        <v>0</v>
      </c>
    </row>
    <row r="295" spans="1:39" x14ac:dyDescent="0.25">
      <c r="A295">
        <v>474</v>
      </c>
      <c r="B295" t="s">
        <v>460</v>
      </c>
      <c r="C295" s="1" t="s">
        <v>8</v>
      </c>
      <c r="E295">
        <v>85</v>
      </c>
      <c r="F295">
        <v>80</v>
      </c>
      <c r="G295">
        <v>70</v>
      </c>
      <c r="H295">
        <v>135</v>
      </c>
      <c r="I295">
        <v>75</v>
      </c>
      <c r="J295">
        <v>90</v>
      </c>
      <c r="K295" t="s">
        <v>596</v>
      </c>
      <c r="M295" t="s">
        <v>551</v>
      </c>
      <c r="N295">
        <f t="shared" si="236"/>
        <v>11.15</v>
      </c>
      <c r="O295">
        <f t="shared" si="237"/>
        <v>7.75</v>
      </c>
      <c r="P295">
        <v>0</v>
      </c>
      <c r="Q295">
        <v>0</v>
      </c>
      <c r="R295" s="2">
        <f t="shared" si="238"/>
        <v>11</v>
      </c>
      <c r="S295" s="2">
        <f t="shared" si="239"/>
        <v>8</v>
      </c>
      <c r="T295" s="2">
        <f t="shared" si="240"/>
        <v>19</v>
      </c>
      <c r="U295" t="str">
        <f>C295</f>
        <v>normal</v>
      </c>
      <c r="V295" t="s">
        <v>11</v>
      </c>
      <c r="W295" t="s">
        <v>14</v>
      </c>
      <c r="X295" t="s">
        <v>26</v>
      </c>
      <c r="Z295" s="2" t="str">
        <f>IF(ISBLANK(Y295), "", ROUND(( (T298-6)*(T298-7) - (T295-6)*(T295-7) )/15, 0) + 1)</f>
        <v/>
      </c>
      <c r="AA295" t="str">
        <f t="shared" si="224"/>
        <v>Porygon-Z</v>
      </c>
      <c r="AC295" t="s">
        <v>1083</v>
      </c>
      <c r="AD295" t="str">
        <f>VLOOKUP(AC295,moves!A:B,2,FALSE)</f>
        <v>normal</v>
      </c>
      <c r="AE295">
        <f>VLOOKUP(AC295,moves!A:D,4,FALSE)</f>
        <v>6</v>
      </c>
      <c r="AF295" t="str">
        <f>VLOOKUP(AC295,moves!A:F,5,FALSE)</f>
        <v>decisive</v>
      </c>
      <c r="AG295">
        <v>0</v>
      </c>
      <c r="AH295">
        <v>0</v>
      </c>
      <c r="AI295" t="str" cm="1">
        <f t="array" ref="AI295">_xlfn.IFS(AG295=1, "starter", AH295=1, "legendary",T295&lt; 13, "weak",T295&lt; 17, "moderate", TRUE, "strong")</f>
        <v>strong</v>
      </c>
      <c r="AK295">
        <v>3</v>
      </c>
      <c r="AL295">
        <v>0</v>
      </c>
      <c r="AM295">
        <v>1</v>
      </c>
    </row>
    <row r="296" spans="1:39" x14ac:dyDescent="0.25">
      <c r="A296" s="31" t="s">
        <v>1075</v>
      </c>
      <c r="B296" t="s">
        <v>460</v>
      </c>
      <c r="C296" s="1" t="s">
        <v>8</v>
      </c>
      <c r="E296">
        <v>85</v>
      </c>
      <c r="F296">
        <v>80</v>
      </c>
      <c r="G296">
        <v>70</v>
      </c>
      <c r="H296">
        <v>135</v>
      </c>
      <c r="I296">
        <v>75</v>
      </c>
      <c r="J296">
        <v>90</v>
      </c>
      <c r="K296" t="s">
        <v>596</v>
      </c>
      <c r="M296" t="s">
        <v>797</v>
      </c>
      <c r="N296">
        <f t="shared" ref="N296" si="241">(0.4*J296 + 0.5*MAX(F296,H296) + 0.1*MIN(F296,H296)) / 10</f>
        <v>11.15</v>
      </c>
      <c r="O296">
        <f t="shared" ref="O296" si="242">(0.4*E296 + 0.3*G296 + 0.3*I296) / 10</f>
        <v>7.75</v>
      </c>
      <c r="P296">
        <v>2</v>
      </c>
      <c r="Q296">
        <v>2</v>
      </c>
      <c r="R296" s="2">
        <f t="shared" ref="R296" si="243">ROUND(N296,0)+P296</f>
        <v>13</v>
      </c>
      <c r="S296" s="2">
        <f t="shared" ref="S296" si="244">ROUND(O296,0)+Q296</f>
        <v>10</v>
      </c>
      <c r="T296" s="2">
        <f t="shared" ref="T296" si="245">SUM(ROUND(R296,0),ROUND(S296,0))</f>
        <v>23</v>
      </c>
      <c r="U296" t="str">
        <f>C296</f>
        <v>normal</v>
      </c>
      <c r="V296" t="s">
        <v>11</v>
      </c>
      <c r="W296" t="s">
        <v>14</v>
      </c>
      <c r="X296" t="s">
        <v>26</v>
      </c>
      <c r="Z296" s="2" t="str">
        <f>IF(ISBLANK(Y296), "", ROUND(( (T299-6)*(T299-7) - (T296-6)*(T296-7) )/15, 0) + 1)</f>
        <v/>
      </c>
      <c r="AA296" t="str">
        <f t="shared" ref="AA296" si="246">B296</f>
        <v>Porygon-Z</v>
      </c>
      <c r="AB296" t="s">
        <v>1070</v>
      </c>
      <c r="AC296" t="s">
        <v>1083</v>
      </c>
      <c r="AD296" t="str">
        <f>VLOOKUP(AC296,moves!A:B,2,FALSE)</f>
        <v>normal</v>
      </c>
      <c r="AE296">
        <f>VLOOKUP(AC296,moves!A:D,4,FALSE)</f>
        <v>6</v>
      </c>
      <c r="AF296" t="str">
        <f>VLOOKUP(AC296,moves!A:F,5,FALSE)</f>
        <v>decisive</v>
      </c>
      <c r="AG296">
        <v>0</v>
      </c>
      <c r="AH296">
        <v>1</v>
      </c>
      <c r="AI296" t="str" cm="1">
        <f t="array" ref="AI296">_xlfn.IFS(AG296=1, "starter", AH296=1, "legendary",T296&lt; 13, "weak",T296&lt; 17, "moderate", TRUE, "strong")</f>
        <v>legendary</v>
      </c>
      <c r="AK296">
        <v>3</v>
      </c>
      <c r="AL296">
        <v>0</v>
      </c>
      <c r="AM296">
        <v>2</v>
      </c>
    </row>
    <row r="297" spans="1:39" x14ac:dyDescent="0.25">
      <c r="A297" s="9" t="s">
        <v>1385</v>
      </c>
      <c r="B297" t="s">
        <v>1386</v>
      </c>
      <c r="C297" s="1" t="s">
        <v>550</v>
      </c>
      <c r="E297">
        <v>85</v>
      </c>
      <c r="F297">
        <v>80</v>
      </c>
      <c r="G297">
        <v>70</v>
      </c>
      <c r="H297">
        <v>135</v>
      </c>
      <c r="I297">
        <v>75</v>
      </c>
      <c r="J297">
        <v>90</v>
      </c>
      <c r="K297" t="s">
        <v>596</v>
      </c>
      <c r="M297" t="s">
        <v>1339</v>
      </c>
      <c r="N297">
        <f t="shared" ref="N297" si="247">(0.4*J297 + 0.5*MAX(F297,H297) + 0.1*MIN(F297,H297)) / 10</f>
        <v>11.15</v>
      </c>
      <c r="O297">
        <f t="shared" ref="O297" si="248">(0.4*E297 + 0.3*G297 + 0.3*I297) / 10</f>
        <v>7.75</v>
      </c>
      <c r="P297">
        <v>-1</v>
      </c>
      <c r="Q297">
        <v>3</v>
      </c>
      <c r="R297" s="2">
        <f t="shared" ref="R297" si="249">ROUND(N297,0)+P297</f>
        <v>10</v>
      </c>
      <c r="S297" s="2">
        <f t="shared" ref="S297" si="250">ROUND(O297,0)+Q297</f>
        <v>11</v>
      </c>
      <c r="T297" s="2">
        <f t="shared" ref="T297" si="251">SUM(ROUND(R297,0),ROUND(S297,0))</f>
        <v>21</v>
      </c>
      <c r="U297" t="s">
        <v>7</v>
      </c>
      <c r="V297" t="s">
        <v>11</v>
      </c>
      <c r="W297" t="s">
        <v>14</v>
      </c>
      <c r="X297" t="s">
        <v>26</v>
      </c>
      <c r="Z297" s="2" t="str">
        <f>IF(ISBLANK(Y297), "", ROUND(( (T300-6)*(T300-7) - (T297-6)*(T297-7) )/15, 0) + 1)</f>
        <v/>
      </c>
      <c r="AA297" t="str">
        <f t="shared" ref="AA297" si="252">B297</f>
        <v>Prototype Zero</v>
      </c>
      <c r="AB297" t="s">
        <v>1387</v>
      </c>
      <c r="AC297" t="s">
        <v>1388</v>
      </c>
      <c r="AD297" t="str">
        <f>VLOOKUP(AC297,moves!A:B,2,FALSE)</f>
        <v>bug</v>
      </c>
      <c r="AE297">
        <f>VLOOKUP(AC297,moves!A:D,4,FALSE)</f>
        <v>0</v>
      </c>
      <c r="AF297">
        <f>VLOOKUP(AC297,moves!A:F,5,FALSE)</f>
        <v>0</v>
      </c>
      <c r="AG297">
        <v>0</v>
      </c>
      <c r="AH297">
        <v>1</v>
      </c>
      <c r="AI297" t="str" cm="1">
        <f t="array" ref="AI297">_xlfn.IFS(AG297=1, "starter", AH297=1, "legendary",T297&lt; 13, "weak",T297&lt; 17, "moderate", TRUE, "strong")</f>
        <v>legendary</v>
      </c>
      <c r="AK297">
        <v>1</v>
      </c>
      <c r="AL297">
        <v>0</v>
      </c>
      <c r="AM297">
        <v>0</v>
      </c>
    </row>
    <row r="298" spans="1:39" x14ac:dyDescent="0.25">
      <c r="A298">
        <v>46</v>
      </c>
      <c r="B298" t="s">
        <v>767</v>
      </c>
      <c r="C298" s="1" t="s">
        <v>7</v>
      </c>
      <c r="D298" s="1" t="s">
        <v>2</v>
      </c>
      <c r="E298">
        <v>35</v>
      </c>
      <c r="F298">
        <v>70</v>
      </c>
      <c r="G298">
        <v>55</v>
      </c>
      <c r="H298">
        <v>45</v>
      </c>
      <c r="I298">
        <v>55</v>
      </c>
      <c r="J298">
        <v>25</v>
      </c>
      <c r="K298" t="s">
        <v>768</v>
      </c>
      <c r="L298" t="s">
        <v>298</v>
      </c>
      <c r="M298" t="s">
        <v>300</v>
      </c>
      <c r="N298">
        <f t="shared" si="236"/>
        <v>4.95</v>
      </c>
      <c r="O298">
        <f t="shared" si="237"/>
        <v>4.7</v>
      </c>
      <c r="P298">
        <v>0</v>
      </c>
      <c r="Q298">
        <v>0</v>
      </c>
      <c r="R298" s="2">
        <f t="shared" si="238"/>
        <v>5</v>
      </c>
      <c r="S298" s="2">
        <f t="shared" si="239"/>
        <v>5</v>
      </c>
      <c r="T298" s="2">
        <f t="shared" si="240"/>
        <v>10</v>
      </c>
      <c r="U298" t="str">
        <f>C298</f>
        <v>bug</v>
      </c>
      <c r="V298" t="str">
        <f>IF(D298 = 0, "", D298)</f>
        <v>grass</v>
      </c>
      <c r="W298" t="s">
        <v>3</v>
      </c>
      <c r="X298" t="s">
        <v>8</v>
      </c>
      <c r="Y298" t="str">
        <f t="shared" si="234"/>
        <v>Parasect</v>
      </c>
      <c r="Z298" s="2">
        <f t="shared" si="235"/>
        <v>4</v>
      </c>
      <c r="AA298" t="str">
        <f t="shared" si="224"/>
        <v>Paras</v>
      </c>
      <c r="AC298" t="s">
        <v>769</v>
      </c>
      <c r="AD298" t="str">
        <f>VLOOKUP(AC298,moves!A:B,2,FALSE)</f>
        <v>grass</v>
      </c>
      <c r="AE298">
        <f>VLOOKUP(AC298,moves!A:D,4,FALSE)</f>
        <v>2</v>
      </c>
      <c r="AF298">
        <f>VLOOKUP(AC298,moves!A:F,5,FALSE)</f>
        <v>0</v>
      </c>
      <c r="AG298">
        <v>0</v>
      </c>
      <c r="AH298">
        <v>0</v>
      </c>
      <c r="AI298" t="str" cm="1">
        <f t="array" ref="AI298">_xlfn.IFS(AG298=1, "starter", AH298=1, "legendary",T298&lt; 13, "weak",T298&lt; 17, "moderate", TRUE, "strong")</f>
        <v>weak</v>
      </c>
      <c r="AK298">
        <v>1</v>
      </c>
      <c r="AL298">
        <v>0</v>
      </c>
      <c r="AM298">
        <v>0</v>
      </c>
    </row>
    <row r="299" spans="1:39" x14ac:dyDescent="0.25">
      <c r="A299">
        <v>47</v>
      </c>
      <c r="B299" t="s">
        <v>770</v>
      </c>
      <c r="C299" s="1" t="s">
        <v>7</v>
      </c>
      <c r="D299" s="1" t="s">
        <v>2</v>
      </c>
      <c r="E299">
        <v>60</v>
      </c>
      <c r="F299">
        <v>95</v>
      </c>
      <c r="G299">
        <v>80</v>
      </c>
      <c r="H299">
        <v>60</v>
      </c>
      <c r="I299">
        <v>80</v>
      </c>
      <c r="J299">
        <v>30</v>
      </c>
      <c r="K299" t="s">
        <v>768</v>
      </c>
      <c r="L299" t="s">
        <v>298</v>
      </c>
      <c r="M299" t="s">
        <v>300</v>
      </c>
      <c r="N299">
        <f t="shared" si="236"/>
        <v>6.55</v>
      </c>
      <c r="O299">
        <f t="shared" si="237"/>
        <v>7.2</v>
      </c>
      <c r="P299">
        <v>0</v>
      </c>
      <c r="Q299">
        <v>0</v>
      </c>
      <c r="R299" s="2">
        <f t="shared" si="238"/>
        <v>7</v>
      </c>
      <c r="S299" s="2">
        <f t="shared" si="239"/>
        <v>7</v>
      </c>
      <c r="T299" s="2">
        <f t="shared" si="240"/>
        <v>14</v>
      </c>
      <c r="U299" t="str">
        <f t="shared" ref="U299:U305" si="253">C299</f>
        <v>bug</v>
      </c>
      <c r="V299" t="str">
        <f>IF(D299 = 0, "", D299)</f>
        <v>grass</v>
      </c>
      <c r="W299" t="s">
        <v>3</v>
      </c>
      <c r="X299" t="s">
        <v>8</v>
      </c>
      <c r="Z299" s="2" t="str">
        <f t="shared" si="235"/>
        <v/>
      </c>
      <c r="AA299" t="str">
        <f t="shared" si="224"/>
        <v>Parasect</v>
      </c>
      <c r="AC299" t="s">
        <v>648</v>
      </c>
      <c r="AD299" t="str">
        <f>VLOOKUP(AC299,moves!A:B,2,FALSE)</f>
        <v>bug</v>
      </c>
      <c r="AE299">
        <f>VLOOKUP(AC299,moves!A:D,4,FALSE)</f>
        <v>4</v>
      </c>
      <c r="AF299">
        <f>VLOOKUP(AC299,moves!A:F,5,FALSE)</f>
        <v>0</v>
      </c>
      <c r="AG299">
        <v>0</v>
      </c>
      <c r="AH299">
        <v>0</v>
      </c>
      <c r="AI299" t="str" cm="1">
        <f t="array" ref="AI299">_xlfn.IFS(AG299=1, "starter", AH299=1, "legendary",T299&lt; 13, "weak",T299&lt; 17, "moderate", TRUE, "strong")</f>
        <v>moderate</v>
      </c>
      <c r="AK299">
        <v>2</v>
      </c>
      <c r="AL299">
        <v>0</v>
      </c>
      <c r="AM299">
        <v>0</v>
      </c>
    </row>
    <row r="300" spans="1:39" x14ac:dyDescent="0.25">
      <c r="A300">
        <v>704</v>
      </c>
      <c r="B300" t="s">
        <v>772</v>
      </c>
      <c r="C300" s="1" t="s">
        <v>67</v>
      </c>
      <c r="E300">
        <v>45</v>
      </c>
      <c r="F300">
        <v>50</v>
      </c>
      <c r="G300">
        <v>35</v>
      </c>
      <c r="H300">
        <v>55</v>
      </c>
      <c r="I300">
        <v>75</v>
      </c>
      <c r="J300">
        <v>40</v>
      </c>
      <c r="K300" t="s">
        <v>773</v>
      </c>
      <c r="L300" t="s">
        <v>298</v>
      </c>
      <c r="M300" t="s">
        <v>302</v>
      </c>
      <c r="N300">
        <f t="shared" si="236"/>
        <v>4.8499999999999996</v>
      </c>
      <c r="O300">
        <f t="shared" si="237"/>
        <v>5.0999999999999996</v>
      </c>
      <c r="P300">
        <v>0</v>
      </c>
      <c r="Q300">
        <v>0</v>
      </c>
      <c r="R300" s="2">
        <f t="shared" si="238"/>
        <v>5</v>
      </c>
      <c r="S300" s="2">
        <f t="shared" si="239"/>
        <v>5</v>
      </c>
      <c r="T300" s="2">
        <f t="shared" si="240"/>
        <v>10</v>
      </c>
      <c r="U300" t="str">
        <f t="shared" si="253"/>
        <v>dragon</v>
      </c>
      <c r="V300" t="s">
        <v>6</v>
      </c>
      <c r="W300" t="s">
        <v>3</v>
      </c>
      <c r="X300" t="s">
        <v>39</v>
      </c>
      <c r="Y300" t="str">
        <f t="shared" si="234"/>
        <v>Sliggoo</v>
      </c>
      <c r="Z300" s="2">
        <f t="shared" si="235"/>
        <v>4</v>
      </c>
      <c r="AA300" t="str">
        <f t="shared" si="224"/>
        <v>Goomy</v>
      </c>
      <c r="AC300" t="s">
        <v>774</v>
      </c>
      <c r="AD300" t="str">
        <f>VLOOKUP(AC300,moves!A:B,2,FALSE)</f>
        <v>steel</v>
      </c>
      <c r="AE300">
        <f>VLOOKUP(AC300,moves!A:D,4,FALSE)</f>
        <v>1</v>
      </c>
      <c r="AF300" t="str">
        <f>VLOOKUP(AC300,moves!A:F,5,FALSE)</f>
        <v>switch</v>
      </c>
      <c r="AG300">
        <v>0</v>
      </c>
      <c r="AH300">
        <v>0</v>
      </c>
      <c r="AI300" t="str" cm="1">
        <f t="array" ref="AI300">_xlfn.IFS(AG300=1, "starter", AH300=1, "legendary",T300&lt; 13, "weak",T300&lt; 17, "moderate", TRUE, "strong")</f>
        <v>weak</v>
      </c>
      <c r="AK300">
        <v>1</v>
      </c>
      <c r="AL300">
        <v>0</v>
      </c>
      <c r="AM300">
        <v>0</v>
      </c>
    </row>
    <row r="301" spans="1:39" x14ac:dyDescent="0.25">
      <c r="A301">
        <v>705</v>
      </c>
      <c r="B301" t="s">
        <v>776</v>
      </c>
      <c r="C301" s="1" t="s">
        <v>67</v>
      </c>
      <c r="E301">
        <v>68</v>
      </c>
      <c r="F301">
        <v>75</v>
      </c>
      <c r="G301">
        <v>53</v>
      </c>
      <c r="H301">
        <v>83</v>
      </c>
      <c r="I301">
        <v>113</v>
      </c>
      <c r="J301">
        <v>60</v>
      </c>
      <c r="K301" t="s">
        <v>773</v>
      </c>
      <c r="L301" t="s">
        <v>298</v>
      </c>
      <c r="M301" t="s">
        <v>302</v>
      </c>
      <c r="N301">
        <f t="shared" si="236"/>
        <v>7.3</v>
      </c>
      <c r="O301">
        <f t="shared" si="237"/>
        <v>7.7</v>
      </c>
      <c r="P301">
        <v>-1</v>
      </c>
      <c r="Q301">
        <v>0</v>
      </c>
      <c r="R301" s="2">
        <f t="shared" si="238"/>
        <v>6</v>
      </c>
      <c r="S301" s="2">
        <f t="shared" si="239"/>
        <v>8</v>
      </c>
      <c r="T301" s="2">
        <f t="shared" si="240"/>
        <v>14</v>
      </c>
      <c r="U301" t="str">
        <f t="shared" si="253"/>
        <v>dragon</v>
      </c>
      <c r="V301" t="s">
        <v>6</v>
      </c>
      <c r="W301" t="s">
        <v>3</v>
      </c>
      <c r="X301" t="s">
        <v>39</v>
      </c>
      <c r="Y301" t="str">
        <f t="shared" si="234"/>
        <v>Goodra</v>
      </c>
      <c r="Z301" s="2">
        <f t="shared" si="235"/>
        <v>9</v>
      </c>
      <c r="AA301" t="str">
        <f t="shared" si="224"/>
        <v>Sliggoo</v>
      </c>
      <c r="AC301" t="s">
        <v>543</v>
      </c>
      <c r="AD301" t="str">
        <f>VLOOKUP(AC301,moves!A:B,2,FALSE)</f>
        <v>water</v>
      </c>
      <c r="AE301">
        <f>VLOOKUP(AC301,moves!A:D,4,FALSE)</f>
        <v>3</v>
      </c>
      <c r="AF301">
        <f>VLOOKUP(AC301,moves!A:F,5,FALSE)</f>
        <v>0</v>
      </c>
      <c r="AG301">
        <v>0</v>
      </c>
      <c r="AH301">
        <v>0</v>
      </c>
      <c r="AI301" t="str" cm="1">
        <f t="array" ref="AI301">_xlfn.IFS(AG301=1, "starter", AH301=1, "legendary",T301&lt; 13, "weak",T301&lt; 17, "moderate", TRUE, "strong")</f>
        <v>moderate</v>
      </c>
      <c r="AK301">
        <v>2</v>
      </c>
      <c r="AL301">
        <v>0</v>
      </c>
      <c r="AM301">
        <v>0</v>
      </c>
    </row>
    <row r="302" spans="1:39" x14ac:dyDescent="0.25">
      <c r="A302">
        <v>706</v>
      </c>
      <c r="B302" t="s">
        <v>777</v>
      </c>
      <c r="C302" s="1" t="s">
        <v>67</v>
      </c>
      <c r="E302">
        <v>90</v>
      </c>
      <c r="F302">
        <v>100</v>
      </c>
      <c r="G302">
        <v>70</v>
      </c>
      <c r="H302">
        <v>110</v>
      </c>
      <c r="I302">
        <v>150</v>
      </c>
      <c r="J302">
        <v>80</v>
      </c>
      <c r="K302" t="s">
        <v>268</v>
      </c>
      <c r="L302" t="s">
        <v>298</v>
      </c>
      <c r="M302" t="s">
        <v>302</v>
      </c>
      <c r="N302">
        <f t="shared" si="236"/>
        <v>9.6999999999999993</v>
      </c>
      <c r="O302">
        <f t="shared" si="237"/>
        <v>10.199999999999999</v>
      </c>
      <c r="P302">
        <v>-1</v>
      </c>
      <c r="Q302">
        <v>1</v>
      </c>
      <c r="R302" s="2">
        <f t="shared" si="238"/>
        <v>9</v>
      </c>
      <c r="S302" s="2">
        <f t="shared" si="239"/>
        <v>11</v>
      </c>
      <c r="T302" s="2">
        <f t="shared" si="240"/>
        <v>20</v>
      </c>
      <c r="U302" t="str">
        <f t="shared" si="253"/>
        <v>dragon</v>
      </c>
      <c r="V302" t="s">
        <v>6</v>
      </c>
      <c r="W302" t="s">
        <v>3</v>
      </c>
      <c r="X302" t="s">
        <v>39</v>
      </c>
      <c r="Z302" s="2" t="str">
        <f t="shared" si="235"/>
        <v/>
      </c>
      <c r="AA302" t="str">
        <f t="shared" si="224"/>
        <v>Goodra</v>
      </c>
      <c r="AC302" t="s">
        <v>775</v>
      </c>
      <c r="AD302" t="str">
        <f>VLOOKUP(AC302,moves!A:B,2,FALSE)</f>
        <v>dragon</v>
      </c>
      <c r="AE302">
        <f>VLOOKUP(AC302,moves!A:D,4,FALSE)</f>
        <v>4</v>
      </c>
      <c r="AF302">
        <f>VLOOKUP(AC302,moves!A:F,5,FALSE)</f>
        <v>0</v>
      </c>
      <c r="AG302">
        <v>0</v>
      </c>
      <c r="AH302">
        <v>0</v>
      </c>
      <c r="AI302" t="str" cm="1">
        <f t="array" ref="AI302">_xlfn.IFS(AG302=1, "starter", AH302=1, "legendary",T302&lt; 13, "weak",T302&lt; 17, "moderate", TRUE, "strong")</f>
        <v>strong</v>
      </c>
      <c r="AK302">
        <v>3</v>
      </c>
      <c r="AL302">
        <v>0</v>
      </c>
      <c r="AM302">
        <v>0</v>
      </c>
    </row>
    <row r="303" spans="1:39" x14ac:dyDescent="0.25">
      <c r="A303">
        <v>548</v>
      </c>
      <c r="B303" t="s">
        <v>778</v>
      </c>
      <c r="C303" s="1" t="s">
        <v>2</v>
      </c>
      <c r="E303">
        <v>45</v>
      </c>
      <c r="F303">
        <v>35</v>
      </c>
      <c r="G303">
        <v>50</v>
      </c>
      <c r="H303">
        <v>70</v>
      </c>
      <c r="I303">
        <v>50</v>
      </c>
      <c r="J303">
        <v>30</v>
      </c>
      <c r="K303" t="s">
        <v>779</v>
      </c>
      <c r="L303" t="s">
        <v>298</v>
      </c>
      <c r="M303" t="s">
        <v>300</v>
      </c>
      <c r="N303">
        <f t="shared" si="236"/>
        <v>5.05</v>
      </c>
      <c r="O303">
        <f t="shared" si="237"/>
        <v>4.8</v>
      </c>
      <c r="P303">
        <v>0</v>
      </c>
      <c r="Q303">
        <v>0</v>
      </c>
      <c r="R303" s="2">
        <f t="shared" si="238"/>
        <v>5</v>
      </c>
      <c r="S303" s="2">
        <f t="shared" si="239"/>
        <v>5</v>
      </c>
      <c r="T303" s="2">
        <f t="shared" si="240"/>
        <v>10</v>
      </c>
      <c r="U303" t="str">
        <f t="shared" si="253"/>
        <v>grass</v>
      </c>
      <c r="V303" t="s">
        <v>8</v>
      </c>
      <c r="W303" t="s">
        <v>7</v>
      </c>
      <c r="X303" t="s">
        <v>22</v>
      </c>
      <c r="Y303" t="str">
        <f t="shared" si="234"/>
        <v>Lilligant</v>
      </c>
      <c r="Z303" s="2">
        <f t="shared" si="235"/>
        <v>8</v>
      </c>
      <c r="AA303" t="str">
        <f t="shared" si="224"/>
        <v>Petilil</v>
      </c>
      <c r="AC303" t="s">
        <v>782</v>
      </c>
      <c r="AD303" t="str">
        <f>VLOOKUP(AC303,moves!A:B,2,FALSE)</f>
        <v>grass</v>
      </c>
      <c r="AE303">
        <f>VLOOKUP(AC303,moves!A:D,4,FALSE)</f>
        <v>1</v>
      </c>
      <c r="AF303" t="str">
        <f>VLOOKUP(AC303,moves!A:F,5,FALSE)</f>
        <v>agile</v>
      </c>
      <c r="AG303">
        <v>0</v>
      </c>
      <c r="AH303">
        <v>0</v>
      </c>
      <c r="AI303" t="str" cm="1">
        <f t="array" ref="AI303">_xlfn.IFS(AG303=1, "starter", AH303=1, "legendary",T303&lt; 13, "weak",T303&lt; 17, "moderate", TRUE, "strong")</f>
        <v>weak</v>
      </c>
      <c r="AK303">
        <v>1</v>
      </c>
      <c r="AL303">
        <v>0</v>
      </c>
      <c r="AM303">
        <v>0</v>
      </c>
    </row>
    <row r="304" spans="1:39" x14ac:dyDescent="0.25">
      <c r="A304">
        <v>549</v>
      </c>
      <c r="B304" t="s">
        <v>780</v>
      </c>
      <c r="C304" s="1" t="s">
        <v>2</v>
      </c>
      <c r="E304">
        <v>70</v>
      </c>
      <c r="F304">
        <v>60</v>
      </c>
      <c r="G304">
        <v>75</v>
      </c>
      <c r="H304">
        <v>110</v>
      </c>
      <c r="I304">
        <v>75</v>
      </c>
      <c r="J304">
        <v>90</v>
      </c>
      <c r="K304" t="s">
        <v>781</v>
      </c>
      <c r="L304" t="s">
        <v>298</v>
      </c>
      <c r="M304" t="s">
        <v>300</v>
      </c>
      <c r="N304">
        <f t="shared" si="236"/>
        <v>9.6999999999999993</v>
      </c>
      <c r="O304">
        <f t="shared" si="237"/>
        <v>7.3</v>
      </c>
      <c r="P304">
        <v>0</v>
      </c>
      <c r="Q304">
        <v>0</v>
      </c>
      <c r="R304" s="2">
        <f t="shared" si="238"/>
        <v>10</v>
      </c>
      <c r="S304" s="2">
        <f t="shared" si="239"/>
        <v>7</v>
      </c>
      <c r="T304" s="2">
        <f t="shared" si="240"/>
        <v>17</v>
      </c>
      <c r="U304" t="str">
        <f t="shared" si="253"/>
        <v>grass</v>
      </c>
      <c r="V304" t="s">
        <v>8</v>
      </c>
      <c r="W304" t="s">
        <v>7</v>
      </c>
      <c r="X304" t="s">
        <v>22</v>
      </c>
      <c r="Z304" s="2" t="str">
        <f t="shared" si="235"/>
        <v/>
      </c>
      <c r="AA304" t="str">
        <f t="shared" si="224"/>
        <v>Lilligant</v>
      </c>
      <c r="AC304" t="s">
        <v>598</v>
      </c>
      <c r="AD304" t="str">
        <f>VLOOKUP(AC304,moves!A:B,2,FALSE)</f>
        <v>grass</v>
      </c>
      <c r="AE304">
        <f>VLOOKUP(AC304,moves!A:D,4,FALSE)</f>
        <v>5</v>
      </c>
      <c r="AF304">
        <f>VLOOKUP(AC304,moves!A:F,5,FALSE)</f>
        <v>0</v>
      </c>
      <c r="AG304">
        <v>0</v>
      </c>
      <c r="AH304">
        <v>0</v>
      </c>
      <c r="AI304" t="str" cm="1">
        <f t="array" ref="AI304">_xlfn.IFS(AG304=1, "starter", AH304=1, "legendary",T304&lt; 13, "weak",T304&lt; 17, "moderate", TRUE, "strong")</f>
        <v>strong</v>
      </c>
      <c r="AK304">
        <v>2</v>
      </c>
      <c r="AL304">
        <v>0</v>
      </c>
      <c r="AM304">
        <v>0</v>
      </c>
    </row>
    <row r="305" spans="1:39" x14ac:dyDescent="0.25">
      <c r="A305">
        <v>211</v>
      </c>
      <c r="B305" t="s">
        <v>805</v>
      </c>
      <c r="C305" s="1" t="s">
        <v>6</v>
      </c>
      <c r="D305" s="1" t="s">
        <v>3</v>
      </c>
      <c r="E305">
        <v>65</v>
      </c>
      <c r="F305">
        <v>95</v>
      </c>
      <c r="G305">
        <v>85</v>
      </c>
      <c r="H305">
        <v>55</v>
      </c>
      <c r="I305">
        <v>55</v>
      </c>
      <c r="J305">
        <v>85</v>
      </c>
      <c r="K305" t="s">
        <v>349</v>
      </c>
      <c r="L305" t="s">
        <v>303</v>
      </c>
      <c r="M305" t="s">
        <v>300</v>
      </c>
      <c r="N305">
        <f t="shared" si="236"/>
        <v>8.6999999999999993</v>
      </c>
      <c r="O305">
        <f t="shared" si="237"/>
        <v>6.8</v>
      </c>
      <c r="P305">
        <v>0</v>
      </c>
      <c r="Q305">
        <v>0</v>
      </c>
      <c r="R305" s="2">
        <f t="shared" si="238"/>
        <v>9</v>
      </c>
      <c r="S305" s="2">
        <f t="shared" si="239"/>
        <v>7</v>
      </c>
      <c r="T305" s="2">
        <f t="shared" si="240"/>
        <v>16</v>
      </c>
      <c r="U305" t="str">
        <f t="shared" si="253"/>
        <v>water</v>
      </c>
      <c r="V305" t="str">
        <f t="shared" ref="V305:V312" si="254">IF(D305 = 0, "", D305)</f>
        <v>poison</v>
      </c>
      <c r="W305" t="s">
        <v>7</v>
      </c>
      <c r="X305" t="s">
        <v>9</v>
      </c>
      <c r="Z305" s="2" t="str">
        <f t="shared" si="235"/>
        <v/>
      </c>
      <c r="AA305" t="str">
        <f t="shared" si="224"/>
        <v>Qwilfish</v>
      </c>
      <c r="AC305" t="s">
        <v>771</v>
      </c>
      <c r="AD305" t="str">
        <f>VLOOKUP(AC305,moves!A:B,2,FALSE)</f>
        <v>poison</v>
      </c>
      <c r="AE305">
        <f>VLOOKUP(AC305,moves!A:D,4,FALSE)</f>
        <v>3</v>
      </c>
      <c r="AF305">
        <f>VLOOKUP(AC305,moves!A:F,5,FALSE)</f>
        <v>0</v>
      </c>
      <c r="AG305">
        <v>0</v>
      </c>
      <c r="AH305">
        <v>0</v>
      </c>
      <c r="AI305" t="str" cm="1">
        <f t="array" ref="AI305">_xlfn.IFS(AG305=1, "starter", AH305=1, "legendary",T305&lt; 13, "weak",T305&lt; 17, "moderate", TRUE, "strong")</f>
        <v>moderate</v>
      </c>
      <c r="AK305">
        <v>1</v>
      </c>
      <c r="AL305">
        <v>0</v>
      </c>
      <c r="AM305">
        <v>0</v>
      </c>
    </row>
    <row r="306" spans="1:39" x14ac:dyDescent="0.25">
      <c r="A306">
        <v>607</v>
      </c>
      <c r="B306" t="s">
        <v>720</v>
      </c>
      <c r="C306" s="1" t="s">
        <v>42</v>
      </c>
      <c r="D306" s="1" t="s">
        <v>4</v>
      </c>
      <c r="E306">
        <v>50</v>
      </c>
      <c r="F306">
        <v>30</v>
      </c>
      <c r="G306">
        <v>55</v>
      </c>
      <c r="H306">
        <v>65</v>
      </c>
      <c r="I306">
        <v>55</v>
      </c>
      <c r="J306">
        <v>20</v>
      </c>
      <c r="K306" t="s">
        <v>723</v>
      </c>
      <c r="L306" t="s">
        <v>298</v>
      </c>
      <c r="M306" t="s">
        <v>299</v>
      </c>
      <c r="N306">
        <f t="shared" si="217"/>
        <v>4.3499999999999996</v>
      </c>
      <c r="O306">
        <f t="shared" si="218"/>
        <v>5.3</v>
      </c>
      <c r="P306">
        <v>1</v>
      </c>
      <c r="Q306">
        <v>0</v>
      </c>
      <c r="R306" s="2">
        <f t="shared" si="219"/>
        <v>5</v>
      </c>
      <c r="S306" s="2">
        <f t="shared" si="220"/>
        <v>5</v>
      </c>
      <c r="T306" s="2">
        <f t="shared" si="221"/>
        <v>10</v>
      </c>
      <c r="U306" t="str">
        <f t="shared" si="225"/>
        <v>ghost</v>
      </c>
      <c r="V306" t="str">
        <f t="shared" si="254"/>
        <v>fire</v>
      </c>
      <c r="W306" t="s">
        <v>26</v>
      </c>
      <c r="X306" t="s">
        <v>2</v>
      </c>
      <c r="Y306" t="str">
        <f>B307</f>
        <v>Lampent</v>
      </c>
      <c r="Z306" s="2">
        <f t="shared" ref="Z306:Z411" si="255">IF(ISBLANK(Y306), "", ROUND(( (T307-6)*(T307-7) - (T306-6)*(T306-7) )/15, 0) + 1)</f>
        <v>4</v>
      </c>
      <c r="AA306" t="str">
        <f t="shared" si="224"/>
        <v>Litwick</v>
      </c>
      <c r="AC306" t="s">
        <v>737</v>
      </c>
      <c r="AD306" t="str">
        <f>VLOOKUP(AC306,moves!A:B,2,FALSE)</f>
        <v>fire</v>
      </c>
      <c r="AE306">
        <f>VLOOKUP(AC306,moves!A:D,4,FALSE)</f>
        <v>1</v>
      </c>
      <c r="AF306" t="str">
        <f>VLOOKUP(AC306,moves!A:F,5,FALSE)</f>
        <v>agile</v>
      </c>
      <c r="AG306">
        <v>1</v>
      </c>
      <c r="AH306">
        <v>0</v>
      </c>
      <c r="AI306" t="str" cm="1">
        <f t="array" ref="AI306">_xlfn.IFS(AG306=1, "starter", AH306=1, "legendary",T306&lt; 13, "weak",T306&lt; 17, "moderate", TRUE, "strong")</f>
        <v>starter</v>
      </c>
      <c r="AK306">
        <v>1</v>
      </c>
      <c r="AL306">
        <v>0</v>
      </c>
      <c r="AM306">
        <v>0</v>
      </c>
    </row>
    <row r="307" spans="1:39" x14ac:dyDescent="0.25">
      <c r="A307">
        <v>608</v>
      </c>
      <c r="B307" t="s">
        <v>721</v>
      </c>
      <c r="C307" s="1" t="s">
        <v>42</v>
      </c>
      <c r="D307" s="1" t="s">
        <v>4</v>
      </c>
      <c r="E307">
        <v>60</v>
      </c>
      <c r="F307">
        <v>40</v>
      </c>
      <c r="G307">
        <v>60</v>
      </c>
      <c r="H307">
        <v>95</v>
      </c>
      <c r="I307">
        <v>60</v>
      </c>
      <c r="J307">
        <v>55</v>
      </c>
      <c r="K307" t="s">
        <v>724</v>
      </c>
      <c r="L307" t="s">
        <v>298</v>
      </c>
      <c r="M307" t="s">
        <v>299</v>
      </c>
      <c r="N307">
        <f t="shared" ref="N307:N412" si="256">(0.4*J307 + 0.5*MAX(F307,H307) + 0.1*MIN(F307,H307)) / 10</f>
        <v>7.35</v>
      </c>
      <c r="O307">
        <f t="shared" ref="O307:O412" si="257">(0.4*E307 + 0.3*G307 + 0.3*I307) / 10</f>
        <v>6</v>
      </c>
      <c r="P307">
        <v>1</v>
      </c>
      <c r="Q307">
        <v>0</v>
      </c>
      <c r="R307" s="2">
        <f t="shared" ref="R307:R412" si="258">ROUND(N307,0)+P307</f>
        <v>8</v>
      </c>
      <c r="S307" s="2">
        <f t="shared" ref="S307:S412" si="259">ROUND(O307,0)+Q307</f>
        <v>6</v>
      </c>
      <c r="T307" s="2">
        <f t="shared" si="221"/>
        <v>14</v>
      </c>
      <c r="U307" t="str">
        <f t="shared" si="225"/>
        <v>ghost</v>
      </c>
      <c r="V307" t="str">
        <f t="shared" si="254"/>
        <v>fire</v>
      </c>
      <c r="W307" t="s">
        <v>26</v>
      </c>
      <c r="X307" t="s">
        <v>2</v>
      </c>
      <c r="Y307" t="str">
        <f>B308</f>
        <v>Chandelure</v>
      </c>
      <c r="Z307" s="2">
        <f t="shared" si="255"/>
        <v>6</v>
      </c>
      <c r="AA307" t="str">
        <f t="shared" si="224"/>
        <v>Lampent</v>
      </c>
      <c r="AC307" t="s">
        <v>502</v>
      </c>
      <c r="AD307" t="str">
        <f>VLOOKUP(AC307,moves!A:B,2,FALSE)</f>
        <v>ghost</v>
      </c>
      <c r="AE307">
        <f>VLOOKUP(AC307,moves!A:D,4,FALSE)</f>
        <v>3</v>
      </c>
      <c r="AF307">
        <f>VLOOKUP(AC307,moves!A:F,5,FALSE)</f>
        <v>0</v>
      </c>
      <c r="AG307">
        <v>0</v>
      </c>
      <c r="AH307">
        <v>0</v>
      </c>
      <c r="AI307" t="str" cm="1">
        <f t="array" ref="AI307">_xlfn.IFS(AG307=1, "starter", AH307=1, "legendary",T307&lt; 13, "weak",T307&lt; 17, "moderate", TRUE, "strong")</f>
        <v>moderate</v>
      </c>
      <c r="AK307">
        <v>2</v>
      </c>
      <c r="AL307">
        <v>0</v>
      </c>
      <c r="AM307">
        <v>0</v>
      </c>
    </row>
    <row r="308" spans="1:39" x14ac:dyDescent="0.25">
      <c r="A308">
        <v>609</v>
      </c>
      <c r="B308" t="s">
        <v>722</v>
      </c>
      <c r="C308" s="1" t="s">
        <v>42</v>
      </c>
      <c r="D308" s="1" t="s">
        <v>4</v>
      </c>
      <c r="E308">
        <v>60</v>
      </c>
      <c r="F308">
        <v>55</v>
      </c>
      <c r="G308">
        <v>90</v>
      </c>
      <c r="H308">
        <v>145</v>
      </c>
      <c r="I308">
        <v>90</v>
      </c>
      <c r="J308">
        <v>80</v>
      </c>
      <c r="K308" t="s">
        <v>725</v>
      </c>
      <c r="L308" t="s">
        <v>298</v>
      </c>
      <c r="M308" t="s">
        <v>299</v>
      </c>
      <c r="N308">
        <f t="shared" si="256"/>
        <v>11</v>
      </c>
      <c r="O308">
        <f t="shared" si="257"/>
        <v>7.8</v>
      </c>
      <c r="P308">
        <v>0</v>
      </c>
      <c r="Q308">
        <v>-1</v>
      </c>
      <c r="R308" s="2">
        <f t="shared" si="258"/>
        <v>11</v>
      </c>
      <c r="S308" s="2">
        <f t="shared" si="259"/>
        <v>7</v>
      </c>
      <c r="T308" s="2">
        <f t="shared" si="221"/>
        <v>18</v>
      </c>
      <c r="U308" t="str">
        <f t="shared" si="225"/>
        <v>ghost</v>
      </c>
      <c r="V308" t="str">
        <f t="shared" si="254"/>
        <v>fire</v>
      </c>
      <c r="W308" t="s">
        <v>26</v>
      </c>
      <c r="X308" t="s">
        <v>2</v>
      </c>
      <c r="Z308" s="2" t="str">
        <f>IF(ISBLANK(Y308), "", ROUND(( (T310-6)*(T310-7) - (T308-6)*(T308-7) )/15, 0) + 1)</f>
        <v/>
      </c>
      <c r="AA308" t="str">
        <f t="shared" si="224"/>
        <v>Chandelure</v>
      </c>
      <c r="AC308" t="s">
        <v>738</v>
      </c>
      <c r="AD308" t="str">
        <f>VLOOKUP(AC308,moves!A:B,2,FALSE)</f>
        <v>fire</v>
      </c>
      <c r="AE308">
        <f>VLOOKUP(AC308,moves!A:D,4,FALSE)</f>
        <v>5</v>
      </c>
      <c r="AF308">
        <f>VLOOKUP(AC308,moves!A:F,5,FALSE)</f>
        <v>0</v>
      </c>
      <c r="AG308">
        <v>0</v>
      </c>
      <c r="AH308">
        <v>0</v>
      </c>
      <c r="AI308" t="str" cm="1">
        <f t="array" ref="AI308">_xlfn.IFS(AG308=1, "starter", AH308=1, "legendary",T308&lt; 13, "weak",T308&lt; 17, "moderate", TRUE, "strong")</f>
        <v>strong</v>
      </c>
      <c r="AK308">
        <v>3</v>
      </c>
      <c r="AL308">
        <v>0</v>
      </c>
      <c r="AM308">
        <v>1</v>
      </c>
    </row>
    <row r="309" spans="1:39" x14ac:dyDescent="0.25">
      <c r="A309" s="31" t="s">
        <v>1076</v>
      </c>
      <c r="B309" t="s">
        <v>722</v>
      </c>
      <c r="C309" s="1" t="s">
        <v>42</v>
      </c>
      <c r="D309" s="1" t="s">
        <v>4</v>
      </c>
      <c r="E309">
        <v>60</v>
      </c>
      <c r="F309">
        <v>55</v>
      </c>
      <c r="G309">
        <v>90</v>
      </c>
      <c r="H309">
        <v>145</v>
      </c>
      <c r="I309">
        <v>90</v>
      </c>
      <c r="J309">
        <v>80</v>
      </c>
      <c r="K309" t="s">
        <v>725</v>
      </c>
      <c r="M309" t="s">
        <v>797</v>
      </c>
      <c r="N309">
        <f t="shared" ref="N309" si="260">(0.4*J309 + 0.5*MAX(F309,H309) + 0.1*MIN(F309,H309)) / 10</f>
        <v>11</v>
      </c>
      <c r="O309">
        <f t="shared" ref="O309" si="261">(0.4*E309 + 0.3*G309 + 0.3*I309) / 10</f>
        <v>7.8</v>
      </c>
      <c r="P309">
        <v>2</v>
      </c>
      <c r="Q309">
        <v>1</v>
      </c>
      <c r="R309" s="2">
        <f t="shared" ref="R309" si="262">ROUND(N309,0)+P309</f>
        <v>13</v>
      </c>
      <c r="S309" s="2">
        <f t="shared" ref="S309" si="263">ROUND(O309,0)+Q309</f>
        <v>9</v>
      </c>
      <c r="T309" s="2">
        <f t="shared" ref="T309" si="264">SUM(ROUND(R309,0),ROUND(S309,0))</f>
        <v>22</v>
      </c>
      <c r="U309" t="str">
        <f t="shared" ref="U309" si="265">C309</f>
        <v>ghost</v>
      </c>
      <c r="V309" t="str">
        <f t="shared" ref="V309" si="266">IF(D309 = 0, "", D309)</f>
        <v>fire</v>
      </c>
      <c r="W309" t="s">
        <v>26</v>
      </c>
      <c r="X309" t="s">
        <v>2</v>
      </c>
      <c r="Z309" s="2" t="str">
        <f>IF(ISBLANK(Y309), "", ROUND(( (T311-6)*(T311-7) - (T309-6)*(T309-7) )/15, 0) + 1)</f>
        <v/>
      </c>
      <c r="AA309" t="str">
        <f t="shared" ref="AA309" si="267">B309</f>
        <v>Chandelure</v>
      </c>
      <c r="AB309" t="s">
        <v>1070</v>
      </c>
      <c r="AC309" t="s">
        <v>738</v>
      </c>
      <c r="AD309" t="str">
        <f>VLOOKUP(AC309,moves!A:B,2,FALSE)</f>
        <v>fire</v>
      </c>
      <c r="AE309">
        <f>VLOOKUP(AC309,moves!A:D,4,FALSE)</f>
        <v>5</v>
      </c>
      <c r="AF309">
        <f>VLOOKUP(AC309,moves!A:F,5,FALSE)</f>
        <v>0</v>
      </c>
      <c r="AG309">
        <v>0</v>
      </c>
      <c r="AH309">
        <v>1</v>
      </c>
      <c r="AI309" t="str" cm="1">
        <f t="array" ref="AI309">_xlfn.IFS(AG309=1, "starter", AH309=1, "legendary",T309&lt; 13, "weak",T309&lt; 17, "moderate", TRUE, "strong")</f>
        <v>legendary</v>
      </c>
      <c r="AK309">
        <v>3</v>
      </c>
      <c r="AL309">
        <v>0</v>
      </c>
      <c r="AM309">
        <v>2</v>
      </c>
    </row>
    <row r="310" spans="1:39" x14ac:dyDescent="0.25">
      <c r="A310">
        <v>722</v>
      </c>
      <c r="B310" t="s">
        <v>741</v>
      </c>
      <c r="C310" s="1" t="s">
        <v>2</v>
      </c>
      <c r="D310" s="1" t="s">
        <v>5</v>
      </c>
      <c r="E310">
        <v>68</v>
      </c>
      <c r="F310">
        <v>55</v>
      </c>
      <c r="G310">
        <v>55</v>
      </c>
      <c r="H310">
        <v>50</v>
      </c>
      <c r="I310">
        <v>50</v>
      </c>
      <c r="J310">
        <v>42</v>
      </c>
      <c r="K310" t="s">
        <v>742</v>
      </c>
      <c r="L310" t="s">
        <v>298</v>
      </c>
      <c r="M310" t="s">
        <v>300</v>
      </c>
      <c r="N310">
        <f t="shared" si="256"/>
        <v>4.93</v>
      </c>
      <c r="O310">
        <f t="shared" si="257"/>
        <v>5.87</v>
      </c>
      <c r="P310">
        <v>0</v>
      </c>
      <c r="Q310">
        <v>-1</v>
      </c>
      <c r="R310" s="2">
        <f t="shared" si="258"/>
        <v>5</v>
      </c>
      <c r="S310" s="2">
        <f t="shared" si="259"/>
        <v>5</v>
      </c>
      <c r="T310" s="2">
        <f t="shared" si="221"/>
        <v>10</v>
      </c>
      <c r="U310" t="str">
        <f t="shared" si="225"/>
        <v>grass</v>
      </c>
      <c r="V310" t="str">
        <f t="shared" si="254"/>
        <v>flying</v>
      </c>
      <c r="W310" t="s">
        <v>42</v>
      </c>
      <c r="X310" t="s">
        <v>8</v>
      </c>
      <c r="Y310" t="str">
        <f>B311</f>
        <v>Dartrix</v>
      </c>
      <c r="Z310" s="2">
        <f t="shared" si="255"/>
        <v>4</v>
      </c>
      <c r="AA310" t="str">
        <f t="shared" si="224"/>
        <v>Rowlet</v>
      </c>
      <c r="AC310" t="s">
        <v>743</v>
      </c>
      <c r="AD310" t="str">
        <f>VLOOKUP(AC310,moves!A:B,2,FALSE)</f>
        <v>flying</v>
      </c>
      <c r="AE310">
        <f>VLOOKUP(AC310,moves!A:D,4,FALSE)</f>
        <v>2</v>
      </c>
      <c r="AF310">
        <f>VLOOKUP(AC310,moves!A:F,5,FALSE)</f>
        <v>0</v>
      </c>
      <c r="AG310">
        <v>1</v>
      </c>
      <c r="AH310">
        <v>0</v>
      </c>
      <c r="AI310" t="str" cm="1">
        <f t="array" ref="AI310">_xlfn.IFS(AG310=1, "starter", AH310=1, "legendary",T310&lt; 13, "weak",T310&lt; 17, "moderate", TRUE, "strong")</f>
        <v>starter</v>
      </c>
      <c r="AK310">
        <v>1</v>
      </c>
      <c r="AL310">
        <v>0</v>
      </c>
      <c r="AM310">
        <v>0</v>
      </c>
    </row>
    <row r="311" spans="1:39" x14ac:dyDescent="0.25">
      <c r="A311">
        <v>723</v>
      </c>
      <c r="B311" t="s">
        <v>806</v>
      </c>
      <c r="C311" s="1" t="s">
        <v>2</v>
      </c>
      <c r="D311" s="1" t="s">
        <v>5</v>
      </c>
      <c r="E311">
        <v>78</v>
      </c>
      <c r="F311">
        <v>75</v>
      </c>
      <c r="G311">
        <v>75</v>
      </c>
      <c r="H311">
        <v>70</v>
      </c>
      <c r="I311">
        <v>70</v>
      </c>
      <c r="J311">
        <v>52</v>
      </c>
      <c r="K311" t="s">
        <v>746</v>
      </c>
      <c r="L311" t="s">
        <v>298</v>
      </c>
      <c r="M311" t="s">
        <v>300</v>
      </c>
      <c r="N311">
        <f>(0.4*J311 + 0.5*MAX(F311,H311) + 0.1*MIN(F311,H311)) / 10</f>
        <v>6.5299999999999994</v>
      </c>
      <c r="O311">
        <f>(0.4*E311 + 0.3*G311 + 0.3*I311) / 10</f>
        <v>7.4700000000000006</v>
      </c>
      <c r="P311">
        <v>0</v>
      </c>
      <c r="Q311">
        <v>0</v>
      </c>
      <c r="R311" s="2">
        <f t="shared" si="258"/>
        <v>7</v>
      </c>
      <c r="S311" s="2">
        <f t="shared" si="259"/>
        <v>7</v>
      </c>
      <c r="T311" s="2">
        <f>SUM(ROUND(R311,0),ROUND(S311,0))</f>
        <v>14</v>
      </c>
      <c r="U311" t="str">
        <f t="shared" si="225"/>
        <v>grass</v>
      </c>
      <c r="V311" t="str">
        <f t="shared" si="254"/>
        <v>flying</v>
      </c>
      <c r="W311" t="s">
        <v>42</v>
      </c>
      <c r="X311" t="s">
        <v>8</v>
      </c>
      <c r="Y311" t="str">
        <f>B312</f>
        <v>Decidueye</v>
      </c>
      <c r="Z311" s="2">
        <f t="shared" si="255"/>
        <v>6</v>
      </c>
      <c r="AA311" t="str">
        <f t="shared" si="224"/>
        <v>Dartrix</v>
      </c>
      <c r="AC311" t="s">
        <v>744</v>
      </c>
      <c r="AD311" t="str">
        <f>VLOOKUP(AC311,moves!A:B,2,FALSE)</f>
        <v>grass</v>
      </c>
      <c r="AE311">
        <f>VLOOKUP(AC311,moves!A:D,4,FALSE)</f>
        <v>4</v>
      </c>
      <c r="AF311">
        <f>VLOOKUP(AC311,moves!A:F,5,FALSE)</f>
        <v>0</v>
      </c>
      <c r="AG311">
        <v>0</v>
      </c>
      <c r="AH311">
        <v>0</v>
      </c>
      <c r="AI311" t="str" cm="1">
        <f t="array" ref="AI311">_xlfn.IFS(AG311=1, "starter", AH311=1, "legendary",T311&lt; 13, "weak",T311&lt; 17, "moderate", TRUE, "strong")</f>
        <v>moderate</v>
      </c>
      <c r="AK311">
        <v>2</v>
      </c>
      <c r="AL311">
        <v>0</v>
      </c>
      <c r="AM311">
        <v>0</v>
      </c>
    </row>
    <row r="312" spans="1:39" x14ac:dyDescent="0.25">
      <c r="A312">
        <v>724</v>
      </c>
      <c r="B312" t="s">
        <v>745</v>
      </c>
      <c r="C312" s="1" t="s">
        <v>2</v>
      </c>
      <c r="D312" s="1" t="s">
        <v>42</v>
      </c>
      <c r="E312">
        <v>78</v>
      </c>
      <c r="F312">
        <v>107</v>
      </c>
      <c r="G312">
        <v>75</v>
      </c>
      <c r="H312">
        <v>100</v>
      </c>
      <c r="I312">
        <v>100</v>
      </c>
      <c r="J312">
        <v>70</v>
      </c>
      <c r="K312" t="s">
        <v>747</v>
      </c>
      <c r="L312" t="s">
        <v>298</v>
      </c>
      <c r="M312" t="s">
        <v>300</v>
      </c>
      <c r="N312">
        <f>(0.4*J312 + 0.5*MAX(F312,H312) + 0.1*MIN(F312,H312)) / 10</f>
        <v>9.15</v>
      </c>
      <c r="O312">
        <f>(0.4*E312 + 0.3*G312 + 0.3*I312) / 10</f>
        <v>8.370000000000001</v>
      </c>
      <c r="P312">
        <v>0</v>
      </c>
      <c r="Q312">
        <v>1</v>
      </c>
      <c r="R312" s="2">
        <f t="shared" si="258"/>
        <v>9</v>
      </c>
      <c r="S312" s="2">
        <f t="shared" si="259"/>
        <v>9</v>
      </c>
      <c r="T312" s="2">
        <f>SUM(ROUND(R312,0),ROUND(S312,0))</f>
        <v>18</v>
      </c>
      <c r="U312" t="str">
        <f t="shared" si="225"/>
        <v>grass</v>
      </c>
      <c r="V312" t="str">
        <f t="shared" si="254"/>
        <v>ghost</v>
      </c>
      <c r="W312" t="s">
        <v>5</v>
      </c>
      <c r="X312" t="s">
        <v>22</v>
      </c>
      <c r="Z312" s="2" t="str">
        <f>IF(ISBLANK(Y312), "", ROUND(( (T314-6)*(T314-7) - (T312-6)*(T312-7) )/15, 0) + 1)</f>
        <v/>
      </c>
      <c r="AA312" t="str">
        <f t="shared" si="224"/>
        <v>Decidueye</v>
      </c>
      <c r="AC312" t="s">
        <v>748</v>
      </c>
      <c r="AD312" t="str">
        <f>VLOOKUP(AC312,moves!A:B,2,FALSE)</f>
        <v>ghost</v>
      </c>
      <c r="AE312">
        <f>VLOOKUP(AC312,moves!A:D,4,FALSE)</f>
        <v>4</v>
      </c>
      <c r="AF312" t="str">
        <f>VLOOKUP(AC312,moves!A:F,5,FALSE)</f>
        <v>trap</v>
      </c>
      <c r="AG312">
        <v>0</v>
      </c>
      <c r="AH312">
        <v>0</v>
      </c>
      <c r="AI312" t="str" cm="1">
        <f t="array" ref="AI312">_xlfn.IFS(AG312=1, "starter", AH312=1, "legendary",T312&lt; 13, "weak",T312&lt; 17, "moderate", TRUE, "strong")</f>
        <v>strong</v>
      </c>
      <c r="AK312">
        <v>3</v>
      </c>
      <c r="AL312">
        <v>0</v>
      </c>
      <c r="AM312">
        <v>1</v>
      </c>
    </row>
    <row r="313" spans="1:39" x14ac:dyDescent="0.25">
      <c r="A313" s="31" t="s">
        <v>1077</v>
      </c>
      <c r="B313" t="s">
        <v>745</v>
      </c>
      <c r="C313" s="1" t="s">
        <v>2</v>
      </c>
      <c r="D313" s="1" t="s">
        <v>42</v>
      </c>
      <c r="E313">
        <v>78</v>
      </c>
      <c r="F313">
        <v>107</v>
      </c>
      <c r="G313">
        <v>75</v>
      </c>
      <c r="H313">
        <v>100</v>
      </c>
      <c r="I313">
        <v>100</v>
      </c>
      <c r="J313">
        <v>70</v>
      </c>
      <c r="K313" t="s">
        <v>747</v>
      </c>
      <c r="M313" t="s">
        <v>797</v>
      </c>
      <c r="N313">
        <f>(0.4*J313 + 0.5*MAX(F313,H313) + 0.1*MIN(F313,H313)) / 10</f>
        <v>9.15</v>
      </c>
      <c r="O313">
        <f>(0.4*E313 + 0.3*G313 + 0.3*I313) / 10</f>
        <v>8.370000000000001</v>
      </c>
      <c r="P313">
        <v>2</v>
      </c>
      <c r="Q313">
        <v>3</v>
      </c>
      <c r="R313" s="2">
        <f t="shared" ref="R313" si="268">ROUND(N313,0)+P313</f>
        <v>11</v>
      </c>
      <c r="S313" s="2">
        <f t="shared" ref="S313" si="269">ROUND(O313,0)+Q313</f>
        <v>11</v>
      </c>
      <c r="T313" s="2">
        <f>SUM(ROUND(R313,0),ROUND(S313,0))</f>
        <v>22</v>
      </c>
      <c r="U313" t="str">
        <f t="shared" ref="U313" si="270">C313</f>
        <v>grass</v>
      </c>
      <c r="V313" t="str">
        <f t="shared" ref="V313" si="271">IF(D313 = 0, "", D313)</f>
        <v>ghost</v>
      </c>
      <c r="W313" t="s">
        <v>5</v>
      </c>
      <c r="X313" t="s">
        <v>22</v>
      </c>
      <c r="Z313" s="2" t="str">
        <f>IF(ISBLANK(Y313), "", ROUND(( (T315-6)*(T315-7) - (T313-6)*(T313-7) )/15, 0) + 1)</f>
        <v/>
      </c>
      <c r="AA313" t="str">
        <f t="shared" ref="AA313" si="272">B313</f>
        <v>Decidueye</v>
      </c>
      <c r="AB313" t="s">
        <v>1070</v>
      </c>
      <c r="AC313" t="s">
        <v>748</v>
      </c>
      <c r="AD313" t="str">
        <f>VLOOKUP(AC313,moves!A:B,2,FALSE)</f>
        <v>ghost</v>
      </c>
      <c r="AE313">
        <f>VLOOKUP(AC313,moves!A:D,4,FALSE)</f>
        <v>4</v>
      </c>
      <c r="AF313" t="str">
        <f>VLOOKUP(AC313,moves!A:F,5,FALSE)</f>
        <v>trap</v>
      </c>
      <c r="AG313">
        <v>0</v>
      </c>
      <c r="AH313">
        <v>1</v>
      </c>
      <c r="AI313" t="str" cm="1">
        <f t="array" ref="AI313">_xlfn.IFS(AG313=1, "starter", AH313=1, "legendary",T313&lt; 13, "weak",T313&lt; 17, "moderate", TRUE, "strong")</f>
        <v>legendary</v>
      </c>
      <c r="AK313">
        <v>3</v>
      </c>
      <c r="AL313">
        <v>0</v>
      </c>
      <c r="AM313">
        <v>2</v>
      </c>
    </row>
    <row r="314" spans="1:39" x14ac:dyDescent="0.25">
      <c r="A314">
        <v>155</v>
      </c>
      <c r="B314" t="s">
        <v>731</v>
      </c>
      <c r="C314" s="1" t="s">
        <v>4</v>
      </c>
      <c r="E314">
        <v>39</v>
      </c>
      <c r="F314">
        <v>52</v>
      </c>
      <c r="G314">
        <v>43</v>
      </c>
      <c r="H314">
        <v>60</v>
      </c>
      <c r="I314">
        <v>50</v>
      </c>
      <c r="J314">
        <v>65</v>
      </c>
      <c r="K314" t="s">
        <v>732</v>
      </c>
      <c r="L314" t="s">
        <v>304</v>
      </c>
      <c r="M314" t="s">
        <v>302</v>
      </c>
      <c r="N314">
        <f t="shared" si="256"/>
        <v>6.12</v>
      </c>
      <c r="O314">
        <f t="shared" si="257"/>
        <v>4.3499999999999996</v>
      </c>
      <c r="P314">
        <v>0</v>
      </c>
      <c r="Q314">
        <v>0</v>
      </c>
      <c r="R314" s="2">
        <f t="shared" si="258"/>
        <v>6</v>
      </c>
      <c r="S314" s="2">
        <f t="shared" si="259"/>
        <v>4</v>
      </c>
      <c r="T314" s="2">
        <f t="shared" si="221"/>
        <v>10</v>
      </c>
      <c r="U314" t="str">
        <f t="shared" si="225"/>
        <v>fire</v>
      </c>
      <c r="V314" t="s">
        <v>13</v>
      </c>
      <c r="W314" t="s">
        <v>22</v>
      </c>
      <c r="X314" t="s">
        <v>8</v>
      </c>
      <c r="Y314" t="str">
        <f>B315</f>
        <v>Quilava</v>
      </c>
      <c r="Z314" s="2">
        <f t="shared" si="255"/>
        <v>4</v>
      </c>
      <c r="AA314" t="str">
        <f t="shared" si="224"/>
        <v>Cyndaquil</v>
      </c>
      <c r="AC314" t="s">
        <v>735</v>
      </c>
      <c r="AD314" t="str">
        <f>VLOOKUP(AC314,moves!A:B,2,FALSE)</f>
        <v>fire</v>
      </c>
      <c r="AE314">
        <f>VLOOKUP(AC314,moves!A:D,4,FALSE)</f>
        <v>3</v>
      </c>
      <c r="AF314" t="str">
        <f>VLOOKUP(AC314,moves!A:F,5,FALSE)</f>
        <v>switch</v>
      </c>
      <c r="AG314">
        <v>1</v>
      </c>
      <c r="AH314">
        <v>0</v>
      </c>
      <c r="AI314" t="str" cm="1">
        <f t="array" ref="AI314">_xlfn.IFS(AG314=1, "starter", AH314=1, "legendary",T314&lt; 13, "weak",T314&lt; 17, "moderate", TRUE, "strong")</f>
        <v>starter</v>
      </c>
      <c r="AK314">
        <v>1</v>
      </c>
      <c r="AL314">
        <v>0</v>
      </c>
      <c r="AM314">
        <v>0</v>
      </c>
    </row>
    <row r="315" spans="1:39" x14ac:dyDescent="0.25">
      <c r="A315">
        <v>156</v>
      </c>
      <c r="B315" t="s">
        <v>733</v>
      </c>
      <c r="C315" s="1" t="s">
        <v>4</v>
      </c>
      <c r="E315">
        <v>58</v>
      </c>
      <c r="F315">
        <v>64</v>
      </c>
      <c r="G315">
        <v>58</v>
      </c>
      <c r="H315">
        <v>80</v>
      </c>
      <c r="I315">
        <v>65</v>
      </c>
      <c r="J315">
        <v>80</v>
      </c>
      <c r="K315" t="s">
        <v>734</v>
      </c>
      <c r="L315" t="s">
        <v>304</v>
      </c>
      <c r="M315" t="s">
        <v>302</v>
      </c>
      <c r="N315">
        <f t="shared" si="256"/>
        <v>7.8400000000000007</v>
      </c>
      <c r="O315">
        <f t="shared" si="257"/>
        <v>6.01</v>
      </c>
      <c r="P315">
        <v>0</v>
      </c>
      <c r="Q315">
        <v>0</v>
      </c>
      <c r="R315" s="2">
        <f t="shared" si="258"/>
        <v>8</v>
      </c>
      <c r="S315" s="2">
        <f t="shared" si="259"/>
        <v>6</v>
      </c>
      <c r="T315" s="2">
        <f t="shared" si="221"/>
        <v>14</v>
      </c>
      <c r="U315" t="str">
        <f t="shared" si="225"/>
        <v>fire</v>
      </c>
      <c r="V315" t="s">
        <v>13</v>
      </c>
      <c r="W315" t="s">
        <v>22</v>
      </c>
      <c r="X315" t="s">
        <v>8</v>
      </c>
      <c r="Y315" t="str">
        <f>B316</f>
        <v>Typhlosion</v>
      </c>
      <c r="Z315" s="2">
        <f t="shared" si="255"/>
        <v>6</v>
      </c>
      <c r="AA315" t="str">
        <f t="shared" si="224"/>
        <v>Quilava</v>
      </c>
      <c r="AC315" t="s">
        <v>1248</v>
      </c>
      <c r="AD315" t="str">
        <f>VLOOKUP(AC315,moves!A:B,2,FALSE)</f>
        <v>normal</v>
      </c>
      <c r="AE315">
        <f>VLOOKUP(AC315,moves!A:D,4,FALSE)</f>
        <v>3</v>
      </c>
      <c r="AF315">
        <f>VLOOKUP(AC315,moves!A:F,5,FALSE)</f>
        <v>0</v>
      </c>
      <c r="AG315">
        <v>0</v>
      </c>
      <c r="AH315">
        <v>0</v>
      </c>
      <c r="AI315" t="str" cm="1">
        <f t="array" ref="AI315">_xlfn.IFS(AG315=1, "starter", AH315=1, "legendary",T315&lt; 13, "weak",T315&lt; 17, "moderate", TRUE, "strong")</f>
        <v>moderate</v>
      </c>
      <c r="AK315">
        <v>2</v>
      </c>
      <c r="AL315">
        <v>0</v>
      </c>
      <c r="AM315">
        <v>0</v>
      </c>
    </row>
    <row r="316" spans="1:39" x14ac:dyDescent="0.25">
      <c r="A316">
        <v>157</v>
      </c>
      <c r="B316" t="s">
        <v>739</v>
      </c>
      <c r="C316" s="1" t="s">
        <v>4</v>
      </c>
      <c r="E316">
        <v>78</v>
      </c>
      <c r="F316">
        <v>84</v>
      </c>
      <c r="G316">
        <v>78</v>
      </c>
      <c r="H316">
        <v>109</v>
      </c>
      <c r="I316">
        <v>85</v>
      </c>
      <c r="J316">
        <v>100</v>
      </c>
      <c r="K316" t="s">
        <v>734</v>
      </c>
      <c r="L316" t="s">
        <v>304</v>
      </c>
      <c r="M316" t="s">
        <v>302</v>
      </c>
      <c r="N316">
        <f t="shared" ref="N316:N367" si="273">(0.4*J316 + 0.5*MAX(F316,H316) + 0.1*MIN(F316,H316)) / 10</f>
        <v>10.290000000000001</v>
      </c>
      <c r="O316">
        <f t="shared" ref="O316:O367" si="274">(0.4*E316 + 0.3*G316 + 0.3*I316) / 10</f>
        <v>8.01</v>
      </c>
      <c r="P316">
        <v>0</v>
      </c>
      <c r="Q316">
        <v>0</v>
      </c>
      <c r="R316" s="2">
        <f t="shared" si="258"/>
        <v>10</v>
      </c>
      <c r="S316" s="2">
        <f t="shared" si="259"/>
        <v>8</v>
      </c>
      <c r="T316" s="2">
        <f t="shared" ref="T316:T367" si="275">SUM(ROUND(R316,0),ROUND(S316,0))</f>
        <v>18</v>
      </c>
      <c r="U316" t="str">
        <f t="shared" si="225"/>
        <v>fire</v>
      </c>
      <c r="V316" t="s">
        <v>13</v>
      </c>
      <c r="W316" t="s">
        <v>22</v>
      </c>
      <c r="X316" t="s">
        <v>42</v>
      </c>
      <c r="Z316" s="2" t="str">
        <f>IF(ISBLANK(Y316), "", ROUND(( (T318-6)*(T318-7) - (T316-6)*(T316-7) )/15, 0) + 1)</f>
        <v/>
      </c>
      <c r="AA316" t="str">
        <f t="shared" si="224"/>
        <v>Typhlosion</v>
      </c>
      <c r="AC316" t="s">
        <v>740</v>
      </c>
      <c r="AD316" t="str">
        <f>VLOOKUP(AC316,moves!A:B,2,FALSE)</f>
        <v>fire</v>
      </c>
      <c r="AE316" t="str">
        <f>VLOOKUP(AC316,moves!A:D,4,FALSE)</f>
        <v>?</v>
      </c>
      <c r="AF316">
        <f>VLOOKUP(AC316,moves!A:F,5,FALSE)</f>
        <v>0</v>
      </c>
      <c r="AG316">
        <v>0</v>
      </c>
      <c r="AH316">
        <v>0</v>
      </c>
      <c r="AI316" t="str" cm="1">
        <f t="array" ref="AI316">_xlfn.IFS(AG316=1, "starter", AH316=1, "legendary",T316&lt; 13, "weak",T316&lt; 17, "moderate", TRUE, "strong")</f>
        <v>strong</v>
      </c>
      <c r="AK316">
        <v>3</v>
      </c>
      <c r="AL316">
        <v>0</v>
      </c>
      <c r="AM316">
        <v>1</v>
      </c>
    </row>
    <row r="317" spans="1:39" x14ac:dyDescent="0.25">
      <c r="A317" s="31" t="s">
        <v>1078</v>
      </c>
      <c r="B317" t="s">
        <v>739</v>
      </c>
      <c r="C317" s="1" t="s">
        <v>4</v>
      </c>
      <c r="E317">
        <v>78</v>
      </c>
      <c r="F317">
        <v>84</v>
      </c>
      <c r="G317">
        <v>78</v>
      </c>
      <c r="H317">
        <v>109</v>
      </c>
      <c r="I317">
        <v>85</v>
      </c>
      <c r="J317">
        <v>100</v>
      </c>
      <c r="K317" t="s">
        <v>734</v>
      </c>
      <c r="M317" t="s">
        <v>797</v>
      </c>
      <c r="N317">
        <f t="shared" ref="N317" si="276">(0.4*J317 + 0.5*MAX(F317,H317) + 0.1*MIN(F317,H317)) / 10</f>
        <v>10.290000000000001</v>
      </c>
      <c r="O317">
        <f t="shared" ref="O317" si="277">(0.4*E317 + 0.3*G317 + 0.3*I317) / 10</f>
        <v>8.01</v>
      </c>
      <c r="P317">
        <v>2</v>
      </c>
      <c r="Q317">
        <v>2</v>
      </c>
      <c r="R317" s="2">
        <f t="shared" ref="R317" si="278">ROUND(N317,0)+P317</f>
        <v>12</v>
      </c>
      <c r="S317" s="2">
        <f t="shared" ref="S317" si="279">ROUND(O317,0)+Q317</f>
        <v>10</v>
      </c>
      <c r="T317" s="2">
        <f t="shared" ref="T317" si="280">SUM(ROUND(R317,0),ROUND(S317,0))</f>
        <v>22</v>
      </c>
      <c r="U317" t="str">
        <f t="shared" ref="U317" si="281">C317</f>
        <v>fire</v>
      </c>
      <c r="V317" t="s">
        <v>13</v>
      </c>
      <c r="W317" t="s">
        <v>22</v>
      </c>
      <c r="X317" t="s">
        <v>42</v>
      </c>
      <c r="Z317" s="2" t="str">
        <f>IF(ISBLANK(Y317), "", ROUND(( (T319-6)*(T319-7) - (T317-6)*(T317-7) )/15, 0) + 1)</f>
        <v/>
      </c>
      <c r="AA317" t="str">
        <f t="shared" ref="AA317" si="282">B317</f>
        <v>Typhlosion</v>
      </c>
      <c r="AB317" t="s">
        <v>1070</v>
      </c>
      <c r="AC317" t="s">
        <v>740</v>
      </c>
      <c r="AD317" t="str">
        <f>VLOOKUP(AC317,moves!A:B,2,FALSE)</f>
        <v>fire</v>
      </c>
      <c r="AE317" t="str">
        <f>VLOOKUP(AC317,moves!A:D,4,FALSE)</f>
        <v>?</v>
      </c>
      <c r="AF317">
        <f>VLOOKUP(AC317,moves!A:F,5,FALSE)</f>
        <v>0</v>
      </c>
      <c r="AG317">
        <v>0</v>
      </c>
      <c r="AH317">
        <v>1</v>
      </c>
      <c r="AI317" t="str" cm="1">
        <f t="array" ref="AI317">_xlfn.IFS(AG317=1, "starter", AH317=1, "legendary",T317&lt; 13, "weak",T317&lt; 17, "moderate", TRUE, "strong")</f>
        <v>legendary</v>
      </c>
      <c r="AK317">
        <v>3</v>
      </c>
      <c r="AL317">
        <v>0</v>
      </c>
      <c r="AM317">
        <v>2</v>
      </c>
    </row>
    <row r="318" spans="1:39" x14ac:dyDescent="0.25">
      <c r="A318">
        <v>501</v>
      </c>
      <c r="B318" t="s">
        <v>749</v>
      </c>
      <c r="C318" s="1" t="s">
        <v>6</v>
      </c>
      <c r="E318">
        <v>55</v>
      </c>
      <c r="F318">
        <v>55</v>
      </c>
      <c r="G318">
        <v>45</v>
      </c>
      <c r="H318">
        <v>63</v>
      </c>
      <c r="I318">
        <v>45</v>
      </c>
      <c r="J318">
        <v>45</v>
      </c>
      <c r="K318" t="s">
        <v>750</v>
      </c>
      <c r="L318" t="s">
        <v>303</v>
      </c>
      <c r="M318" t="s">
        <v>299</v>
      </c>
      <c r="N318">
        <f t="shared" si="273"/>
        <v>5.5</v>
      </c>
      <c r="O318">
        <f t="shared" si="274"/>
        <v>4.9000000000000004</v>
      </c>
      <c r="P318">
        <v>-1</v>
      </c>
      <c r="Q318">
        <v>0</v>
      </c>
      <c r="R318" s="2">
        <f t="shared" si="258"/>
        <v>5</v>
      </c>
      <c r="S318" s="2">
        <f t="shared" si="259"/>
        <v>5</v>
      </c>
      <c r="T318" s="2">
        <f t="shared" si="275"/>
        <v>10</v>
      </c>
      <c r="U318" t="str">
        <f t="shared" si="225"/>
        <v>water</v>
      </c>
      <c r="V318" t="s">
        <v>7</v>
      </c>
      <c r="W318" t="s">
        <v>14</v>
      </c>
      <c r="X318" t="s">
        <v>8</v>
      </c>
      <c r="Y318" t="str">
        <f>B319</f>
        <v>Dewott</v>
      </c>
      <c r="Z318" s="2">
        <f t="shared" si="255"/>
        <v>4</v>
      </c>
      <c r="AA318" t="str">
        <f t="shared" si="224"/>
        <v>Oshawott</v>
      </c>
      <c r="AC318" t="s">
        <v>755</v>
      </c>
      <c r="AD318" t="str">
        <f>VLOOKUP(AC318,moves!A:B,2,FALSE)</f>
        <v>water</v>
      </c>
      <c r="AE318">
        <f>VLOOKUP(AC318,moves!A:D,4,FALSE)</f>
        <v>3</v>
      </c>
      <c r="AF318">
        <f>VLOOKUP(AC318,moves!A:F,5,FALSE)</f>
        <v>0</v>
      </c>
      <c r="AG318">
        <v>1</v>
      </c>
      <c r="AH318">
        <v>0</v>
      </c>
      <c r="AI318" t="str" cm="1">
        <f t="array" ref="AI318">_xlfn.IFS(AG318=1, "starter", AH318=1, "legendary",T318&lt; 13, "weak",T318&lt; 17, "moderate", TRUE, "strong")</f>
        <v>starter</v>
      </c>
      <c r="AK318">
        <v>1</v>
      </c>
      <c r="AL318">
        <v>0</v>
      </c>
      <c r="AM318">
        <v>0</v>
      </c>
    </row>
    <row r="319" spans="1:39" x14ac:dyDescent="0.25">
      <c r="A319">
        <v>502</v>
      </c>
      <c r="B319" t="s">
        <v>751</v>
      </c>
      <c r="C319" s="1" t="s">
        <v>6</v>
      </c>
      <c r="E319">
        <v>75</v>
      </c>
      <c r="F319">
        <v>75</v>
      </c>
      <c r="G319">
        <v>60</v>
      </c>
      <c r="H319">
        <v>83</v>
      </c>
      <c r="I319">
        <v>60</v>
      </c>
      <c r="J319">
        <v>60</v>
      </c>
      <c r="K319" t="s">
        <v>752</v>
      </c>
      <c r="L319" t="s">
        <v>303</v>
      </c>
      <c r="M319" t="s">
        <v>299</v>
      </c>
      <c r="N319">
        <f t="shared" si="273"/>
        <v>7.3</v>
      </c>
      <c r="O319">
        <f t="shared" si="274"/>
        <v>6.6</v>
      </c>
      <c r="P319">
        <v>0</v>
      </c>
      <c r="Q319">
        <v>0</v>
      </c>
      <c r="R319" s="2">
        <f t="shared" si="258"/>
        <v>7</v>
      </c>
      <c r="S319" s="2">
        <f t="shared" si="259"/>
        <v>7</v>
      </c>
      <c r="T319" s="2">
        <f t="shared" si="275"/>
        <v>14</v>
      </c>
      <c r="U319" t="str">
        <f t="shared" si="225"/>
        <v>water</v>
      </c>
      <c r="V319" t="s">
        <v>7</v>
      </c>
      <c r="W319" t="s">
        <v>14</v>
      </c>
      <c r="X319" t="s">
        <v>8</v>
      </c>
      <c r="Y319" t="str">
        <f>B320</f>
        <v>Samurott</v>
      </c>
      <c r="Z319" s="2">
        <f t="shared" si="255"/>
        <v>6</v>
      </c>
      <c r="AA319" t="str">
        <f t="shared" si="224"/>
        <v>Dewott</v>
      </c>
      <c r="AC319" t="s">
        <v>643</v>
      </c>
      <c r="AD319" t="str">
        <f>VLOOKUP(AC319,moves!A:B,2,FALSE)</f>
        <v>water</v>
      </c>
      <c r="AE319">
        <f>VLOOKUP(AC319,moves!A:D,4,FALSE)</f>
        <v>2</v>
      </c>
      <c r="AF319" t="str">
        <f>VLOOKUP(AC319,moves!A:F,5,FALSE)</f>
        <v>agile</v>
      </c>
      <c r="AG319">
        <v>0</v>
      </c>
      <c r="AH319">
        <v>0</v>
      </c>
      <c r="AI319" t="str" cm="1">
        <f t="array" ref="AI319">_xlfn.IFS(AG319=1, "starter", AH319=1, "legendary",T319&lt; 13, "weak",T319&lt; 17, "moderate", TRUE, "strong")</f>
        <v>moderate</v>
      </c>
      <c r="AK319">
        <v>2</v>
      </c>
      <c r="AL319">
        <v>0</v>
      </c>
      <c r="AM319">
        <v>0</v>
      </c>
    </row>
    <row r="320" spans="1:39" x14ac:dyDescent="0.25">
      <c r="A320">
        <v>503</v>
      </c>
      <c r="B320" t="s">
        <v>754</v>
      </c>
      <c r="C320" s="1" t="s">
        <v>6</v>
      </c>
      <c r="E320">
        <v>90</v>
      </c>
      <c r="F320">
        <v>108</v>
      </c>
      <c r="G320">
        <v>80</v>
      </c>
      <c r="H320">
        <v>100</v>
      </c>
      <c r="I320">
        <v>65</v>
      </c>
      <c r="J320">
        <v>85</v>
      </c>
      <c r="K320" t="s">
        <v>753</v>
      </c>
      <c r="L320" t="s">
        <v>303</v>
      </c>
      <c r="M320" t="s">
        <v>299</v>
      </c>
      <c r="N320">
        <f t="shared" si="273"/>
        <v>9.8000000000000007</v>
      </c>
      <c r="O320">
        <f t="shared" si="274"/>
        <v>7.95</v>
      </c>
      <c r="P320">
        <v>0</v>
      </c>
      <c r="Q320">
        <v>0</v>
      </c>
      <c r="R320" s="2">
        <f t="shared" si="258"/>
        <v>10</v>
      </c>
      <c r="S320" s="2">
        <f t="shared" si="259"/>
        <v>8</v>
      </c>
      <c r="T320" s="2">
        <f t="shared" si="275"/>
        <v>18</v>
      </c>
      <c r="U320" t="str">
        <f t="shared" si="225"/>
        <v>water</v>
      </c>
      <c r="V320" t="s">
        <v>7</v>
      </c>
      <c r="W320" t="s">
        <v>14</v>
      </c>
      <c r="X320" t="s">
        <v>9</v>
      </c>
      <c r="Z320" s="2" t="str">
        <f>IF(ISBLANK(Y320), "", ROUND(( (T322-6)*(T322-7) - (T320-6)*(T320-7) )/15, 0) + 1)</f>
        <v/>
      </c>
      <c r="AA320" t="str">
        <f t="shared" si="224"/>
        <v>Samurott</v>
      </c>
      <c r="AC320" t="s">
        <v>498</v>
      </c>
      <c r="AD320" t="str">
        <f>VLOOKUP(AC320,moves!A:B,2,FALSE)</f>
        <v>bug</v>
      </c>
      <c r="AE320">
        <f>VLOOKUP(AC320,moves!A:D,4,FALSE)</f>
        <v>5</v>
      </c>
      <c r="AF320">
        <f>VLOOKUP(AC320,moves!A:F,5,FALSE)</f>
        <v>0</v>
      </c>
      <c r="AG320">
        <v>0</v>
      </c>
      <c r="AH320">
        <v>0</v>
      </c>
      <c r="AI320" t="str" cm="1">
        <f t="array" ref="AI320">_xlfn.IFS(AG320=1, "starter", AH320=1, "legendary",T320&lt; 13, "weak",T320&lt; 17, "moderate", TRUE, "strong")</f>
        <v>strong</v>
      </c>
      <c r="AK320">
        <v>3</v>
      </c>
      <c r="AL320">
        <v>0</v>
      </c>
      <c r="AM320">
        <v>1</v>
      </c>
    </row>
    <row r="321" spans="1:39" x14ac:dyDescent="0.25">
      <c r="A321" s="31" t="s">
        <v>1079</v>
      </c>
      <c r="B321" t="s">
        <v>754</v>
      </c>
      <c r="C321" s="1" t="s">
        <v>6</v>
      </c>
      <c r="E321">
        <v>90</v>
      </c>
      <c r="F321">
        <v>108</v>
      </c>
      <c r="G321">
        <v>80</v>
      </c>
      <c r="H321">
        <v>100</v>
      </c>
      <c r="I321">
        <v>65</v>
      </c>
      <c r="J321">
        <v>85</v>
      </c>
      <c r="K321" t="s">
        <v>753</v>
      </c>
      <c r="M321" t="s">
        <v>797</v>
      </c>
      <c r="N321">
        <f t="shared" ref="N321" si="283">(0.4*J321 + 0.5*MAX(F321,H321) + 0.1*MIN(F321,H321)) / 10</f>
        <v>9.8000000000000007</v>
      </c>
      <c r="O321">
        <f t="shared" ref="O321" si="284">(0.4*E321 + 0.3*G321 + 0.3*I321) / 10</f>
        <v>7.95</v>
      </c>
      <c r="P321">
        <v>2</v>
      </c>
      <c r="Q321">
        <v>2</v>
      </c>
      <c r="R321" s="2">
        <f t="shared" ref="R321" si="285">ROUND(N321,0)+P321</f>
        <v>12</v>
      </c>
      <c r="S321" s="2">
        <f t="shared" ref="S321" si="286">ROUND(O321,0)+Q321</f>
        <v>10</v>
      </c>
      <c r="T321" s="2">
        <f t="shared" ref="T321" si="287">SUM(ROUND(R321,0),ROUND(S321,0))</f>
        <v>22</v>
      </c>
      <c r="U321" t="str">
        <f t="shared" ref="U321" si="288">C321</f>
        <v>water</v>
      </c>
      <c r="V321" t="s">
        <v>7</v>
      </c>
      <c r="W321" t="s">
        <v>14</v>
      </c>
      <c r="X321" t="s">
        <v>9</v>
      </c>
      <c r="Z321" s="2" t="str">
        <f>IF(ISBLANK(Y321), "", ROUND(( (T323-6)*(T323-7) - (T321-6)*(T321-7) )/15, 0) + 1)</f>
        <v/>
      </c>
      <c r="AA321" t="str">
        <f t="shared" ref="AA321" si="289">B321</f>
        <v>Samurott</v>
      </c>
      <c r="AB321" t="s">
        <v>1070</v>
      </c>
      <c r="AC321" t="s">
        <v>498</v>
      </c>
      <c r="AD321" t="str">
        <f>VLOOKUP(AC321,moves!A:B,2,FALSE)</f>
        <v>bug</v>
      </c>
      <c r="AE321">
        <f>VLOOKUP(AC321,moves!A:D,4,FALSE)</f>
        <v>5</v>
      </c>
      <c r="AF321">
        <f>VLOOKUP(AC321,moves!A:F,5,FALSE)</f>
        <v>0</v>
      </c>
      <c r="AG321">
        <v>0</v>
      </c>
      <c r="AH321">
        <v>1</v>
      </c>
      <c r="AI321" t="str" cm="1">
        <f t="array" ref="AI321">_xlfn.IFS(AG321=1, "starter", AH321=1, "legendary",T321&lt; 13, "weak",T321&lt; 17, "moderate", TRUE, "strong")</f>
        <v>legendary</v>
      </c>
      <c r="AK321">
        <v>3</v>
      </c>
      <c r="AL321">
        <v>0</v>
      </c>
      <c r="AM321">
        <v>2</v>
      </c>
    </row>
    <row r="322" spans="1:39" x14ac:dyDescent="0.25">
      <c r="A322">
        <v>803</v>
      </c>
      <c r="B322" t="s">
        <v>798</v>
      </c>
      <c r="C322" s="1" t="s">
        <v>3</v>
      </c>
      <c r="E322">
        <v>67</v>
      </c>
      <c r="F322">
        <v>73</v>
      </c>
      <c r="G322">
        <v>67</v>
      </c>
      <c r="H322">
        <v>73</v>
      </c>
      <c r="I322">
        <v>67</v>
      </c>
      <c r="J322">
        <v>73</v>
      </c>
      <c r="K322" t="s">
        <v>799</v>
      </c>
      <c r="M322" t="s">
        <v>551</v>
      </c>
      <c r="N322">
        <f t="shared" si="273"/>
        <v>7.3</v>
      </c>
      <c r="O322">
        <f t="shared" si="274"/>
        <v>6.7</v>
      </c>
      <c r="P322">
        <v>0</v>
      </c>
      <c r="Q322">
        <v>-2</v>
      </c>
      <c r="R322" s="2">
        <f t="shared" si="258"/>
        <v>7</v>
      </c>
      <c r="S322" s="2">
        <f t="shared" si="259"/>
        <v>5</v>
      </c>
      <c r="T322" s="2">
        <f t="shared" si="275"/>
        <v>12</v>
      </c>
      <c r="U322" t="str">
        <f t="shared" si="225"/>
        <v>poison</v>
      </c>
      <c r="V322" t="s">
        <v>8</v>
      </c>
      <c r="W322" t="s">
        <v>7</v>
      </c>
      <c r="X322" t="s">
        <v>5</v>
      </c>
      <c r="Y322" t="str">
        <f>B323</f>
        <v>Naganadel</v>
      </c>
      <c r="Z322" s="2">
        <f t="shared" si="255"/>
        <v>9</v>
      </c>
      <c r="AA322" t="str">
        <f t="shared" si="224"/>
        <v>Poipole</v>
      </c>
      <c r="AC322" t="s">
        <v>494</v>
      </c>
      <c r="AD322" t="str">
        <f>VLOOKUP(AC322,moves!A:B,2,FALSE)</f>
        <v>poison</v>
      </c>
      <c r="AE322">
        <f>VLOOKUP(AC322,moves!A:D,4,FALSE)</f>
        <v>1</v>
      </c>
      <c r="AF322" t="str">
        <f>VLOOKUP(AC322,moves!A:F,5,FALSE)</f>
        <v>agile</v>
      </c>
      <c r="AG322">
        <v>1</v>
      </c>
      <c r="AH322">
        <v>0</v>
      </c>
      <c r="AI322" t="str" cm="1">
        <f t="array" ref="AI322">_xlfn.IFS(AG322=1, "starter", AH322=1, "legendary",T322&lt; 13, "weak",T322&lt; 17, "moderate", TRUE, "strong")</f>
        <v>starter</v>
      </c>
      <c r="AK322">
        <v>1</v>
      </c>
      <c r="AL322">
        <v>0</v>
      </c>
      <c r="AM322">
        <v>0</v>
      </c>
    </row>
    <row r="323" spans="1:39" x14ac:dyDescent="0.25">
      <c r="A323">
        <v>804</v>
      </c>
      <c r="B323" t="s">
        <v>800</v>
      </c>
      <c r="C323" s="1" t="s">
        <v>3</v>
      </c>
      <c r="D323" s="1" t="s">
        <v>67</v>
      </c>
      <c r="E323">
        <v>73</v>
      </c>
      <c r="F323">
        <v>73</v>
      </c>
      <c r="G323">
        <v>73</v>
      </c>
      <c r="H323">
        <v>127</v>
      </c>
      <c r="I323">
        <v>73</v>
      </c>
      <c r="J323">
        <v>121</v>
      </c>
      <c r="K323" t="s">
        <v>799</v>
      </c>
      <c r="M323" t="s">
        <v>551</v>
      </c>
      <c r="N323">
        <f t="shared" si="273"/>
        <v>11.92</v>
      </c>
      <c r="O323">
        <f t="shared" si="274"/>
        <v>7.3</v>
      </c>
      <c r="P323">
        <v>0</v>
      </c>
      <c r="Q323">
        <v>0</v>
      </c>
      <c r="R323" s="2">
        <f t="shared" si="258"/>
        <v>12</v>
      </c>
      <c r="S323" s="2">
        <f t="shared" si="259"/>
        <v>7</v>
      </c>
      <c r="T323" s="2">
        <f t="shared" si="275"/>
        <v>19</v>
      </c>
      <c r="U323" t="str">
        <f t="shared" si="225"/>
        <v>poison</v>
      </c>
      <c r="V323" t="str">
        <f>IF(D323 = 0, "", D323)</f>
        <v>dragon</v>
      </c>
      <c r="W323" t="s">
        <v>7</v>
      </c>
      <c r="X323" t="s">
        <v>5</v>
      </c>
      <c r="Z323" s="2" t="str">
        <f>IF(ISBLANK(Y323), "", ROUND(( (T325-6)*(T325-7) - (T323-6)*(T323-7) )/15, 0) + 1)</f>
        <v/>
      </c>
      <c r="AA323" t="str">
        <f t="shared" si="224"/>
        <v>Naganadel</v>
      </c>
      <c r="AC323" t="s">
        <v>775</v>
      </c>
      <c r="AD323" t="str">
        <f>VLOOKUP(AC323,moves!A:B,2,FALSE)</f>
        <v>dragon</v>
      </c>
      <c r="AE323">
        <f>VLOOKUP(AC323,moves!A:D,4,FALSE)</f>
        <v>4</v>
      </c>
      <c r="AF323">
        <f>VLOOKUP(AC323,moves!A:F,5,FALSE)</f>
        <v>0</v>
      </c>
      <c r="AG323">
        <v>0</v>
      </c>
      <c r="AH323">
        <v>0</v>
      </c>
      <c r="AI323" t="str" cm="1">
        <f t="array" ref="AI323">_xlfn.IFS(AG323=1, "starter", AH323=1, "legendary",T323&lt; 13, "weak",T323&lt; 17, "moderate", TRUE, "strong")</f>
        <v>strong</v>
      </c>
      <c r="AK323">
        <v>2</v>
      </c>
      <c r="AL323">
        <v>0</v>
      </c>
      <c r="AM323">
        <v>1</v>
      </c>
    </row>
    <row r="324" spans="1:39" x14ac:dyDescent="0.25">
      <c r="A324" s="31" t="s">
        <v>1080</v>
      </c>
      <c r="B324" t="s">
        <v>800</v>
      </c>
      <c r="C324" s="1" t="s">
        <v>3</v>
      </c>
      <c r="D324" s="1" t="s">
        <v>67</v>
      </c>
      <c r="E324">
        <v>73</v>
      </c>
      <c r="F324">
        <v>73</v>
      </c>
      <c r="G324">
        <v>73</v>
      </c>
      <c r="H324">
        <v>127</v>
      </c>
      <c r="I324">
        <v>73</v>
      </c>
      <c r="J324">
        <v>121</v>
      </c>
      <c r="K324" t="s">
        <v>799</v>
      </c>
      <c r="M324" t="s">
        <v>797</v>
      </c>
      <c r="N324">
        <f t="shared" ref="N324" si="290">(0.4*J324 + 0.5*MAX(F324,H324) + 0.1*MIN(F324,H324)) / 10</f>
        <v>11.92</v>
      </c>
      <c r="O324">
        <f t="shared" ref="O324" si="291">(0.4*E324 + 0.3*G324 + 0.3*I324) / 10</f>
        <v>7.3</v>
      </c>
      <c r="P324">
        <v>2</v>
      </c>
      <c r="Q324">
        <v>2</v>
      </c>
      <c r="R324" s="2">
        <f t="shared" ref="R324" si="292">ROUND(N324,0)+P324</f>
        <v>14</v>
      </c>
      <c r="S324" s="2">
        <f t="shared" ref="S324" si="293">ROUND(O324,0)+Q324</f>
        <v>9</v>
      </c>
      <c r="T324" s="2">
        <f t="shared" ref="T324" si="294">SUM(ROUND(R324,0),ROUND(S324,0))</f>
        <v>23</v>
      </c>
      <c r="U324" t="str">
        <f t="shared" ref="U324" si="295">C324</f>
        <v>poison</v>
      </c>
      <c r="V324" t="str">
        <f>IF(D324 = 0, "", D324)</f>
        <v>dragon</v>
      </c>
      <c r="W324" t="s">
        <v>7</v>
      </c>
      <c r="X324" t="s">
        <v>5</v>
      </c>
      <c r="Z324" s="2" t="str">
        <f>IF(ISBLANK(Y324), "", ROUND(( (T326-6)*(T326-7) - (T324-6)*(T324-7) )/15, 0) + 1)</f>
        <v/>
      </c>
      <c r="AA324" t="str">
        <f t="shared" ref="AA324" si="296">B324</f>
        <v>Naganadel</v>
      </c>
      <c r="AB324" t="s">
        <v>1070</v>
      </c>
      <c r="AC324" t="s">
        <v>775</v>
      </c>
      <c r="AD324" t="str">
        <f>VLOOKUP(AC324,moves!A:B,2,FALSE)</f>
        <v>dragon</v>
      </c>
      <c r="AE324">
        <f>VLOOKUP(AC324,moves!A:D,4,FALSE)</f>
        <v>4</v>
      </c>
      <c r="AF324">
        <f>VLOOKUP(AC324,moves!A:F,5,FALSE)</f>
        <v>0</v>
      </c>
      <c r="AG324">
        <v>0</v>
      </c>
      <c r="AH324">
        <v>1</v>
      </c>
      <c r="AI324" t="str" cm="1">
        <f t="array" ref="AI324">_xlfn.IFS(AG324=1, "starter", AH324=1, "legendary",T324&lt; 13, "weak",T324&lt; 17, "moderate", TRUE, "strong")</f>
        <v>legendary</v>
      </c>
      <c r="AK324">
        <v>2</v>
      </c>
      <c r="AL324">
        <v>0</v>
      </c>
      <c r="AM324">
        <v>2</v>
      </c>
    </row>
    <row r="325" spans="1:39" x14ac:dyDescent="0.25">
      <c r="A325">
        <v>686</v>
      </c>
      <c r="B325" t="s">
        <v>835</v>
      </c>
      <c r="C325" s="1" t="s">
        <v>9</v>
      </c>
      <c r="D325" s="1" t="s">
        <v>26</v>
      </c>
      <c r="E325">
        <v>53</v>
      </c>
      <c r="F325">
        <v>54</v>
      </c>
      <c r="G325">
        <v>53</v>
      </c>
      <c r="H325">
        <v>37</v>
      </c>
      <c r="I325">
        <v>46</v>
      </c>
      <c r="J325">
        <v>45</v>
      </c>
      <c r="K325" t="s">
        <v>836</v>
      </c>
      <c r="L325" t="s">
        <v>303</v>
      </c>
      <c r="M325" t="s">
        <v>299</v>
      </c>
      <c r="N325">
        <f t="shared" si="273"/>
        <v>4.87</v>
      </c>
      <c r="O325">
        <f t="shared" si="274"/>
        <v>5.09</v>
      </c>
      <c r="P325">
        <v>0</v>
      </c>
      <c r="Q325">
        <v>0</v>
      </c>
      <c r="R325" s="2">
        <f t="shared" si="258"/>
        <v>5</v>
      </c>
      <c r="S325" s="2">
        <f t="shared" si="259"/>
        <v>5</v>
      </c>
      <c r="T325" s="2">
        <f t="shared" si="275"/>
        <v>10</v>
      </c>
      <c r="U325" t="str">
        <f t="shared" si="225"/>
        <v>dark</v>
      </c>
      <c r="V325" t="str">
        <f>IF(D325 = 0, "", D325)</f>
        <v>psychic</v>
      </c>
      <c r="W325" t="s">
        <v>22</v>
      </c>
      <c r="X325" t="s">
        <v>5</v>
      </c>
      <c r="Y325" t="str">
        <f>B326</f>
        <v>Malamar</v>
      </c>
      <c r="Z325" s="2">
        <f t="shared" si="255"/>
        <v>6</v>
      </c>
      <c r="AA325" t="str">
        <f t="shared" si="224"/>
        <v>Inkay</v>
      </c>
      <c r="AC325" t="s">
        <v>839</v>
      </c>
      <c r="AD325" t="str">
        <f>VLOOKUP(AC325,moves!A:B,2,FALSE)</f>
        <v>dark</v>
      </c>
      <c r="AE325">
        <f>VLOOKUP(AC325,moves!A:D,4,FALSE)</f>
        <v>1</v>
      </c>
      <c r="AF325">
        <f>VLOOKUP(AC325,moves!A:F,5,FALSE)</f>
        <v>0</v>
      </c>
      <c r="AG325">
        <v>0</v>
      </c>
      <c r="AH325">
        <v>0</v>
      </c>
      <c r="AI325" t="str" cm="1">
        <f t="array" ref="AI325">_xlfn.IFS(AG325=1, "starter", AH325=1, "legendary",T325&lt; 13, "weak",T325&lt; 17, "moderate", TRUE, "strong")</f>
        <v>weak</v>
      </c>
      <c r="AK325">
        <v>1</v>
      </c>
      <c r="AL325">
        <v>0</v>
      </c>
      <c r="AM325">
        <v>0</v>
      </c>
    </row>
    <row r="326" spans="1:39" x14ac:dyDescent="0.25">
      <c r="A326">
        <v>687</v>
      </c>
      <c r="B326" t="s">
        <v>837</v>
      </c>
      <c r="C326" s="1" t="s">
        <v>9</v>
      </c>
      <c r="D326" s="1" t="s">
        <v>26</v>
      </c>
      <c r="E326">
        <v>86</v>
      </c>
      <c r="F326">
        <v>92</v>
      </c>
      <c r="G326">
        <v>88</v>
      </c>
      <c r="H326">
        <v>68</v>
      </c>
      <c r="I326">
        <v>75</v>
      </c>
      <c r="J326">
        <v>73</v>
      </c>
      <c r="K326" t="s">
        <v>838</v>
      </c>
      <c r="L326" t="s">
        <v>303</v>
      </c>
      <c r="M326" t="s">
        <v>299</v>
      </c>
      <c r="N326">
        <f t="shared" si="273"/>
        <v>8.1999999999999993</v>
      </c>
      <c r="O326">
        <f t="shared" si="274"/>
        <v>8.33</v>
      </c>
      <c r="P326">
        <v>0</v>
      </c>
      <c r="Q326">
        <v>0</v>
      </c>
      <c r="R326" s="2">
        <f t="shared" si="258"/>
        <v>8</v>
      </c>
      <c r="S326" s="2">
        <f t="shared" si="259"/>
        <v>8</v>
      </c>
      <c r="T326" s="2">
        <f t="shared" si="275"/>
        <v>16</v>
      </c>
      <c r="U326" t="str">
        <f t="shared" ref="U326:U333" si="297">C326</f>
        <v>dark</v>
      </c>
      <c r="V326" t="str">
        <f>IF(D326 = 0, "", D326)</f>
        <v>psychic</v>
      </c>
      <c r="W326" t="s">
        <v>22</v>
      </c>
      <c r="X326" t="s">
        <v>5</v>
      </c>
      <c r="Z326" s="2" t="str">
        <f t="shared" si="255"/>
        <v/>
      </c>
      <c r="AA326" t="str">
        <f t="shared" si="224"/>
        <v>Malamar</v>
      </c>
      <c r="AC326" t="s">
        <v>840</v>
      </c>
      <c r="AD326" t="str">
        <f>VLOOKUP(AC326,moves!A:B,2,FALSE)</f>
        <v>psychic</v>
      </c>
      <c r="AE326">
        <f>VLOOKUP(AC326,moves!A:D,4,FALSE)</f>
        <v>4</v>
      </c>
      <c r="AF326">
        <f>VLOOKUP(AC326,moves!A:F,5,FALSE)</f>
        <v>0</v>
      </c>
      <c r="AG326">
        <v>0</v>
      </c>
      <c r="AH326">
        <v>0</v>
      </c>
      <c r="AI326" t="str" cm="1">
        <f t="array" ref="AI326">_xlfn.IFS(AG326=1, "starter", AH326=1, "legendary",T326&lt; 13, "weak",T326&lt; 17, "moderate", TRUE, "strong")</f>
        <v>moderate</v>
      </c>
      <c r="AK326">
        <v>2</v>
      </c>
      <c r="AL326">
        <v>0</v>
      </c>
      <c r="AM326">
        <v>0</v>
      </c>
    </row>
    <row r="327" spans="1:39" x14ac:dyDescent="0.25">
      <c r="A327">
        <v>602</v>
      </c>
      <c r="B327" t="s">
        <v>841</v>
      </c>
      <c r="C327" s="1" t="s">
        <v>11</v>
      </c>
      <c r="E327">
        <v>35</v>
      </c>
      <c r="F327">
        <v>55</v>
      </c>
      <c r="G327">
        <v>40</v>
      </c>
      <c r="H327">
        <v>45</v>
      </c>
      <c r="I327">
        <v>40</v>
      </c>
      <c r="J327">
        <v>60</v>
      </c>
      <c r="K327" t="s">
        <v>844</v>
      </c>
      <c r="L327" t="s">
        <v>303</v>
      </c>
      <c r="M327" t="s">
        <v>300</v>
      </c>
      <c r="N327">
        <f t="shared" si="273"/>
        <v>5.6</v>
      </c>
      <c r="O327">
        <f t="shared" si="274"/>
        <v>3.8</v>
      </c>
      <c r="P327">
        <v>0</v>
      </c>
      <c r="Q327">
        <v>0</v>
      </c>
      <c r="R327" s="2">
        <f t="shared" ref="R327:R335" si="298">ROUND(N327,0)+P327</f>
        <v>6</v>
      </c>
      <c r="S327" s="2">
        <f t="shared" ref="S327:S335" si="299">ROUND(O327,0)+Q327</f>
        <v>4</v>
      </c>
      <c r="T327" s="2">
        <f t="shared" ref="T327:T335" si="300">SUM(ROUND(R327,0),ROUND(S327,0))</f>
        <v>10</v>
      </c>
      <c r="U327" t="str">
        <f t="shared" si="297"/>
        <v>electric</v>
      </c>
      <c r="V327" t="s">
        <v>3</v>
      </c>
      <c r="W327" t="s">
        <v>8</v>
      </c>
      <c r="X327" t="s">
        <v>9</v>
      </c>
      <c r="Y327" t="str">
        <f t="shared" ref="Y327:Y334" si="301">B328</f>
        <v>Eelektrik</v>
      </c>
      <c r="Z327" s="2">
        <f t="shared" si="255"/>
        <v>4</v>
      </c>
      <c r="AA327" t="str">
        <f t="shared" si="224"/>
        <v>Tynamo</v>
      </c>
      <c r="AC327" t="s">
        <v>845</v>
      </c>
      <c r="AD327" t="str">
        <f>VLOOKUP(AC327,moves!A:B,2,FALSE)</f>
        <v>electric</v>
      </c>
      <c r="AE327">
        <f>VLOOKUP(AC327,moves!A:D,4,FALSE)</f>
        <v>2</v>
      </c>
      <c r="AF327">
        <f>VLOOKUP(AC327,moves!A:F,5,FALSE)</f>
        <v>0</v>
      </c>
      <c r="AG327">
        <v>0</v>
      </c>
      <c r="AH327">
        <v>0</v>
      </c>
      <c r="AI327" t="str" cm="1">
        <f t="array" ref="AI327">_xlfn.IFS(AG327=1, "starter", AH327=1, "legendary",T327&lt; 13, "weak",T327&lt; 17, "moderate", TRUE, "strong")</f>
        <v>weak</v>
      </c>
      <c r="AK327">
        <v>1</v>
      </c>
      <c r="AL327">
        <v>0</v>
      </c>
      <c r="AM327">
        <v>0</v>
      </c>
    </row>
    <row r="328" spans="1:39" x14ac:dyDescent="0.25">
      <c r="A328">
        <v>603</v>
      </c>
      <c r="B328" t="s">
        <v>842</v>
      </c>
      <c r="C328" s="1" t="s">
        <v>11</v>
      </c>
      <c r="E328">
        <v>65</v>
      </c>
      <c r="F328">
        <v>85</v>
      </c>
      <c r="G328">
        <v>70</v>
      </c>
      <c r="H328">
        <v>75</v>
      </c>
      <c r="I328">
        <v>70</v>
      </c>
      <c r="J328">
        <v>40</v>
      </c>
      <c r="K328" t="s">
        <v>844</v>
      </c>
      <c r="L328" t="s">
        <v>303</v>
      </c>
      <c r="M328" t="s">
        <v>300</v>
      </c>
      <c r="N328">
        <f t="shared" si="273"/>
        <v>6.6</v>
      </c>
      <c r="O328">
        <f t="shared" si="274"/>
        <v>6.8</v>
      </c>
      <c r="P328">
        <v>0</v>
      </c>
      <c r="Q328">
        <v>0</v>
      </c>
      <c r="R328" s="2">
        <f t="shared" si="298"/>
        <v>7</v>
      </c>
      <c r="S328" s="2">
        <f t="shared" si="299"/>
        <v>7</v>
      </c>
      <c r="T328" s="2">
        <f t="shared" si="300"/>
        <v>14</v>
      </c>
      <c r="U328" t="str">
        <f t="shared" si="297"/>
        <v>electric</v>
      </c>
      <c r="V328" t="s">
        <v>3</v>
      </c>
      <c r="W328" t="s">
        <v>8</v>
      </c>
      <c r="X328" t="s">
        <v>9</v>
      </c>
      <c r="Y328" t="str">
        <f t="shared" si="301"/>
        <v>Eelektross</v>
      </c>
      <c r="Z328" s="2">
        <f t="shared" si="255"/>
        <v>5</v>
      </c>
      <c r="AA328" t="str">
        <f t="shared" si="224"/>
        <v>Eelektrik</v>
      </c>
      <c r="AC328" t="s">
        <v>847</v>
      </c>
      <c r="AD328" t="str">
        <f>VLOOKUP(AC328,moves!A:B,2,FALSE)</f>
        <v>poison</v>
      </c>
      <c r="AE328">
        <f>VLOOKUP(AC328,moves!A:D,4,FALSE)</f>
        <v>2</v>
      </c>
      <c r="AF328" t="str">
        <f>VLOOKUP(AC328,moves!A:F,5,FALSE)</f>
        <v>trap</v>
      </c>
      <c r="AG328">
        <v>0</v>
      </c>
      <c r="AH328">
        <v>0</v>
      </c>
      <c r="AI328" t="str" cm="1">
        <f t="array" ref="AI328">_xlfn.IFS(AG328=1, "starter", AH328=1, "legendary",T328&lt; 13, "weak",T328&lt; 17, "moderate", TRUE, "strong")</f>
        <v>moderate</v>
      </c>
      <c r="AK328">
        <v>2</v>
      </c>
      <c r="AL328">
        <v>0</v>
      </c>
      <c r="AM328">
        <v>0</v>
      </c>
    </row>
    <row r="329" spans="1:39" x14ac:dyDescent="0.25">
      <c r="A329">
        <v>604</v>
      </c>
      <c r="B329" t="s">
        <v>843</v>
      </c>
      <c r="C329" s="1" t="s">
        <v>11</v>
      </c>
      <c r="E329">
        <v>85</v>
      </c>
      <c r="F329">
        <v>115</v>
      </c>
      <c r="G329">
        <v>80</v>
      </c>
      <c r="H329">
        <v>105</v>
      </c>
      <c r="I329">
        <v>80</v>
      </c>
      <c r="J329">
        <v>50</v>
      </c>
      <c r="K329" t="s">
        <v>844</v>
      </c>
      <c r="L329" t="s">
        <v>303</v>
      </c>
      <c r="M329" t="s">
        <v>300</v>
      </c>
      <c r="N329">
        <f t="shared" si="273"/>
        <v>8.8000000000000007</v>
      </c>
      <c r="O329">
        <f t="shared" si="274"/>
        <v>8.1999999999999993</v>
      </c>
      <c r="P329">
        <v>0</v>
      </c>
      <c r="Q329">
        <v>0</v>
      </c>
      <c r="R329" s="2">
        <f t="shared" si="298"/>
        <v>9</v>
      </c>
      <c r="S329" s="2">
        <f t="shared" si="299"/>
        <v>8</v>
      </c>
      <c r="T329" s="2">
        <f t="shared" si="300"/>
        <v>17</v>
      </c>
      <c r="U329" t="str">
        <f t="shared" si="297"/>
        <v>electric</v>
      </c>
      <c r="V329" t="s">
        <v>3</v>
      </c>
      <c r="W329" t="s">
        <v>8</v>
      </c>
      <c r="X329" t="s">
        <v>9</v>
      </c>
      <c r="Z329" s="2" t="str">
        <f t="shared" si="255"/>
        <v/>
      </c>
      <c r="AA329" t="str">
        <f t="shared" si="224"/>
        <v>Eelektross</v>
      </c>
      <c r="AC329" t="s">
        <v>846</v>
      </c>
      <c r="AD329" t="str">
        <f>VLOOKUP(AC329,moves!A:B,2,FALSE)</f>
        <v>electric</v>
      </c>
      <c r="AE329">
        <f>VLOOKUP(AC329,moves!A:D,4,FALSE)</f>
        <v>2</v>
      </c>
      <c r="AF329">
        <f>VLOOKUP(AC329,moves!A:F,5,FALSE)</f>
        <v>0</v>
      </c>
      <c r="AG329">
        <v>0</v>
      </c>
      <c r="AH329">
        <v>0</v>
      </c>
      <c r="AI329" t="str" cm="1">
        <f t="array" ref="AI329">_xlfn.IFS(AG329=1, "starter", AH329=1, "legendary",T329&lt; 13, "weak",T329&lt; 17, "moderate", TRUE, "strong")</f>
        <v>strong</v>
      </c>
      <c r="AK329">
        <v>3</v>
      </c>
      <c r="AL329">
        <v>0</v>
      </c>
      <c r="AM329">
        <v>0</v>
      </c>
    </row>
    <row r="330" spans="1:39" x14ac:dyDescent="0.25">
      <c r="A330">
        <v>690</v>
      </c>
      <c r="B330" t="s">
        <v>1114</v>
      </c>
      <c r="C330" s="1" t="s">
        <v>3</v>
      </c>
      <c r="D330" s="1" t="s">
        <v>6</v>
      </c>
      <c r="E330">
        <v>50</v>
      </c>
      <c r="F330">
        <v>60</v>
      </c>
      <c r="G330">
        <v>60</v>
      </c>
      <c r="H330">
        <v>60</v>
      </c>
      <c r="I330">
        <v>60</v>
      </c>
      <c r="J330">
        <v>30</v>
      </c>
      <c r="K330" t="s">
        <v>1116</v>
      </c>
      <c r="L330" t="s">
        <v>303</v>
      </c>
      <c r="M330" t="s">
        <v>302</v>
      </c>
      <c r="N330">
        <f t="shared" si="273"/>
        <v>4.8</v>
      </c>
      <c r="O330">
        <f t="shared" si="274"/>
        <v>5.6</v>
      </c>
      <c r="P330">
        <v>0</v>
      </c>
      <c r="Q330">
        <v>0</v>
      </c>
      <c r="R330" s="2">
        <f t="shared" si="298"/>
        <v>5</v>
      </c>
      <c r="S330" s="2">
        <f t="shared" si="299"/>
        <v>6</v>
      </c>
      <c r="T330" s="2">
        <f t="shared" si="300"/>
        <v>11</v>
      </c>
      <c r="U330" t="str">
        <f t="shared" si="297"/>
        <v>poison</v>
      </c>
      <c r="V330" t="s">
        <v>6</v>
      </c>
      <c r="W330" t="s">
        <v>67</v>
      </c>
      <c r="X330" t="s">
        <v>11</v>
      </c>
      <c r="Y330" t="str">
        <f t="shared" si="301"/>
        <v>Dragalge</v>
      </c>
      <c r="Z330" s="2">
        <f t="shared" si="255"/>
        <v>6</v>
      </c>
      <c r="AA330" t="str">
        <f t="shared" si="224"/>
        <v>Skrelp</v>
      </c>
      <c r="AC330" t="s">
        <v>1117</v>
      </c>
      <c r="AD330" t="str">
        <f>VLOOKUP(AC330,moves!A:B,2,FALSE)</f>
        <v>poison</v>
      </c>
      <c r="AE330">
        <f>VLOOKUP(AC330,moves!A:D,4,FALSE)</f>
        <v>2</v>
      </c>
      <c r="AF330">
        <f>VLOOKUP(AC330,moves!A:F,5,FALSE)</f>
        <v>0</v>
      </c>
      <c r="AG330">
        <v>0</v>
      </c>
      <c r="AH330">
        <v>0</v>
      </c>
      <c r="AI330" t="str" cm="1">
        <f t="array" ref="AI330">_xlfn.IFS(AG330=1, "starter", AH330=1, "legendary",T330&lt; 13, "weak",T330&lt; 17, "moderate", TRUE, "strong")</f>
        <v>weak</v>
      </c>
      <c r="AK330">
        <v>1</v>
      </c>
      <c r="AL330">
        <v>0</v>
      </c>
      <c r="AM330">
        <v>0</v>
      </c>
    </row>
    <row r="331" spans="1:39" x14ac:dyDescent="0.25">
      <c r="A331">
        <v>691</v>
      </c>
      <c r="B331" t="s">
        <v>1115</v>
      </c>
      <c r="C331" s="1" t="s">
        <v>3</v>
      </c>
      <c r="D331" s="1" t="s">
        <v>67</v>
      </c>
      <c r="E331">
        <v>65</v>
      </c>
      <c r="F331">
        <v>75</v>
      </c>
      <c r="G331">
        <v>90</v>
      </c>
      <c r="H331">
        <v>97</v>
      </c>
      <c r="I331">
        <v>123</v>
      </c>
      <c r="J331">
        <v>44</v>
      </c>
      <c r="K331" t="s">
        <v>1116</v>
      </c>
      <c r="L331" t="s">
        <v>303</v>
      </c>
      <c r="M331" t="s">
        <v>302</v>
      </c>
      <c r="N331">
        <f t="shared" si="273"/>
        <v>7.3599999999999994</v>
      </c>
      <c r="O331">
        <f t="shared" si="274"/>
        <v>8.99</v>
      </c>
      <c r="P331">
        <v>0</v>
      </c>
      <c r="Q331">
        <v>0</v>
      </c>
      <c r="R331" s="2">
        <f t="shared" si="298"/>
        <v>7</v>
      </c>
      <c r="S331" s="2">
        <f t="shared" si="299"/>
        <v>9</v>
      </c>
      <c r="T331" s="2">
        <f t="shared" si="300"/>
        <v>16</v>
      </c>
      <c r="U331" t="str">
        <f t="shared" si="297"/>
        <v>poison</v>
      </c>
      <c r="V331" t="s">
        <v>6</v>
      </c>
      <c r="W331" t="s">
        <v>67</v>
      </c>
      <c r="X331" t="s">
        <v>11</v>
      </c>
      <c r="Z331" s="2" t="str">
        <f t="shared" si="255"/>
        <v/>
      </c>
      <c r="AA331" t="str">
        <f t="shared" si="224"/>
        <v>Dragalge</v>
      </c>
      <c r="AC331" t="s">
        <v>775</v>
      </c>
      <c r="AD331" t="str">
        <f>VLOOKUP(AC331,moves!A:B,2,FALSE)</f>
        <v>dragon</v>
      </c>
      <c r="AE331">
        <f>VLOOKUP(AC331,moves!A:D,4,FALSE)</f>
        <v>4</v>
      </c>
      <c r="AF331">
        <f>VLOOKUP(AC331,moves!A:F,5,FALSE)</f>
        <v>0</v>
      </c>
      <c r="AG331">
        <v>0</v>
      </c>
      <c r="AH331">
        <v>0</v>
      </c>
      <c r="AI331" t="str" cm="1">
        <f t="array" ref="AI331">_xlfn.IFS(AG331=1, "starter", AH331=1, "legendary",T331&lt; 13, "weak",T331&lt; 17, "moderate", TRUE, "strong")</f>
        <v>moderate</v>
      </c>
      <c r="AK331">
        <v>2</v>
      </c>
      <c r="AL331">
        <v>0</v>
      </c>
      <c r="AM331">
        <v>0</v>
      </c>
    </row>
    <row r="332" spans="1:39" x14ac:dyDescent="0.25">
      <c r="A332">
        <v>605</v>
      </c>
      <c r="B332" t="s">
        <v>848</v>
      </c>
      <c r="C332" s="1" t="s">
        <v>26</v>
      </c>
      <c r="E332">
        <v>55</v>
      </c>
      <c r="F332">
        <v>55</v>
      </c>
      <c r="G332">
        <v>55</v>
      </c>
      <c r="H332">
        <v>85</v>
      </c>
      <c r="I332">
        <v>55</v>
      </c>
      <c r="J332">
        <v>30</v>
      </c>
      <c r="K332" t="s">
        <v>850</v>
      </c>
      <c r="M332" t="s">
        <v>551</v>
      </c>
      <c r="N332">
        <f t="shared" si="273"/>
        <v>6</v>
      </c>
      <c r="O332">
        <f t="shared" si="274"/>
        <v>5.5</v>
      </c>
      <c r="P332">
        <v>0</v>
      </c>
      <c r="Q332">
        <v>0</v>
      </c>
      <c r="R332" s="2">
        <f t="shared" si="298"/>
        <v>6</v>
      </c>
      <c r="S332" s="2">
        <f t="shared" si="299"/>
        <v>6</v>
      </c>
      <c r="T332" s="2">
        <f t="shared" si="300"/>
        <v>12</v>
      </c>
      <c r="U332" t="str">
        <f t="shared" si="297"/>
        <v>psychic</v>
      </c>
      <c r="V332" t="s">
        <v>8</v>
      </c>
      <c r="W332" t="s">
        <v>11</v>
      </c>
      <c r="X332" t="s">
        <v>42</v>
      </c>
      <c r="Y332" t="str">
        <f t="shared" si="301"/>
        <v>Beheeyem</v>
      </c>
      <c r="Z332" s="2">
        <f t="shared" si="255"/>
        <v>6</v>
      </c>
      <c r="AA332" t="str">
        <f t="shared" si="224"/>
        <v>Elgyem</v>
      </c>
      <c r="AC332" t="s">
        <v>851</v>
      </c>
      <c r="AD332" t="str">
        <f>VLOOKUP(AC332,moves!A:B,2,FALSE)</f>
        <v>psychic</v>
      </c>
      <c r="AE332">
        <f>VLOOKUP(AC332,moves!A:D,4,FALSE)</f>
        <v>2</v>
      </c>
      <c r="AF332" t="str">
        <f>VLOOKUP(AC332,moves!A:F,5,FALSE)</f>
        <v>trap</v>
      </c>
      <c r="AG332">
        <v>0</v>
      </c>
      <c r="AH332">
        <v>0</v>
      </c>
      <c r="AI332" t="str" cm="1">
        <f t="array" ref="AI332">_xlfn.IFS(AG332=1, "starter", AH332=1, "legendary",T332&lt; 13, "weak",T332&lt; 17, "moderate", TRUE, "strong")</f>
        <v>weak</v>
      </c>
      <c r="AK332">
        <v>1</v>
      </c>
      <c r="AL332">
        <v>0</v>
      </c>
      <c r="AM332">
        <v>0</v>
      </c>
    </row>
    <row r="333" spans="1:39" x14ac:dyDescent="0.25">
      <c r="A333">
        <v>606</v>
      </c>
      <c r="B333" t="s">
        <v>849</v>
      </c>
      <c r="C333" s="1" t="s">
        <v>26</v>
      </c>
      <c r="E333">
        <v>75</v>
      </c>
      <c r="F333">
        <v>75</v>
      </c>
      <c r="G333">
        <v>75</v>
      </c>
      <c r="H333">
        <v>125</v>
      </c>
      <c r="I333">
        <v>95</v>
      </c>
      <c r="J333">
        <v>40</v>
      </c>
      <c r="K333" t="s">
        <v>850</v>
      </c>
      <c r="M333" t="s">
        <v>551</v>
      </c>
      <c r="N333">
        <f t="shared" si="273"/>
        <v>8.6</v>
      </c>
      <c r="O333">
        <f t="shared" si="274"/>
        <v>8.1</v>
      </c>
      <c r="P333">
        <v>0</v>
      </c>
      <c r="Q333">
        <v>0</v>
      </c>
      <c r="R333" s="2">
        <f t="shared" si="298"/>
        <v>9</v>
      </c>
      <c r="S333" s="2">
        <f t="shared" si="299"/>
        <v>8</v>
      </c>
      <c r="T333" s="2">
        <f t="shared" si="300"/>
        <v>17</v>
      </c>
      <c r="U333" t="str">
        <f t="shared" si="297"/>
        <v>psychic</v>
      </c>
      <c r="V333" t="s">
        <v>8</v>
      </c>
      <c r="W333" t="s">
        <v>11</v>
      </c>
      <c r="X333" t="s">
        <v>42</v>
      </c>
      <c r="Z333" s="2" t="str">
        <f t="shared" si="255"/>
        <v/>
      </c>
      <c r="AA333" t="str">
        <f t="shared" si="224"/>
        <v>Beheeyem</v>
      </c>
      <c r="AC333" t="s">
        <v>852</v>
      </c>
      <c r="AD333" t="str">
        <f>VLOOKUP(AC333,moves!A:B,2,FALSE)</f>
        <v>psychic</v>
      </c>
      <c r="AE333">
        <f>VLOOKUP(AC333,moves!A:D,4,FALSE)</f>
        <v>7</v>
      </c>
      <c r="AF333">
        <f>VLOOKUP(AC333,moves!A:F,5,FALSE)</f>
        <v>0</v>
      </c>
      <c r="AG333">
        <v>0</v>
      </c>
      <c r="AH333">
        <v>0</v>
      </c>
      <c r="AI333" t="str" cm="1">
        <f t="array" ref="AI333">_xlfn.IFS(AG333=1, "starter", AH333=1, "legendary",T333&lt; 13, "weak",T333&lt; 17, "moderate", TRUE, "strong")</f>
        <v>strong</v>
      </c>
      <c r="AK333">
        <v>2</v>
      </c>
      <c r="AL333">
        <v>0</v>
      </c>
      <c r="AM333">
        <v>0</v>
      </c>
    </row>
    <row r="334" spans="1:39" x14ac:dyDescent="0.25">
      <c r="A334">
        <v>755</v>
      </c>
      <c r="B334" t="s">
        <v>853</v>
      </c>
      <c r="C334" s="1" t="s">
        <v>2</v>
      </c>
      <c r="D334" s="1" t="s">
        <v>16</v>
      </c>
      <c r="E334">
        <v>40</v>
      </c>
      <c r="F334">
        <v>35</v>
      </c>
      <c r="G334">
        <v>55</v>
      </c>
      <c r="H334">
        <v>65</v>
      </c>
      <c r="I334">
        <v>75</v>
      </c>
      <c r="J334">
        <v>15</v>
      </c>
      <c r="K334" t="s">
        <v>854</v>
      </c>
      <c r="L334" t="s">
        <v>298</v>
      </c>
      <c r="M334" t="s">
        <v>299</v>
      </c>
      <c r="N334">
        <f t="shared" si="273"/>
        <v>4.2</v>
      </c>
      <c r="O334">
        <f t="shared" si="274"/>
        <v>5.5</v>
      </c>
      <c r="P334">
        <v>0</v>
      </c>
      <c r="Q334">
        <v>0</v>
      </c>
      <c r="R334" s="2">
        <f t="shared" si="298"/>
        <v>4</v>
      </c>
      <c r="S334" s="2">
        <f t="shared" si="299"/>
        <v>6</v>
      </c>
      <c r="T334" s="2">
        <f t="shared" si="300"/>
        <v>10</v>
      </c>
      <c r="U334" t="str">
        <f t="shared" si="225"/>
        <v>grass</v>
      </c>
      <c r="V334" t="str">
        <f t="shared" ref="V334:V367" si="302">IF(D334 = 0, "", D334)</f>
        <v>fairy</v>
      </c>
      <c r="W334" t="s">
        <v>26</v>
      </c>
      <c r="X334" t="s">
        <v>42</v>
      </c>
      <c r="Y334" t="str">
        <f t="shared" si="301"/>
        <v>Shiinotic</v>
      </c>
      <c r="Z334" s="2">
        <f t="shared" si="255"/>
        <v>4</v>
      </c>
      <c r="AA334" t="str">
        <f t="shared" si="224"/>
        <v>Morelull</v>
      </c>
      <c r="AC334" t="s">
        <v>769</v>
      </c>
      <c r="AD334" t="str">
        <f>VLOOKUP(AC334,moves!A:B,2,FALSE)</f>
        <v>grass</v>
      </c>
      <c r="AE334">
        <f>VLOOKUP(AC334,moves!A:D,4,FALSE)</f>
        <v>2</v>
      </c>
      <c r="AF334">
        <f>VLOOKUP(AC334,moves!A:F,5,FALSE)</f>
        <v>0</v>
      </c>
      <c r="AG334">
        <v>0</v>
      </c>
      <c r="AH334">
        <v>0</v>
      </c>
      <c r="AI334" t="str" cm="1">
        <f t="array" ref="AI334">_xlfn.IFS(AG334=1, "starter", AH334=1, "legendary",T334&lt; 13, "weak",T334&lt; 17, "moderate", TRUE, "strong")</f>
        <v>weak</v>
      </c>
      <c r="AK334">
        <v>1</v>
      </c>
      <c r="AL334">
        <v>0</v>
      </c>
      <c r="AM334">
        <v>0</v>
      </c>
    </row>
    <row r="335" spans="1:39" x14ac:dyDescent="0.25">
      <c r="A335">
        <v>756</v>
      </c>
      <c r="B335" t="s">
        <v>855</v>
      </c>
      <c r="C335" s="1" t="s">
        <v>2</v>
      </c>
      <c r="D335" s="1" t="s">
        <v>16</v>
      </c>
      <c r="E335">
        <v>60</v>
      </c>
      <c r="F335">
        <v>45</v>
      </c>
      <c r="G335">
        <v>80</v>
      </c>
      <c r="H335">
        <v>90</v>
      </c>
      <c r="I335">
        <v>100</v>
      </c>
      <c r="J335">
        <v>30</v>
      </c>
      <c r="K335" t="s">
        <v>854</v>
      </c>
      <c r="L335" t="s">
        <v>298</v>
      </c>
      <c r="M335" t="s">
        <v>299</v>
      </c>
      <c r="N335">
        <f t="shared" si="273"/>
        <v>6.15</v>
      </c>
      <c r="O335">
        <f t="shared" si="274"/>
        <v>7.8</v>
      </c>
      <c r="P335">
        <v>0</v>
      </c>
      <c r="Q335">
        <v>0</v>
      </c>
      <c r="R335" s="2">
        <f t="shared" si="298"/>
        <v>6</v>
      </c>
      <c r="S335" s="2">
        <f t="shared" si="299"/>
        <v>8</v>
      </c>
      <c r="T335" s="2">
        <f t="shared" si="300"/>
        <v>14</v>
      </c>
      <c r="U335" t="str">
        <f t="shared" si="225"/>
        <v>grass</v>
      </c>
      <c r="V335" t="str">
        <f t="shared" si="302"/>
        <v>fairy</v>
      </c>
      <c r="W335" t="s">
        <v>26</v>
      </c>
      <c r="X335" t="s">
        <v>42</v>
      </c>
      <c r="AA335" t="str">
        <f t="shared" si="224"/>
        <v>Shiinotic</v>
      </c>
      <c r="AC335" t="s">
        <v>856</v>
      </c>
      <c r="AD335" t="str">
        <f>VLOOKUP(AC335,moves!A:B,2,FALSE)</f>
        <v>fairy</v>
      </c>
      <c r="AE335">
        <f>VLOOKUP(AC335,moves!A:D,4,FALSE)</f>
        <v>2</v>
      </c>
      <c r="AF335" t="str">
        <f>VLOOKUP(AC335,moves!A:F,5,FALSE)</f>
        <v>boost</v>
      </c>
      <c r="AG335">
        <v>0</v>
      </c>
      <c r="AH335">
        <v>0</v>
      </c>
      <c r="AI335" t="str" cm="1">
        <f t="array" ref="AI335">_xlfn.IFS(AG335=1, "starter", AH335=1, "legendary",T335&lt; 13, "weak",T335&lt; 17, "moderate", TRUE, "strong")</f>
        <v>moderate</v>
      </c>
      <c r="AK335">
        <v>2</v>
      </c>
      <c r="AL335">
        <v>0</v>
      </c>
      <c r="AM335">
        <v>0</v>
      </c>
    </row>
    <row r="336" spans="1:39" x14ac:dyDescent="0.25">
      <c r="A336">
        <v>679</v>
      </c>
      <c r="B336" t="s">
        <v>1023</v>
      </c>
      <c r="C336" s="1" t="s">
        <v>39</v>
      </c>
      <c r="D336" s="1" t="s">
        <v>42</v>
      </c>
      <c r="E336">
        <v>45</v>
      </c>
      <c r="F336">
        <v>80</v>
      </c>
      <c r="G336">
        <v>100</v>
      </c>
      <c r="H336">
        <v>35</v>
      </c>
      <c r="I336">
        <v>37</v>
      </c>
      <c r="J336">
        <v>28</v>
      </c>
      <c r="K336" t="s">
        <v>1024</v>
      </c>
      <c r="L336" t="s">
        <v>301</v>
      </c>
      <c r="M336" t="s">
        <v>299</v>
      </c>
      <c r="N336">
        <f t="shared" si="273"/>
        <v>5.4700000000000006</v>
      </c>
      <c r="O336">
        <f t="shared" si="274"/>
        <v>5.91</v>
      </c>
      <c r="P336">
        <v>0</v>
      </c>
      <c r="Q336">
        <v>0</v>
      </c>
      <c r="R336" s="2">
        <f t="shared" ref="R336" si="303">ROUND(N336,0)+P336</f>
        <v>5</v>
      </c>
      <c r="S336" s="2">
        <f t="shared" ref="S336" si="304">ROUND(O336,0)+Q336</f>
        <v>6</v>
      </c>
      <c r="T336" s="2">
        <f t="shared" ref="T336" si="305">SUM(ROUND(R336,0),ROUND(S336,0))</f>
        <v>11</v>
      </c>
      <c r="U336" t="str">
        <f t="shared" si="225"/>
        <v>steel</v>
      </c>
      <c r="V336" t="str">
        <f t="shared" si="302"/>
        <v>ghost</v>
      </c>
      <c r="W336" t="s">
        <v>22</v>
      </c>
      <c r="X336" t="s">
        <v>9</v>
      </c>
      <c r="Y336" t="str">
        <f t="shared" ref="Y336:Y340" si="306">B337</f>
        <v>Doublade</v>
      </c>
      <c r="Z336" s="2">
        <f t="shared" ref="Z336:Z357" si="307">IF(ISBLANK(Y336), "", ROUND(( (T337-6)*(T337-7) - (T336-6)*(T336-7) )/15, 0) + 1)</f>
        <v>4</v>
      </c>
      <c r="AA336" t="str">
        <f t="shared" si="224"/>
        <v>Honedge</v>
      </c>
      <c r="AC336" t="s">
        <v>832</v>
      </c>
      <c r="AD336" t="str">
        <f>VLOOKUP(AC336,moves!A:B,2,FALSE)</f>
        <v>ghost</v>
      </c>
      <c r="AE336">
        <f>VLOOKUP(AC336,moves!A:D,4,FALSE)</f>
        <v>2</v>
      </c>
      <c r="AF336" t="str">
        <f>VLOOKUP(AC336,moves!A:F,5,FALSE)</f>
        <v>agile</v>
      </c>
      <c r="AG336">
        <v>0</v>
      </c>
      <c r="AH336">
        <v>0</v>
      </c>
      <c r="AI336" t="str" cm="1">
        <f t="array" ref="AI336">_xlfn.IFS(AG336=1, "starter", AH336=1, "legendary",T336&lt; 13, "weak",T336&lt; 17, "moderate", TRUE, "strong")</f>
        <v>weak</v>
      </c>
      <c r="AK336">
        <v>1</v>
      </c>
      <c r="AL336">
        <v>0</v>
      </c>
      <c r="AM336">
        <v>0</v>
      </c>
    </row>
    <row r="337" spans="1:39" x14ac:dyDescent="0.25">
      <c r="A337">
        <v>680</v>
      </c>
      <c r="B337" t="s">
        <v>1025</v>
      </c>
      <c r="C337" s="1" t="s">
        <v>39</v>
      </c>
      <c r="D337" s="1" t="s">
        <v>42</v>
      </c>
      <c r="E337">
        <v>59</v>
      </c>
      <c r="F337">
        <v>110</v>
      </c>
      <c r="G337">
        <v>150</v>
      </c>
      <c r="H337">
        <v>45</v>
      </c>
      <c r="I337">
        <v>49</v>
      </c>
      <c r="J337">
        <v>35</v>
      </c>
      <c r="K337" t="s">
        <v>1024</v>
      </c>
      <c r="L337" t="s">
        <v>301</v>
      </c>
      <c r="M337" t="s">
        <v>299</v>
      </c>
      <c r="N337">
        <f t="shared" ref="N337" si="308">(0.4*J337 + 0.5*MAX(F337,H337) + 0.1*MIN(F337,H337)) / 10</f>
        <v>7.35</v>
      </c>
      <c r="O337">
        <f t="shared" ref="O337" si="309">(0.4*E337 + 0.3*G337 + 0.3*I337) / 10</f>
        <v>8.33</v>
      </c>
      <c r="P337">
        <v>0</v>
      </c>
      <c r="Q337">
        <v>0</v>
      </c>
      <c r="R337" s="2">
        <f t="shared" ref="R337" si="310">ROUND(N337,0)+P337</f>
        <v>7</v>
      </c>
      <c r="S337" s="2">
        <f t="shared" ref="S337" si="311">ROUND(O337,0)+Q337</f>
        <v>8</v>
      </c>
      <c r="T337" s="2">
        <f t="shared" ref="T337" si="312">SUM(ROUND(R337,0),ROUND(S337,0))</f>
        <v>15</v>
      </c>
      <c r="U337" t="str">
        <f t="shared" ref="U337" si="313">C337</f>
        <v>steel</v>
      </c>
      <c r="V337" t="str">
        <f t="shared" si="302"/>
        <v>ghost</v>
      </c>
      <c r="W337" t="s">
        <v>22</v>
      </c>
      <c r="X337" t="s">
        <v>9</v>
      </c>
      <c r="Y337" t="str">
        <f t="shared" si="306"/>
        <v>Aegislash</v>
      </c>
      <c r="Z337" s="2">
        <f t="shared" si="307"/>
        <v>7</v>
      </c>
      <c r="AA337" t="str">
        <f t="shared" ref="AA337" si="314">B337</f>
        <v>Doublade</v>
      </c>
      <c r="AC337" t="s">
        <v>1028</v>
      </c>
      <c r="AD337" t="str">
        <f>VLOOKUP(AC337,moves!A:B,2,FALSE)</f>
        <v>fighting</v>
      </c>
      <c r="AE337">
        <f>VLOOKUP(AC337,moves!A:D,4,FALSE)</f>
        <v>4</v>
      </c>
      <c r="AF337">
        <f>VLOOKUP(AC337,moves!A:F,5,FALSE)</f>
        <v>0</v>
      </c>
      <c r="AG337">
        <v>0</v>
      </c>
      <c r="AH337">
        <v>0</v>
      </c>
      <c r="AI337" t="str" cm="1">
        <f t="array" ref="AI337">_xlfn.IFS(AG337=1, "starter", AH337=1, "legendary",T337&lt; 13, "weak",T337&lt; 17, "moderate", TRUE, "strong")</f>
        <v>moderate</v>
      </c>
      <c r="AK337">
        <v>2</v>
      </c>
      <c r="AL337">
        <v>0</v>
      </c>
      <c r="AM337">
        <v>0</v>
      </c>
    </row>
    <row r="338" spans="1:39" x14ac:dyDescent="0.25">
      <c r="A338">
        <v>681</v>
      </c>
      <c r="B338" t="s">
        <v>1026</v>
      </c>
      <c r="C338" s="1" t="s">
        <v>39</v>
      </c>
      <c r="D338" s="1" t="s">
        <v>42</v>
      </c>
      <c r="E338">
        <v>60</v>
      </c>
      <c r="F338">
        <v>50</v>
      </c>
      <c r="G338">
        <v>140</v>
      </c>
      <c r="H338">
        <v>50</v>
      </c>
      <c r="I338">
        <v>140</v>
      </c>
      <c r="J338">
        <v>60</v>
      </c>
      <c r="K338" t="s">
        <v>1027</v>
      </c>
      <c r="L338" t="s">
        <v>301</v>
      </c>
      <c r="M338" t="s">
        <v>299</v>
      </c>
      <c r="N338">
        <f t="shared" ref="N338" si="315">(0.4*J338 + 0.5*MAX(F338,H338) + 0.1*MIN(F338,H338)) / 10</f>
        <v>5.4</v>
      </c>
      <c r="O338">
        <f t="shared" ref="O338" si="316">(0.4*E338 + 0.3*G338 + 0.3*I338) / 10</f>
        <v>10.8</v>
      </c>
      <c r="P338">
        <v>3</v>
      </c>
      <c r="Q338">
        <v>0</v>
      </c>
      <c r="R338" s="2">
        <f t="shared" ref="R338" si="317">ROUND(N338,0)+P338</f>
        <v>8</v>
      </c>
      <c r="S338" s="2">
        <f t="shared" ref="S338" si="318">ROUND(O338,0)+Q338</f>
        <v>11</v>
      </c>
      <c r="T338" s="2">
        <f t="shared" ref="T338" si="319">SUM(ROUND(R338,0),ROUND(S338,0))</f>
        <v>19</v>
      </c>
      <c r="U338" t="str">
        <f t="shared" ref="U338" si="320">C338</f>
        <v>steel</v>
      </c>
      <c r="V338" t="str">
        <f t="shared" si="302"/>
        <v>ghost</v>
      </c>
      <c r="W338" t="s">
        <v>22</v>
      </c>
      <c r="X338" t="s">
        <v>9</v>
      </c>
      <c r="Z338" s="2" t="str">
        <f t="shared" si="307"/>
        <v/>
      </c>
      <c r="AA338" t="s">
        <v>1026</v>
      </c>
      <c r="AB338" t="s">
        <v>1063</v>
      </c>
      <c r="AC338" t="s">
        <v>1032</v>
      </c>
      <c r="AD338" t="str">
        <f>VLOOKUP(AC338,moves!A:B,2,FALSE)</f>
        <v>steel</v>
      </c>
      <c r="AE338">
        <f>VLOOKUP(AC338,moves!A:D,4,FALSE)</f>
        <v>1</v>
      </c>
      <c r="AF338" t="str">
        <f>VLOOKUP(AC338,moves!A:F,5,FALSE)</f>
        <v>transform</v>
      </c>
      <c r="AG338">
        <v>0</v>
      </c>
      <c r="AH338">
        <v>0</v>
      </c>
      <c r="AI338" t="str" cm="1">
        <f t="array" ref="AI338">_xlfn.IFS(AG338=1, "starter", AH338=1, "legendary",T338&lt; 13, "weak",T338&lt; 17, "moderate", TRUE, "strong")</f>
        <v>strong</v>
      </c>
      <c r="AK338">
        <v>3</v>
      </c>
      <c r="AL338">
        <v>0</v>
      </c>
      <c r="AM338">
        <v>1</v>
      </c>
    </row>
    <row r="339" spans="1:39" x14ac:dyDescent="0.25">
      <c r="A339" t="s">
        <v>1029</v>
      </c>
      <c r="B339" t="s">
        <v>1026</v>
      </c>
      <c r="C339" s="1" t="s">
        <v>39</v>
      </c>
      <c r="D339" s="1" t="s">
        <v>42</v>
      </c>
      <c r="E339">
        <v>60</v>
      </c>
      <c r="F339">
        <v>140</v>
      </c>
      <c r="G339">
        <v>50</v>
      </c>
      <c r="H339">
        <v>140</v>
      </c>
      <c r="I339">
        <v>50</v>
      </c>
      <c r="J339">
        <v>60</v>
      </c>
      <c r="K339" t="s">
        <v>1027</v>
      </c>
      <c r="L339" t="s">
        <v>301</v>
      </c>
      <c r="M339" t="s">
        <v>299</v>
      </c>
      <c r="N339">
        <f t="shared" ref="N339:N343" si="321">(0.4*J339 + 0.5*MAX(F339,H339) + 0.1*MIN(F339,H339)) / 10</f>
        <v>10.8</v>
      </c>
      <c r="O339">
        <f t="shared" ref="O339:O343" si="322">(0.4*E339 + 0.3*G339 + 0.3*I339) / 10</f>
        <v>5.4</v>
      </c>
      <c r="P339">
        <v>-3</v>
      </c>
      <c r="Q339">
        <v>6</v>
      </c>
      <c r="R339" s="2">
        <f t="shared" ref="R339:R343" si="323">ROUND(N339,0)+P339</f>
        <v>8</v>
      </c>
      <c r="S339" s="2">
        <f t="shared" ref="S339:S343" si="324">ROUND(O339,0)+Q339</f>
        <v>11</v>
      </c>
      <c r="T339" s="2">
        <f t="shared" ref="T339:T343" si="325">SUM(ROUND(R339,0),ROUND(S339,0))</f>
        <v>19</v>
      </c>
      <c r="U339" t="str">
        <f t="shared" ref="U339:U343" si="326">C339</f>
        <v>steel</v>
      </c>
      <c r="V339" t="str">
        <f t="shared" si="302"/>
        <v>ghost</v>
      </c>
      <c r="W339" t="s">
        <v>22</v>
      </c>
      <c r="X339" t="s">
        <v>9</v>
      </c>
      <c r="Z339" s="2" t="str">
        <f t="shared" si="307"/>
        <v/>
      </c>
      <c r="AA339" t="s">
        <v>1030</v>
      </c>
      <c r="AB339" t="s">
        <v>1064</v>
      </c>
      <c r="AC339" t="s">
        <v>1031</v>
      </c>
      <c r="AD339" t="str">
        <f>VLOOKUP(AC339,moves!A:B,2,FALSE)</f>
        <v>steel</v>
      </c>
      <c r="AE339">
        <f>VLOOKUP(AC339,moves!A:D,4,FALSE)</f>
        <v>5</v>
      </c>
      <c r="AF339" t="str">
        <f>VLOOKUP(AC339,moves!A:F,5,FALSE)</f>
        <v>transform</v>
      </c>
      <c r="AG339">
        <v>0</v>
      </c>
      <c r="AH339">
        <v>0</v>
      </c>
      <c r="AI339" t="str" cm="1">
        <f t="array" ref="AI339">_xlfn.IFS(AG339=1, "starter", AH339=1, "legendary",T339&lt; 13, "weak",T339&lt; 17, "moderate", TRUE, "strong")</f>
        <v>strong</v>
      </c>
      <c r="AK339">
        <v>3</v>
      </c>
      <c r="AL339">
        <v>0</v>
      </c>
      <c r="AM339">
        <v>2</v>
      </c>
    </row>
    <row r="340" spans="1:39" x14ac:dyDescent="0.25">
      <c r="A340">
        <v>554</v>
      </c>
      <c r="B340" t="s">
        <v>1100</v>
      </c>
      <c r="C340" s="1" t="s">
        <v>4</v>
      </c>
      <c r="E340">
        <v>70</v>
      </c>
      <c r="F340">
        <v>90</v>
      </c>
      <c r="G340">
        <v>45</v>
      </c>
      <c r="H340">
        <v>15</v>
      </c>
      <c r="I340">
        <v>45</v>
      </c>
      <c r="J340">
        <v>50</v>
      </c>
      <c r="K340" t="s">
        <v>1101</v>
      </c>
      <c r="L340" t="s">
        <v>301</v>
      </c>
      <c r="M340" t="s">
        <v>302</v>
      </c>
      <c r="N340">
        <f t="shared" si="321"/>
        <v>6.65</v>
      </c>
      <c r="O340">
        <f t="shared" si="322"/>
        <v>5.5</v>
      </c>
      <c r="P340">
        <v>0</v>
      </c>
      <c r="Q340">
        <v>0</v>
      </c>
      <c r="R340" s="2">
        <f t="shared" si="323"/>
        <v>7</v>
      </c>
      <c r="S340" s="2">
        <f t="shared" si="324"/>
        <v>6</v>
      </c>
      <c r="T340" s="2">
        <f t="shared" si="325"/>
        <v>13</v>
      </c>
      <c r="U340" t="str">
        <f t="shared" si="326"/>
        <v>fire</v>
      </c>
      <c r="V340" t="s">
        <v>8</v>
      </c>
      <c r="W340" t="s">
        <v>22</v>
      </c>
      <c r="X340" t="s">
        <v>14</v>
      </c>
      <c r="Y340" t="str">
        <f t="shared" si="306"/>
        <v>Darmanitan</v>
      </c>
      <c r="Z340" s="2">
        <f t="shared" si="307"/>
        <v>9</v>
      </c>
      <c r="AA340" t="str">
        <f t="shared" si="224"/>
        <v>Darumaka</v>
      </c>
      <c r="AC340" t="s">
        <v>1108</v>
      </c>
      <c r="AD340" t="str">
        <f>VLOOKUP(AC340,moves!A:B,2,FALSE)</f>
        <v>normal</v>
      </c>
      <c r="AE340">
        <f>VLOOKUP(AC340,moves!A:D,4,FALSE)</f>
        <v>3</v>
      </c>
      <c r="AF340">
        <f>VLOOKUP(AC340,moves!A:F,5,FALSE)</f>
        <v>0</v>
      </c>
      <c r="AG340">
        <v>0</v>
      </c>
      <c r="AH340">
        <v>0</v>
      </c>
      <c r="AI340" t="str" cm="1">
        <f t="array" ref="AI340">_xlfn.IFS(AG340=1, "starter", AH340=1, "legendary",T340&lt; 13, "weak",T340&lt; 17, "moderate", TRUE, "strong")</f>
        <v>moderate</v>
      </c>
      <c r="AK340">
        <v>1</v>
      </c>
      <c r="AL340">
        <v>0</v>
      </c>
      <c r="AM340">
        <v>0</v>
      </c>
    </row>
    <row r="341" spans="1:39" x14ac:dyDescent="0.25">
      <c r="A341">
        <v>555</v>
      </c>
      <c r="B341" t="s">
        <v>1102</v>
      </c>
      <c r="C341" s="1" t="s">
        <v>4</v>
      </c>
      <c r="E341">
        <v>105</v>
      </c>
      <c r="F341">
        <v>140</v>
      </c>
      <c r="G341">
        <v>55</v>
      </c>
      <c r="H341">
        <v>30</v>
      </c>
      <c r="I341">
        <v>55</v>
      </c>
      <c r="J341">
        <v>95</v>
      </c>
      <c r="K341" t="s">
        <v>1104</v>
      </c>
      <c r="L341" t="s">
        <v>301</v>
      </c>
      <c r="M341" t="s">
        <v>302</v>
      </c>
      <c r="N341">
        <f t="shared" si="321"/>
        <v>11.1</v>
      </c>
      <c r="O341">
        <f t="shared" si="322"/>
        <v>7.5</v>
      </c>
      <c r="P341">
        <v>0</v>
      </c>
      <c r="Q341">
        <v>0</v>
      </c>
      <c r="R341" s="2">
        <f t="shared" si="323"/>
        <v>11</v>
      </c>
      <c r="S341" s="2">
        <f t="shared" si="324"/>
        <v>8</v>
      </c>
      <c r="T341" s="2">
        <f t="shared" si="325"/>
        <v>19</v>
      </c>
      <c r="U341" t="str">
        <f t="shared" si="326"/>
        <v>fire</v>
      </c>
      <c r="V341" t="s">
        <v>26</v>
      </c>
      <c r="W341" t="s">
        <v>22</v>
      </c>
      <c r="X341" t="s">
        <v>14</v>
      </c>
      <c r="Z341" s="2" t="str">
        <f t="shared" si="307"/>
        <v/>
      </c>
      <c r="AA341" t="str">
        <f t="shared" si="224"/>
        <v>Darmanitan</v>
      </c>
      <c r="AB341" t="s">
        <v>1106</v>
      </c>
      <c r="AC341" t="s">
        <v>1105</v>
      </c>
      <c r="AD341" t="str">
        <f>VLOOKUP(AC341,moves!A:B,2,FALSE)</f>
        <v>fire</v>
      </c>
      <c r="AE341">
        <f>VLOOKUP(AC341,moves!A:D,4,FALSE)</f>
        <v>6</v>
      </c>
      <c r="AF341" t="str">
        <f>VLOOKUP(AC341,moves!A:F,5,FALSE)</f>
        <v>transform</v>
      </c>
      <c r="AG341">
        <v>0</v>
      </c>
      <c r="AH341">
        <v>0</v>
      </c>
      <c r="AI341" t="str" cm="1">
        <f t="array" ref="AI341">_xlfn.IFS(AG341=1, "starter", AH341=1, "legendary",T341&lt; 13, "weak",T341&lt; 17, "moderate", TRUE, "strong")</f>
        <v>strong</v>
      </c>
      <c r="AK341">
        <v>2</v>
      </c>
      <c r="AL341">
        <v>0</v>
      </c>
      <c r="AM341">
        <v>1</v>
      </c>
    </row>
    <row r="342" spans="1:39" x14ac:dyDescent="0.25">
      <c r="A342" t="s">
        <v>1103</v>
      </c>
      <c r="B342" t="s">
        <v>1102</v>
      </c>
      <c r="C342" s="1" t="s">
        <v>4</v>
      </c>
      <c r="D342" s="1" t="s">
        <v>26</v>
      </c>
      <c r="E342">
        <v>105</v>
      </c>
      <c r="F342">
        <v>30</v>
      </c>
      <c r="G342">
        <v>105</v>
      </c>
      <c r="H342">
        <v>150</v>
      </c>
      <c r="I342">
        <v>105</v>
      </c>
      <c r="J342">
        <v>55</v>
      </c>
      <c r="K342" t="s">
        <v>1104</v>
      </c>
      <c r="L342" t="s">
        <v>301</v>
      </c>
      <c r="M342" t="s">
        <v>302</v>
      </c>
      <c r="N342">
        <f t="shared" si="321"/>
        <v>10</v>
      </c>
      <c r="O342">
        <f t="shared" si="322"/>
        <v>10.5</v>
      </c>
      <c r="P342">
        <v>1</v>
      </c>
      <c r="Q342">
        <v>-3</v>
      </c>
      <c r="R342" s="2">
        <f t="shared" si="323"/>
        <v>11</v>
      </c>
      <c r="S342" s="2">
        <f t="shared" si="324"/>
        <v>8</v>
      </c>
      <c r="T342" s="2">
        <f t="shared" si="325"/>
        <v>19</v>
      </c>
      <c r="U342" t="str">
        <f t="shared" si="326"/>
        <v>fire</v>
      </c>
      <c r="V342" t="s">
        <v>26</v>
      </c>
      <c r="W342" t="s">
        <v>22</v>
      </c>
      <c r="X342" t="s">
        <v>14</v>
      </c>
      <c r="Z342" s="2" t="str">
        <f t="shared" si="307"/>
        <v/>
      </c>
      <c r="AA342" t="s">
        <v>1110</v>
      </c>
      <c r="AB342" t="s">
        <v>1109</v>
      </c>
      <c r="AC342" t="s">
        <v>1107</v>
      </c>
      <c r="AD342" t="str">
        <f>VLOOKUP(AC342,moves!A:B,2,FALSE)</f>
        <v>psychic</v>
      </c>
      <c r="AE342">
        <f>VLOOKUP(AC342,moves!A:D,4,FALSE)</f>
        <v>1</v>
      </c>
      <c r="AF342" t="str">
        <f>VLOOKUP(AC342,moves!A:F,5,FALSE)</f>
        <v>transform</v>
      </c>
      <c r="AG342">
        <v>0</v>
      </c>
      <c r="AH342">
        <v>0</v>
      </c>
      <c r="AI342" t="str" cm="1">
        <f t="array" ref="AI342">_xlfn.IFS(AG342=1, "starter", AH342=1, "legendary",T342&lt; 13, "weak",T342&lt; 17, "moderate", TRUE, "strong")</f>
        <v>strong</v>
      </c>
      <c r="AK342">
        <v>2</v>
      </c>
      <c r="AL342">
        <v>0</v>
      </c>
      <c r="AM342">
        <v>2</v>
      </c>
    </row>
    <row r="343" spans="1:39" x14ac:dyDescent="0.25">
      <c r="A343">
        <v>877</v>
      </c>
      <c r="B343" t="s">
        <v>1119</v>
      </c>
      <c r="C343" s="1" t="s">
        <v>11</v>
      </c>
      <c r="D343" s="1" t="s">
        <v>9</v>
      </c>
      <c r="E343">
        <v>58</v>
      </c>
      <c r="F343">
        <v>95</v>
      </c>
      <c r="G343">
        <v>58</v>
      </c>
      <c r="H343">
        <v>70</v>
      </c>
      <c r="I343">
        <v>58</v>
      </c>
      <c r="J343">
        <v>97</v>
      </c>
      <c r="K343" t="s">
        <v>1120</v>
      </c>
      <c r="L343" t="s">
        <v>304</v>
      </c>
      <c r="M343" t="s">
        <v>299</v>
      </c>
      <c r="N343">
        <f t="shared" si="321"/>
        <v>9.3300000000000018</v>
      </c>
      <c r="O343">
        <f t="shared" si="322"/>
        <v>5.8</v>
      </c>
      <c r="P343">
        <v>0</v>
      </c>
      <c r="Q343">
        <v>0</v>
      </c>
      <c r="R343" s="2">
        <f t="shared" si="323"/>
        <v>9</v>
      </c>
      <c r="S343" s="2">
        <f t="shared" si="324"/>
        <v>6</v>
      </c>
      <c r="T343" s="2">
        <f t="shared" si="325"/>
        <v>15</v>
      </c>
      <c r="U343" t="str">
        <f t="shared" si="326"/>
        <v>electric</v>
      </c>
      <c r="V343" t="str">
        <f>IF(D343 = 0, "", D343)</f>
        <v>dark</v>
      </c>
      <c r="W343" t="s">
        <v>2</v>
      </c>
      <c r="X343" t="s">
        <v>22</v>
      </c>
      <c r="Z343" s="2" t="str">
        <f t="shared" si="307"/>
        <v/>
      </c>
      <c r="AA343" t="str">
        <f t="shared" si="224"/>
        <v>Morpeko</v>
      </c>
      <c r="AB343" t="s">
        <v>1124</v>
      </c>
      <c r="AC343" t="s">
        <v>1125</v>
      </c>
      <c r="AD343" t="str">
        <f>VLOOKUP(AC343,moves!A:B,2,FALSE)</f>
        <v>electric</v>
      </c>
      <c r="AE343">
        <f>VLOOKUP(AC343,moves!A:D,4,FALSE)</f>
        <v>3</v>
      </c>
      <c r="AF343" t="str">
        <f>VLOOKUP(AC343,moves!A:F,5,FALSE)</f>
        <v>transform</v>
      </c>
      <c r="AG343">
        <v>0</v>
      </c>
      <c r="AH343">
        <v>0</v>
      </c>
      <c r="AI343" t="str" cm="1">
        <f t="array" ref="AI343">_xlfn.IFS(AG343=1, "starter", AH343=1, "legendary",T343&lt; 13, "weak",T343&lt; 17, "moderate", TRUE, "strong")</f>
        <v>moderate</v>
      </c>
      <c r="AK343">
        <v>1</v>
      </c>
      <c r="AL343">
        <v>0</v>
      </c>
      <c r="AM343">
        <v>1</v>
      </c>
    </row>
    <row r="344" spans="1:39" x14ac:dyDescent="0.25">
      <c r="A344" t="s">
        <v>1121</v>
      </c>
      <c r="B344" t="s">
        <v>1119</v>
      </c>
      <c r="C344" s="1" t="s">
        <v>11</v>
      </c>
      <c r="D344" s="1" t="s">
        <v>9</v>
      </c>
      <c r="E344">
        <v>58</v>
      </c>
      <c r="F344">
        <v>95</v>
      </c>
      <c r="G344">
        <v>58</v>
      </c>
      <c r="H344">
        <v>70</v>
      </c>
      <c r="I344">
        <v>58</v>
      </c>
      <c r="J344">
        <v>97</v>
      </c>
      <c r="K344" t="s">
        <v>1120</v>
      </c>
      <c r="L344" t="s">
        <v>304</v>
      </c>
      <c r="M344" t="s">
        <v>299</v>
      </c>
      <c r="N344">
        <f t="shared" ref="N344:N347" si="327">(0.4*J344 + 0.5*MAX(F344,H344) + 0.1*MIN(F344,H344)) / 10</f>
        <v>9.3300000000000018</v>
      </c>
      <c r="O344">
        <f t="shared" ref="O344:O347" si="328">(0.4*E344 + 0.3*G344 + 0.3*I344) / 10</f>
        <v>5.8</v>
      </c>
      <c r="P344">
        <v>0</v>
      </c>
      <c r="Q344">
        <v>0</v>
      </c>
      <c r="R344" s="2">
        <f t="shared" ref="R344:R347" si="329">ROUND(N344,0)+P344</f>
        <v>9</v>
      </c>
      <c r="S344" s="2">
        <f t="shared" ref="S344:S347" si="330">ROUND(O344,0)+Q344</f>
        <v>6</v>
      </c>
      <c r="T344" s="2">
        <f t="shared" ref="T344:T347" si="331">SUM(ROUND(R344,0),ROUND(S344,0))</f>
        <v>15</v>
      </c>
      <c r="U344" t="str">
        <f t="shared" ref="U344:U345" si="332">C344</f>
        <v>electric</v>
      </c>
      <c r="V344" t="str">
        <f>IF(D344 = 0, "", D344)</f>
        <v>dark</v>
      </c>
      <c r="W344" t="s">
        <v>2</v>
      </c>
      <c r="X344" t="s">
        <v>22</v>
      </c>
      <c r="Z344" s="2" t="str">
        <f t="shared" si="307"/>
        <v/>
      </c>
      <c r="AA344" t="s">
        <v>1122</v>
      </c>
      <c r="AB344" t="s">
        <v>1123</v>
      </c>
      <c r="AC344" t="s">
        <v>1126</v>
      </c>
      <c r="AD344" t="str">
        <f>VLOOKUP(AC344,moves!A:B,2,FALSE)</f>
        <v>dark</v>
      </c>
      <c r="AE344">
        <f>VLOOKUP(AC344,moves!A:D,4,FALSE)</f>
        <v>3</v>
      </c>
      <c r="AF344" t="str">
        <f>VLOOKUP(AC344,moves!A:F,5,FALSE)</f>
        <v>transform</v>
      </c>
      <c r="AG344">
        <v>0</v>
      </c>
      <c r="AH344">
        <v>0</v>
      </c>
      <c r="AI344" t="str" cm="1">
        <f t="array" ref="AI344">_xlfn.IFS(AG344=1, "starter", AH344=1, "legendary",T344&lt; 13, "weak",T344&lt; 17, "moderate", TRUE, "strong")</f>
        <v>moderate</v>
      </c>
      <c r="AK344">
        <v>1</v>
      </c>
      <c r="AL344">
        <v>0</v>
      </c>
      <c r="AM344">
        <v>2</v>
      </c>
    </row>
    <row r="345" spans="1:39" x14ac:dyDescent="0.25">
      <c r="A345">
        <v>757</v>
      </c>
      <c r="B345" t="s">
        <v>1139</v>
      </c>
      <c r="C345" s="1" t="s">
        <v>3</v>
      </c>
      <c r="D345" s="1" t="s">
        <v>4</v>
      </c>
      <c r="E345">
        <v>48</v>
      </c>
      <c r="F345">
        <v>44</v>
      </c>
      <c r="G345">
        <v>40</v>
      </c>
      <c r="H345">
        <v>71</v>
      </c>
      <c r="I345">
        <v>40</v>
      </c>
      <c r="J345">
        <v>77</v>
      </c>
      <c r="K345" t="s">
        <v>1140</v>
      </c>
      <c r="L345" t="s">
        <v>304</v>
      </c>
      <c r="M345" t="s">
        <v>302</v>
      </c>
      <c r="N345">
        <f t="shared" si="327"/>
        <v>7.07</v>
      </c>
      <c r="O345">
        <f t="shared" si="328"/>
        <v>4.32</v>
      </c>
      <c r="P345">
        <v>0</v>
      </c>
      <c r="Q345">
        <v>0</v>
      </c>
      <c r="R345" s="2">
        <f t="shared" si="329"/>
        <v>7</v>
      </c>
      <c r="S345" s="2">
        <f t="shared" si="330"/>
        <v>4</v>
      </c>
      <c r="T345" s="2">
        <f t="shared" si="331"/>
        <v>11</v>
      </c>
      <c r="U345" t="str">
        <f t="shared" si="332"/>
        <v>poison</v>
      </c>
      <c r="V345" t="str">
        <f t="shared" si="302"/>
        <v>fire</v>
      </c>
      <c r="W345" t="s">
        <v>9</v>
      </c>
      <c r="X345" t="s">
        <v>67</v>
      </c>
      <c r="Y345" t="str">
        <f t="shared" ref="Y345:Y354" si="333">B346</f>
        <v>Salazzle</v>
      </c>
      <c r="Z345" s="2">
        <f t="shared" si="307"/>
        <v>7</v>
      </c>
      <c r="AA345" t="str">
        <f t="shared" si="224"/>
        <v>Salandit</v>
      </c>
      <c r="AC345" t="s">
        <v>756</v>
      </c>
      <c r="AD345" t="str">
        <f>VLOOKUP(AC345,moves!A:B,2,FALSE)</f>
        <v>poison</v>
      </c>
      <c r="AE345">
        <f>VLOOKUP(AC345,moves!A:D,4,FALSE)</f>
        <v>3</v>
      </c>
      <c r="AF345">
        <f>VLOOKUP(AC345,moves!A:F,5,FALSE)</f>
        <v>0</v>
      </c>
      <c r="AG345">
        <v>0</v>
      </c>
      <c r="AH345">
        <v>0</v>
      </c>
      <c r="AI345" t="str" cm="1">
        <f t="array" ref="AI345">_xlfn.IFS(AG345=1, "starter", AH345=1, "legendary",T345&lt; 13, "weak",T345&lt; 17, "moderate", TRUE, "strong")</f>
        <v>weak</v>
      </c>
      <c r="AK345">
        <v>1</v>
      </c>
      <c r="AL345">
        <v>0</v>
      </c>
      <c r="AM345">
        <v>0</v>
      </c>
    </row>
    <row r="346" spans="1:39" x14ac:dyDescent="0.25">
      <c r="A346">
        <v>758</v>
      </c>
      <c r="B346" t="s">
        <v>1141</v>
      </c>
      <c r="C346" s="1" t="s">
        <v>3</v>
      </c>
      <c r="D346" s="1" t="s">
        <v>4</v>
      </c>
      <c r="E346">
        <v>68</v>
      </c>
      <c r="F346">
        <v>64</v>
      </c>
      <c r="G346">
        <v>60</v>
      </c>
      <c r="H346">
        <v>111</v>
      </c>
      <c r="I346">
        <v>60</v>
      </c>
      <c r="J346">
        <v>117</v>
      </c>
      <c r="K346" t="s">
        <v>1140</v>
      </c>
      <c r="L346" t="s">
        <v>304</v>
      </c>
      <c r="M346" t="s">
        <v>302</v>
      </c>
      <c r="N346">
        <f t="shared" si="327"/>
        <v>10.870000000000001</v>
      </c>
      <c r="O346">
        <f t="shared" si="328"/>
        <v>6.32</v>
      </c>
      <c r="P346">
        <v>0</v>
      </c>
      <c r="Q346">
        <v>0</v>
      </c>
      <c r="R346" s="2">
        <f t="shared" si="329"/>
        <v>11</v>
      </c>
      <c r="S346" s="2">
        <f t="shared" si="330"/>
        <v>6</v>
      </c>
      <c r="T346" s="2">
        <f t="shared" si="331"/>
        <v>17</v>
      </c>
      <c r="U346" t="str">
        <f t="shared" ref="U346:U347" si="334">C346</f>
        <v>poison</v>
      </c>
      <c r="V346" t="str">
        <f t="shared" ref="V346:V347" si="335">IF(D346 = 0, "", D346)</f>
        <v>fire</v>
      </c>
      <c r="W346" t="s">
        <v>9</v>
      </c>
      <c r="X346" t="s">
        <v>67</v>
      </c>
      <c r="Z346" s="2" t="str">
        <f t="shared" si="307"/>
        <v/>
      </c>
      <c r="AA346" t="str">
        <f t="shared" si="224"/>
        <v>Salazzle</v>
      </c>
      <c r="AC346" t="s">
        <v>1138</v>
      </c>
      <c r="AD346" t="str">
        <f>VLOOKUP(AC346,moves!A:B,2,FALSE)</f>
        <v>fire</v>
      </c>
      <c r="AE346">
        <f>VLOOKUP(AC346,moves!A:D,4,FALSE)</f>
        <v>2</v>
      </c>
      <c r="AF346">
        <f>VLOOKUP(AC346,moves!A:F,5,FALSE)</f>
        <v>0</v>
      </c>
      <c r="AG346">
        <v>0</v>
      </c>
      <c r="AH346">
        <v>0</v>
      </c>
      <c r="AI346" t="str" cm="1">
        <f t="array" ref="AI346">_xlfn.IFS(AG346=1, "starter", AH346=1, "legendary",T346&lt; 13, "weak",T346&lt; 17, "moderate", TRUE, "strong")</f>
        <v>strong</v>
      </c>
      <c r="AK346">
        <v>2</v>
      </c>
      <c r="AL346">
        <v>0</v>
      </c>
      <c r="AM346">
        <v>0</v>
      </c>
    </row>
    <row r="347" spans="1:39" x14ac:dyDescent="0.25">
      <c r="A347">
        <v>633</v>
      </c>
      <c r="B347" t="s">
        <v>1164</v>
      </c>
      <c r="C347" s="1" t="s">
        <v>9</v>
      </c>
      <c r="D347" s="1" t="s">
        <v>67</v>
      </c>
      <c r="E347">
        <v>52</v>
      </c>
      <c r="F347">
        <v>65</v>
      </c>
      <c r="G347">
        <v>50</v>
      </c>
      <c r="H347">
        <v>45</v>
      </c>
      <c r="I347">
        <v>50</v>
      </c>
      <c r="J347">
        <v>38</v>
      </c>
      <c r="K347" t="s">
        <v>1165</v>
      </c>
      <c r="L347" t="s">
        <v>304</v>
      </c>
      <c r="M347" t="s">
        <v>299</v>
      </c>
      <c r="N347">
        <f t="shared" si="327"/>
        <v>5.2200000000000006</v>
      </c>
      <c r="O347">
        <f t="shared" si="328"/>
        <v>5.08</v>
      </c>
      <c r="P347">
        <v>0</v>
      </c>
      <c r="Q347">
        <v>0</v>
      </c>
      <c r="R347" s="2">
        <f t="shared" si="329"/>
        <v>5</v>
      </c>
      <c r="S347" s="2">
        <f t="shared" si="330"/>
        <v>5</v>
      </c>
      <c r="T347" s="2">
        <f t="shared" si="331"/>
        <v>10</v>
      </c>
      <c r="U347" t="str">
        <f t="shared" si="334"/>
        <v>dark</v>
      </c>
      <c r="V347" t="str">
        <f t="shared" si="335"/>
        <v>dragon</v>
      </c>
      <c r="W347" t="s">
        <v>4</v>
      </c>
      <c r="X347" t="s">
        <v>22</v>
      </c>
      <c r="Y347" t="str">
        <f t="shared" si="333"/>
        <v>Zweilous</v>
      </c>
      <c r="Z347" s="2">
        <f t="shared" si="307"/>
        <v>4</v>
      </c>
      <c r="AA347" t="str">
        <f t="shared" si="224"/>
        <v>Deino</v>
      </c>
      <c r="AC347" t="s">
        <v>1168</v>
      </c>
      <c r="AD347" t="str">
        <f>VLOOKUP(AC347,moves!A:B,2,FALSE)</f>
        <v>dragon</v>
      </c>
      <c r="AE347">
        <f>VLOOKUP(AC347,moves!A:D,4,FALSE)</f>
        <v>3</v>
      </c>
      <c r="AF347">
        <f>VLOOKUP(AC347,moves!A:F,5,FALSE)</f>
        <v>0</v>
      </c>
      <c r="AG347">
        <v>0</v>
      </c>
      <c r="AH347">
        <v>0</v>
      </c>
      <c r="AI347" t="str" cm="1">
        <f t="array" ref="AI347">_xlfn.IFS(AG347=1, "starter", AH347=1, "legendary",T347&lt; 13, "weak",T347&lt; 17, "moderate", TRUE, "strong")</f>
        <v>weak</v>
      </c>
      <c r="AK347">
        <v>1</v>
      </c>
      <c r="AL347">
        <v>0</v>
      </c>
      <c r="AM347">
        <v>0</v>
      </c>
    </row>
    <row r="348" spans="1:39" x14ac:dyDescent="0.25">
      <c r="A348">
        <v>634</v>
      </c>
      <c r="B348" t="s">
        <v>1169</v>
      </c>
      <c r="C348" s="1" t="s">
        <v>9</v>
      </c>
      <c r="D348" s="1" t="s">
        <v>67</v>
      </c>
      <c r="E348">
        <v>72</v>
      </c>
      <c r="F348">
        <v>85</v>
      </c>
      <c r="G348">
        <v>70</v>
      </c>
      <c r="H348">
        <v>65</v>
      </c>
      <c r="I348">
        <v>70</v>
      </c>
      <c r="J348">
        <v>58</v>
      </c>
      <c r="K348" t="s">
        <v>641</v>
      </c>
      <c r="L348" t="s">
        <v>304</v>
      </c>
      <c r="M348" t="s">
        <v>299</v>
      </c>
      <c r="N348">
        <f t="shared" ref="N348:N354" si="336">(0.4*J348 + 0.5*MAX(F348,H348) + 0.1*MIN(F348,H348)) / 10</f>
        <v>7.2200000000000006</v>
      </c>
      <c r="O348">
        <f t="shared" ref="O348:O354" si="337">(0.4*E348 + 0.3*G348 + 0.3*I348) / 10</f>
        <v>7.08</v>
      </c>
      <c r="P348">
        <v>0</v>
      </c>
      <c r="Q348">
        <v>0</v>
      </c>
      <c r="R348" s="2">
        <f t="shared" ref="R348:R354" si="338">ROUND(N348,0)+P348</f>
        <v>7</v>
      </c>
      <c r="S348" s="2">
        <f t="shared" ref="S348:S354" si="339">ROUND(O348,0)+Q348</f>
        <v>7</v>
      </c>
      <c r="T348" s="2">
        <f t="shared" ref="T348:T354" si="340">SUM(ROUND(R348,0),ROUND(S348,0))</f>
        <v>14</v>
      </c>
      <c r="U348" t="str">
        <f t="shared" ref="U348:U354" si="341">C348</f>
        <v>dark</v>
      </c>
      <c r="V348" t="str">
        <f t="shared" ref="V348:V353" si="342">IF(D348 = 0, "", D348)</f>
        <v>dragon</v>
      </c>
      <c r="W348" t="s">
        <v>4</v>
      </c>
      <c r="X348" t="s">
        <v>22</v>
      </c>
      <c r="Y348" t="str">
        <f t="shared" si="333"/>
        <v>Hydreigon</v>
      </c>
      <c r="Z348" s="2">
        <f t="shared" si="307"/>
        <v>9</v>
      </c>
      <c r="AA348" t="str">
        <f t="shared" si="224"/>
        <v>Zweilous</v>
      </c>
      <c r="AC348" t="s">
        <v>505</v>
      </c>
      <c r="AD348" t="str">
        <f>VLOOKUP(AC348,moves!A:B,2,FALSE)</f>
        <v>dark</v>
      </c>
      <c r="AE348">
        <f>VLOOKUP(AC348,moves!A:D,4,FALSE)</f>
        <v>4</v>
      </c>
      <c r="AF348">
        <f>VLOOKUP(AC348,moves!A:F,5,FALSE)</f>
        <v>0</v>
      </c>
      <c r="AG348">
        <v>0</v>
      </c>
      <c r="AH348">
        <v>0</v>
      </c>
      <c r="AI348" t="str" cm="1">
        <f t="array" ref="AI348">_xlfn.IFS(AG348=1, "starter", AH348=1, "legendary",T348&lt; 13, "weak",T348&lt; 17, "moderate", TRUE, "strong")</f>
        <v>moderate</v>
      </c>
      <c r="AK348">
        <v>2</v>
      </c>
      <c r="AL348">
        <v>0</v>
      </c>
      <c r="AM348">
        <v>0</v>
      </c>
    </row>
    <row r="349" spans="1:39" x14ac:dyDescent="0.25">
      <c r="A349">
        <v>635</v>
      </c>
      <c r="B349" t="s">
        <v>1170</v>
      </c>
      <c r="C349" s="1" t="s">
        <v>9</v>
      </c>
      <c r="D349" s="1" t="s">
        <v>67</v>
      </c>
      <c r="E349">
        <v>92</v>
      </c>
      <c r="F349">
        <v>105</v>
      </c>
      <c r="G349">
        <v>90</v>
      </c>
      <c r="H349">
        <v>125</v>
      </c>
      <c r="I349">
        <v>90</v>
      </c>
      <c r="J349">
        <v>98</v>
      </c>
      <c r="K349" t="s">
        <v>1166</v>
      </c>
      <c r="L349" t="s">
        <v>304</v>
      </c>
      <c r="M349" t="s">
        <v>299</v>
      </c>
      <c r="N349">
        <f t="shared" si="336"/>
        <v>11.22</v>
      </c>
      <c r="O349">
        <f t="shared" si="337"/>
        <v>9.0800000000000018</v>
      </c>
      <c r="P349">
        <v>0</v>
      </c>
      <c r="Q349">
        <v>0</v>
      </c>
      <c r="R349" s="2">
        <f t="shared" si="338"/>
        <v>11</v>
      </c>
      <c r="S349" s="2">
        <f t="shared" si="339"/>
        <v>9</v>
      </c>
      <c r="T349" s="2">
        <f t="shared" si="340"/>
        <v>20</v>
      </c>
      <c r="U349" t="str">
        <f t="shared" si="341"/>
        <v>dark</v>
      </c>
      <c r="V349" t="str">
        <f t="shared" si="342"/>
        <v>dragon</v>
      </c>
      <c r="W349" t="s">
        <v>4</v>
      </c>
      <c r="X349" t="s">
        <v>22</v>
      </c>
      <c r="Z349" s="2" t="str">
        <f t="shared" si="307"/>
        <v/>
      </c>
      <c r="AA349" t="str">
        <f t="shared" si="224"/>
        <v>Hydreigon</v>
      </c>
      <c r="AC349" t="s">
        <v>1167</v>
      </c>
      <c r="AD349" t="str">
        <f>VLOOKUP(AC349,moves!A:B,2,FALSE)</f>
        <v>dragon</v>
      </c>
      <c r="AE349">
        <f>VLOOKUP(AC349,moves!A:D,4,FALSE)</f>
        <v>5</v>
      </c>
      <c r="AF349">
        <f>VLOOKUP(AC349,moves!A:F,5,FALSE)</f>
        <v>0</v>
      </c>
      <c r="AG349">
        <v>0</v>
      </c>
      <c r="AH349">
        <v>0</v>
      </c>
      <c r="AI349" t="str" cm="1">
        <f t="array" ref="AI349">_xlfn.IFS(AG349=1, "starter", AH349=1, "legendary",T349&lt; 13, "weak",T349&lt; 17, "moderate", TRUE, "strong")</f>
        <v>strong</v>
      </c>
      <c r="AK349">
        <v>3</v>
      </c>
      <c r="AL349">
        <v>0</v>
      </c>
      <c r="AM349">
        <v>0</v>
      </c>
    </row>
    <row r="350" spans="1:39" x14ac:dyDescent="0.25">
      <c r="A350">
        <v>636</v>
      </c>
      <c r="B350" t="s">
        <v>1197</v>
      </c>
      <c r="C350" s="1" t="s">
        <v>7</v>
      </c>
      <c r="D350" s="1" t="s">
        <v>4</v>
      </c>
      <c r="E350">
        <v>55</v>
      </c>
      <c r="F350">
        <v>85</v>
      </c>
      <c r="G350">
        <v>55</v>
      </c>
      <c r="H350">
        <v>50</v>
      </c>
      <c r="I350">
        <v>55</v>
      </c>
      <c r="J350">
        <v>60</v>
      </c>
      <c r="K350" t="s">
        <v>1198</v>
      </c>
      <c r="L350" t="s">
        <v>298</v>
      </c>
      <c r="M350" t="s">
        <v>299</v>
      </c>
      <c r="N350">
        <f t="shared" si="336"/>
        <v>7.15</v>
      </c>
      <c r="O350">
        <f t="shared" si="337"/>
        <v>5.5</v>
      </c>
      <c r="P350">
        <v>0</v>
      </c>
      <c r="Q350">
        <v>-1</v>
      </c>
      <c r="R350" s="2">
        <f t="shared" si="338"/>
        <v>7</v>
      </c>
      <c r="S350" s="2">
        <f t="shared" si="339"/>
        <v>5</v>
      </c>
      <c r="T350" s="2">
        <f t="shared" si="340"/>
        <v>12</v>
      </c>
      <c r="U350" t="str">
        <f t="shared" si="341"/>
        <v>bug</v>
      </c>
      <c r="V350" t="str">
        <f t="shared" si="342"/>
        <v>fire</v>
      </c>
      <c r="W350" t="s">
        <v>8</v>
      </c>
      <c r="X350" t="s">
        <v>26</v>
      </c>
      <c r="Y350" t="str">
        <f t="shared" si="333"/>
        <v>Volcarona</v>
      </c>
      <c r="Z350" s="2">
        <f t="shared" si="307"/>
        <v>11</v>
      </c>
      <c r="AA350" t="str">
        <f t="shared" si="224"/>
        <v>Larvesta</v>
      </c>
      <c r="AC350" t="s">
        <v>858</v>
      </c>
      <c r="AD350" t="str">
        <f>VLOOKUP(AC350,moves!A:B,2,FALSE)</f>
        <v>bug</v>
      </c>
      <c r="AE350">
        <f>VLOOKUP(AC350,moves!A:D,4,FALSE)</f>
        <v>2</v>
      </c>
      <c r="AF350">
        <f>VLOOKUP(AC350,moves!A:F,5,FALSE)</f>
        <v>0</v>
      </c>
      <c r="AG350">
        <v>0</v>
      </c>
      <c r="AH350">
        <v>0</v>
      </c>
      <c r="AI350" t="str" cm="1">
        <f t="array" ref="AI350">_xlfn.IFS(AG350=1, "starter", AH350=1, "legendary",T350&lt; 13, "weak",T350&lt; 17, "moderate", TRUE, "strong")</f>
        <v>weak</v>
      </c>
      <c r="AK350">
        <v>1</v>
      </c>
      <c r="AL350">
        <v>0</v>
      </c>
      <c r="AM350">
        <v>0</v>
      </c>
    </row>
    <row r="351" spans="1:39" x14ac:dyDescent="0.25">
      <c r="A351">
        <v>637</v>
      </c>
      <c r="B351" t="s">
        <v>1199</v>
      </c>
      <c r="C351" s="1" t="s">
        <v>7</v>
      </c>
      <c r="D351" s="1" t="s">
        <v>4</v>
      </c>
      <c r="E351">
        <v>85</v>
      </c>
      <c r="F351">
        <v>60</v>
      </c>
      <c r="G351">
        <v>65</v>
      </c>
      <c r="H351">
        <v>135</v>
      </c>
      <c r="I351">
        <v>105</v>
      </c>
      <c r="J351">
        <v>100</v>
      </c>
      <c r="K351" t="s">
        <v>408</v>
      </c>
      <c r="L351" t="s">
        <v>298</v>
      </c>
      <c r="M351" t="s">
        <v>299</v>
      </c>
      <c r="N351">
        <f t="shared" si="336"/>
        <v>11.35</v>
      </c>
      <c r="O351">
        <f t="shared" si="337"/>
        <v>8.5</v>
      </c>
      <c r="P351">
        <v>0</v>
      </c>
      <c r="Q351">
        <v>0</v>
      </c>
      <c r="R351" s="2">
        <f t="shared" si="338"/>
        <v>11</v>
      </c>
      <c r="S351" s="2">
        <f t="shared" si="339"/>
        <v>9</v>
      </c>
      <c r="T351" s="2">
        <f t="shared" si="340"/>
        <v>20</v>
      </c>
      <c r="U351" t="str">
        <f t="shared" si="341"/>
        <v>bug</v>
      </c>
      <c r="V351" t="str">
        <f t="shared" si="342"/>
        <v>fire</v>
      </c>
      <c r="W351" t="s">
        <v>8</v>
      </c>
      <c r="X351" t="s">
        <v>26</v>
      </c>
      <c r="Z351" s="2" t="str">
        <f t="shared" si="307"/>
        <v/>
      </c>
      <c r="AA351" t="str">
        <f t="shared" si="224"/>
        <v>Volcarona</v>
      </c>
      <c r="AC351" t="s">
        <v>1200</v>
      </c>
      <c r="AD351" t="str">
        <f>VLOOKUP(AC351,moves!A:B,2,FALSE)</f>
        <v>fire</v>
      </c>
      <c r="AE351">
        <f>VLOOKUP(AC351,moves!A:D,4,FALSE)</f>
        <v>4</v>
      </c>
      <c r="AF351" t="str">
        <f>VLOOKUP(AC351,moves!A:F,5,FALSE)</f>
        <v>boost</v>
      </c>
      <c r="AG351">
        <v>0</v>
      </c>
      <c r="AH351">
        <v>0</v>
      </c>
      <c r="AI351" t="str" cm="1">
        <f t="array" ref="AI351">_xlfn.IFS(AG351=1, "starter", AH351=1, "legendary",T351&lt; 13, "weak",T351&lt; 17, "moderate", TRUE, "strong")</f>
        <v>strong</v>
      </c>
      <c r="AK351">
        <v>2</v>
      </c>
      <c r="AL351">
        <v>0</v>
      </c>
      <c r="AM351">
        <v>0</v>
      </c>
    </row>
    <row r="352" spans="1:39" x14ac:dyDescent="0.25">
      <c r="A352">
        <v>707</v>
      </c>
      <c r="B352" t="s">
        <v>1209</v>
      </c>
      <c r="C352" s="1" t="s">
        <v>39</v>
      </c>
      <c r="D352" s="1" t="s">
        <v>16</v>
      </c>
      <c r="E352">
        <v>57</v>
      </c>
      <c r="F352">
        <v>80</v>
      </c>
      <c r="G352">
        <v>91</v>
      </c>
      <c r="H352">
        <v>80</v>
      </c>
      <c r="I352">
        <v>87</v>
      </c>
      <c r="J352">
        <v>75</v>
      </c>
      <c r="K352" t="s">
        <v>1210</v>
      </c>
      <c r="L352" t="s">
        <v>298</v>
      </c>
      <c r="M352" t="s">
        <v>299</v>
      </c>
      <c r="N352">
        <f t="shared" si="336"/>
        <v>7.8</v>
      </c>
      <c r="O352">
        <f t="shared" si="337"/>
        <v>7.62</v>
      </c>
      <c r="P352">
        <v>0</v>
      </c>
      <c r="Q352">
        <v>0</v>
      </c>
      <c r="R352" s="2">
        <f t="shared" si="338"/>
        <v>8</v>
      </c>
      <c r="S352" s="2">
        <f t="shared" si="339"/>
        <v>8</v>
      </c>
      <c r="T352" s="2">
        <f t="shared" si="340"/>
        <v>16</v>
      </c>
      <c r="U352" t="str">
        <f t="shared" si="341"/>
        <v>steel</v>
      </c>
      <c r="V352" t="str">
        <f t="shared" si="342"/>
        <v>fairy</v>
      </c>
      <c r="W352" t="s">
        <v>26</v>
      </c>
      <c r="X352" t="s">
        <v>9</v>
      </c>
      <c r="Z352" s="2" t="str">
        <f t="shared" si="307"/>
        <v/>
      </c>
      <c r="AA352" t="str">
        <f t="shared" si="224"/>
        <v>Klefki</v>
      </c>
      <c r="AC352" t="s">
        <v>1211</v>
      </c>
      <c r="AD352" t="str">
        <f>VLOOKUP(AC352,moves!A:B,2,FALSE)</f>
        <v>fairy</v>
      </c>
      <c r="AE352">
        <f>VLOOKUP(AC352,moves!A:D,4,FALSE)</f>
        <v>3</v>
      </c>
      <c r="AF352" t="str">
        <f>VLOOKUP(AC352,moves!A:F,5,FALSE)</f>
        <v>trap</v>
      </c>
      <c r="AG352">
        <v>0</v>
      </c>
      <c r="AH352">
        <v>0</v>
      </c>
      <c r="AI352" t="str" cm="1">
        <f t="array" ref="AI352">_xlfn.IFS(AG352=1, "starter", AH352=1, "legendary",T352&lt; 13, "weak",T352&lt; 17, "moderate", TRUE, "strong")</f>
        <v>moderate</v>
      </c>
      <c r="AK352">
        <v>1</v>
      </c>
      <c r="AL352">
        <v>0</v>
      </c>
      <c r="AM352">
        <v>0</v>
      </c>
    </row>
    <row r="353" spans="1:39" x14ac:dyDescent="0.25">
      <c r="A353">
        <v>703</v>
      </c>
      <c r="B353" t="s">
        <v>1236</v>
      </c>
      <c r="C353" s="1" t="s">
        <v>33</v>
      </c>
      <c r="D353" s="1" t="s">
        <v>16</v>
      </c>
      <c r="E353">
        <v>50</v>
      </c>
      <c r="F353">
        <v>50</v>
      </c>
      <c r="G353">
        <v>150</v>
      </c>
      <c r="H353">
        <v>50</v>
      </c>
      <c r="I353">
        <v>150</v>
      </c>
      <c r="J353">
        <v>50</v>
      </c>
      <c r="K353" t="s">
        <v>1237</v>
      </c>
      <c r="M353" t="s">
        <v>551</v>
      </c>
      <c r="N353">
        <f t="shared" si="336"/>
        <v>5</v>
      </c>
      <c r="O353">
        <f t="shared" si="337"/>
        <v>11</v>
      </c>
      <c r="P353">
        <v>0</v>
      </c>
      <c r="Q353">
        <v>0</v>
      </c>
      <c r="R353" s="2">
        <f t="shared" si="338"/>
        <v>5</v>
      </c>
      <c r="S353" s="2">
        <f t="shared" si="339"/>
        <v>11</v>
      </c>
      <c r="T353" s="2">
        <f t="shared" si="340"/>
        <v>16</v>
      </c>
      <c r="U353" t="str">
        <f t="shared" si="341"/>
        <v>rock</v>
      </c>
      <c r="V353" t="str">
        <f t="shared" si="342"/>
        <v>fairy</v>
      </c>
      <c r="W353" t="s">
        <v>26</v>
      </c>
      <c r="X353" t="s">
        <v>13</v>
      </c>
      <c r="Z353" s="2" t="str">
        <f t="shared" si="307"/>
        <v/>
      </c>
      <c r="AA353" t="str">
        <f t="shared" si="224"/>
        <v>Carbink</v>
      </c>
      <c r="AC353" t="s">
        <v>1238</v>
      </c>
      <c r="AD353" t="str">
        <f>VLOOKUP(AC353,moves!A:B,2,FALSE)</f>
        <v>rock</v>
      </c>
      <c r="AE353">
        <f>VLOOKUP(AC353,moves!A:D,4,FALSE)</f>
        <v>4</v>
      </c>
      <c r="AF353">
        <f>VLOOKUP(AC353,moves!A:F,5,FALSE)</f>
        <v>0</v>
      </c>
      <c r="AG353">
        <v>0</v>
      </c>
      <c r="AH353">
        <v>0</v>
      </c>
      <c r="AI353" t="str" cm="1">
        <f t="array" ref="AI353">_xlfn.IFS(AG353=1, "starter", AH353=1, "legendary",T353&lt; 13, "weak",T353&lt; 17, "moderate", TRUE, "strong")</f>
        <v>moderate</v>
      </c>
      <c r="AK353">
        <v>1</v>
      </c>
      <c r="AL353">
        <v>0</v>
      </c>
      <c r="AM353">
        <v>0</v>
      </c>
    </row>
    <row r="354" spans="1:39" x14ac:dyDescent="0.25">
      <c r="A354">
        <v>104</v>
      </c>
      <c r="B354" t="s">
        <v>1242</v>
      </c>
      <c r="C354" s="1" t="s">
        <v>13</v>
      </c>
      <c r="E354">
        <v>50</v>
      </c>
      <c r="F354">
        <v>50</v>
      </c>
      <c r="G354">
        <v>95</v>
      </c>
      <c r="H354">
        <v>40</v>
      </c>
      <c r="I354">
        <v>50</v>
      </c>
      <c r="J354">
        <v>35</v>
      </c>
      <c r="K354" t="s">
        <v>1243</v>
      </c>
      <c r="L354" t="s">
        <v>304</v>
      </c>
      <c r="M354" t="s">
        <v>299</v>
      </c>
      <c r="N354">
        <f t="shared" si="336"/>
        <v>4.3</v>
      </c>
      <c r="O354">
        <f t="shared" si="337"/>
        <v>6.35</v>
      </c>
      <c r="P354">
        <v>0</v>
      </c>
      <c r="Q354">
        <v>0</v>
      </c>
      <c r="R354" s="2">
        <f t="shared" si="338"/>
        <v>4</v>
      </c>
      <c r="S354" s="2">
        <f t="shared" si="339"/>
        <v>6</v>
      </c>
      <c r="T354" s="2">
        <f t="shared" si="340"/>
        <v>10</v>
      </c>
      <c r="U354" t="str">
        <f t="shared" si="341"/>
        <v>ground</v>
      </c>
      <c r="V354" t="s">
        <v>8</v>
      </c>
      <c r="W354" t="s">
        <v>33</v>
      </c>
      <c r="X354" t="s">
        <v>22</v>
      </c>
      <c r="Y354" t="str">
        <f t="shared" si="333"/>
        <v>Marowak</v>
      </c>
      <c r="Z354" s="2">
        <f t="shared" si="307"/>
        <v>6</v>
      </c>
      <c r="AA354" t="str">
        <f t="shared" si="224"/>
        <v>Cubone</v>
      </c>
      <c r="AC354" t="s">
        <v>1244</v>
      </c>
      <c r="AD354" t="str">
        <f>VLOOKUP(AC354,moves!A:B,2,FALSE)</f>
        <v>ground</v>
      </c>
      <c r="AE354">
        <f>VLOOKUP(AC354,moves!A:D,4,FALSE)</f>
        <v>5</v>
      </c>
      <c r="AF354">
        <f>VLOOKUP(AC354,moves!A:F,5,FALSE)</f>
        <v>0</v>
      </c>
      <c r="AG354">
        <v>0</v>
      </c>
      <c r="AH354">
        <v>0</v>
      </c>
      <c r="AI354" t="str" cm="1">
        <f t="array" ref="AI354">_xlfn.IFS(AG354=1, "starter", AH354=1, "legendary",T354&lt; 13, "weak",T354&lt; 17, "moderate", TRUE, "strong")</f>
        <v>weak</v>
      </c>
      <c r="AK354">
        <v>1</v>
      </c>
      <c r="AL354">
        <v>0</v>
      </c>
      <c r="AM354">
        <v>0</v>
      </c>
    </row>
    <row r="355" spans="1:39" x14ac:dyDescent="0.25">
      <c r="A355">
        <v>105</v>
      </c>
      <c r="B355" t="s">
        <v>1245</v>
      </c>
      <c r="C355" s="1" t="s">
        <v>13</v>
      </c>
      <c r="E355">
        <v>60</v>
      </c>
      <c r="F355">
        <v>80</v>
      </c>
      <c r="G355">
        <v>110</v>
      </c>
      <c r="H355">
        <v>50</v>
      </c>
      <c r="I355">
        <v>80</v>
      </c>
      <c r="J355">
        <v>45</v>
      </c>
      <c r="K355" t="s">
        <v>1246</v>
      </c>
      <c r="L355" t="s">
        <v>304</v>
      </c>
      <c r="M355" t="s">
        <v>299</v>
      </c>
      <c r="N355">
        <f t="shared" ref="N355:N356" si="343">(0.4*J355 + 0.5*MAX(F355,H355) + 0.1*MIN(F355,H355)) / 10</f>
        <v>6.3</v>
      </c>
      <c r="O355">
        <f t="shared" ref="O355:O356" si="344">(0.4*E355 + 0.3*G355 + 0.3*I355) / 10</f>
        <v>8.1</v>
      </c>
      <c r="P355">
        <v>0</v>
      </c>
      <c r="Q355">
        <v>2</v>
      </c>
      <c r="R355" s="2">
        <f t="shared" ref="R355" si="345">ROUND(N355,0)+P355</f>
        <v>6</v>
      </c>
      <c r="S355" s="2">
        <f t="shared" ref="S355" si="346">ROUND(O355,0)+Q355</f>
        <v>10</v>
      </c>
      <c r="T355" s="2">
        <f t="shared" ref="T355" si="347">SUM(ROUND(R355,0),ROUND(S355,0))</f>
        <v>16</v>
      </c>
      <c r="U355" t="str">
        <f t="shared" ref="U355" si="348">C355</f>
        <v>ground</v>
      </c>
      <c r="V355" t="s">
        <v>8</v>
      </c>
      <c r="W355" t="s">
        <v>33</v>
      </c>
      <c r="X355" t="s">
        <v>22</v>
      </c>
      <c r="Z355" s="2" t="str">
        <f t="shared" si="307"/>
        <v/>
      </c>
      <c r="AA355" t="str">
        <f t="shared" ref="AA355" si="349">B355</f>
        <v>Marowak</v>
      </c>
      <c r="AC355" t="s">
        <v>1247</v>
      </c>
      <c r="AD355" t="str">
        <f>VLOOKUP(AC355,moves!A:B,2,FALSE)</f>
        <v>ground</v>
      </c>
      <c r="AE355">
        <f>VLOOKUP(AC355,moves!A:D,4,FALSE)</f>
        <v>3</v>
      </c>
      <c r="AF355">
        <f>VLOOKUP(AC355,moves!A:F,5,FALSE)</f>
        <v>0</v>
      </c>
      <c r="AG355">
        <v>0</v>
      </c>
      <c r="AH355">
        <v>0</v>
      </c>
      <c r="AI355" t="str" cm="1">
        <f t="array" ref="AI355">_xlfn.IFS(AG355=1, "starter", AH355=1, "legendary",T355&lt; 13, "weak",T355&lt; 17, "moderate", TRUE, "strong")</f>
        <v>moderate</v>
      </c>
      <c r="AK355">
        <v>2</v>
      </c>
      <c r="AL355">
        <v>0</v>
      </c>
      <c r="AM355">
        <v>0</v>
      </c>
    </row>
    <row r="356" spans="1:39" x14ac:dyDescent="0.25">
      <c r="A356">
        <v>374</v>
      </c>
      <c r="B356" t="s">
        <v>1391</v>
      </c>
      <c r="C356" s="1" t="s">
        <v>39</v>
      </c>
      <c r="D356" s="1" t="s">
        <v>26</v>
      </c>
      <c r="E356">
        <v>40</v>
      </c>
      <c r="F356">
        <v>55</v>
      </c>
      <c r="G356">
        <v>80</v>
      </c>
      <c r="H356">
        <v>35</v>
      </c>
      <c r="I356">
        <v>60</v>
      </c>
      <c r="J356">
        <v>30</v>
      </c>
      <c r="K356" t="s">
        <v>1392</v>
      </c>
      <c r="M356" t="s">
        <v>551</v>
      </c>
      <c r="N356">
        <f t="shared" si="343"/>
        <v>4.3</v>
      </c>
      <c r="O356">
        <f t="shared" si="344"/>
        <v>5.8</v>
      </c>
      <c r="P356">
        <v>0</v>
      </c>
      <c r="Q356">
        <v>0</v>
      </c>
      <c r="R356" s="2">
        <f t="shared" ref="R356" si="350">ROUND(N356,0)+P356</f>
        <v>4</v>
      </c>
      <c r="S356" s="2">
        <f t="shared" ref="S356" si="351">ROUND(O356,0)+Q356</f>
        <v>6</v>
      </c>
      <c r="T356" s="2">
        <f t="shared" ref="T356" si="352">SUM(ROUND(R356,0),ROUND(S356,0))</f>
        <v>10</v>
      </c>
      <c r="U356" t="str">
        <f t="shared" ref="U356" si="353">C356</f>
        <v>steel</v>
      </c>
      <c r="V356" t="str">
        <f t="shared" si="302"/>
        <v>psychic</v>
      </c>
      <c r="W356" t="s">
        <v>8</v>
      </c>
      <c r="X356" t="s">
        <v>13</v>
      </c>
      <c r="Y356" t="s">
        <v>1394</v>
      </c>
      <c r="Z356" s="2">
        <f t="shared" si="307"/>
        <v>4</v>
      </c>
      <c r="AA356" t="str">
        <f t="shared" ref="AA356" si="354">B356</f>
        <v>Beldum</v>
      </c>
      <c r="AC356" t="s">
        <v>511</v>
      </c>
      <c r="AD356" t="str">
        <f>VLOOKUP(AC356,moves!A:B,2,FALSE)</f>
        <v>normal</v>
      </c>
      <c r="AE356">
        <f>VLOOKUP(AC356,moves!A:D,4,FALSE)</f>
        <v>2</v>
      </c>
      <c r="AF356">
        <f>VLOOKUP(AC356,moves!A:F,5,FALSE)</f>
        <v>0</v>
      </c>
      <c r="AG356">
        <v>0</v>
      </c>
      <c r="AH356">
        <v>0</v>
      </c>
      <c r="AI356" t="str" cm="1">
        <f t="array" ref="AI356">_xlfn.IFS(AG356=1, "starter", AH356=1, "legendary",T356&lt; 13, "weak",T356&lt; 17, "moderate", TRUE, "strong")</f>
        <v>weak</v>
      </c>
      <c r="AK356">
        <v>1</v>
      </c>
      <c r="AL356">
        <v>0</v>
      </c>
      <c r="AM356">
        <v>0</v>
      </c>
    </row>
    <row r="357" spans="1:39" x14ac:dyDescent="0.25">
      <c r="A357">
        <v>375</v>
      </c>
      <c r="B357" t="s">
        <v>1394</v>
      </c>
      <c r="C357" s="1" t="s">
        <v>39</v>
      </c>
      <c r="D357" s="1" t="s">
        <v>26</v>
      </c>
      <c r="E357">
        <v>60</v>
      </c>
      <c r="F357">
        <v>75</v>
      </c>
      <c r="G357">
        <v>100</v>
      </c>
      <c r="H357">
        <v>55</v>
      </c>
      <c r="I357">
        <v>80</v>
      </c>
      <c r="J357">
        <v>50</v>
      </c>
      <c r="K357" t="s">
        <v>1393</v>
      </c>
      <c r="M357" t="s">
        <v>551</v>
      </c>
      <c r="N357">
        <f t="shared" ref="N357:N358" si="355">(0.4*J357 + 0.5*MAX(F357,H357) + 0.1*MIN(F357,H357)) / 10</f>
        <v>6.3</v>
      </c>
      <c r="O357">
        <f t="shared" ref="O357:O358" si="356">(0.4*E357 + 0.3*G357 + 0.3*I357) / 10</f>
        <v>7.8</v>
      </c>
      <c r="P357">
        <v>0</v>
      </c>
      <c r="Q357">
        <v>0</v>
      </c>
      <c r="R357" s="2">
        <f t="shared" ref="R357:R358" si="357">ROUND(N357,0)+P357</f>
        <v>6</v>
      </c>
      <c r="S357" s="2">
        <f t="shared" ref="S357:S358" si="358">ROUND(O357,0)+Q357</f>
        <v>8</v>
      </c>
      <c r="T357" s="2">
        <f t="shared" ref="T357:T358" si="359">SUM(ROUND(R357,0),ROUND(S357,0))</f>
        <v>14</v>
      </c>
      <c r="U357" t="str">
        <f t="shared" ref="U357:U358" si="360">C357</f>
        <v>steel</v>
      </c>
      <c r="V357" t="str">
        <f t="shared" ref="V357:V358" si="361">IF(D357 = 0, "", D357)</f>
        <v>psychic</v>
      </c>
      <c r="W357" t="s">
        <v>22</v>
      </c>
      <c r="X357" t="s">
        <v>13</v>
      </c>
      <c r="Y357" t="s">
        <v>1395</v>
      </c>
      <c r="Z357" s="2">
        <f t="shared" si="307"/>
        <v>9</v>
      </c>
      <c r="AA357" t="str">
        <f t="shared" ref="AA357:AA358" si="362">B357</f>
        <v>Metang</v>
      </c>
      <c r="AC357" t="s">
        <v>1472</v>
      </c>
      <c r="AD357" t="str">
        <f>VLOOKUP(AC357,moves!A:B,2,FALSE)</f>
        <v>psychic</v>
      </c>
      <c r="AE357">
        <f>VLOOKUP(AC357,moves!A:D,4,FALSE)</f>
        <v>4</v>
      </c>
      <c r="AF357">
        <f>VLOOKUP(AC357,moves!A:F,5,FALSE)</f>
        <v>0</v>
      </c>
      <c r="AG357">
        <v>0</v>
      </c>
      <c r="AH357">
        <v>0</v>
      </c>
      <c r="AI357" t="str" cm="1">
        <f t="array" ref="AI357">_xlfn.IFS(AG357=1, "starter", AH357=1, "legendary",T357&lt; 13, "weak",T357&lt; 17, "moderate", TRUE, "strong")</f>
        <v>moderate</v>
      </c>
      <c r="AK357">
        <v>2</v>
      </c>
      <c r="AL357">
        <v>0</v>
      </c>
      <c r="AM357">
        <v>0</v>
      </c>
    </row>
    <row r="358" spans="1:39" x14ac:dyDescent="0.25">
      <c r="A358">
        <v>376</v>
      </c>
      <c r="B358" t="s">
        <v>1395</v>
      </c>
      <c r="C358" s="1" t="s">
        <v>39</v>
      </c>
      <c r="D358" s="1" t="s">
        <v>26</v>
      </c>
      <c r="E358">
        <v>80</v>
      </c>
      <c r="F358">
        <v>135</v>
      </c>
      <c r="G358">
        <v>130</v>
      </c>
      <c r="H358">
        <v>95</v>
      </c>
      <c r="I358">
        <v>90</v>
      </c>
      <c r="J358">
        <v>70</v>
      </c>
      <c r="K358" t="s">
        <v>1396</v>
      </c>
      <c r="M358" t="s">
        <v>551</v>
      </c>
      <c r="N358">
        <f t="shared" si="355"/>
        <v>10.5</v>
      </c>
      <c r="O358">
        <f t="shared" si="356"/>
        <v>9.8000000000000007</v>
      </c>
      <c r="P358">
        <v>-1</v>
      </c>
      <c r="Q358">
        <v>0</v>
      </c>
      <c r="R358" s="2">
        <f t="shared" si="357"/>
        <v>10</v>
      </c>
      <c r="S358" s="2">
        <f t="shared" si="358"/>
        <v>10</v>
      </c>
      <c r="T358" s="2">
        <f t="shared" si="359"/>
        <v>20</v>
      </c>
      <c r="U358" t="str">
        <f t="shared" si="360"/>
        <v>steel</v>
      </c>
      <c r="V358" t="str">
        <f t="shared" si="361"/>
        <v>psychic</v>
      </c>
      <c r="W358" t="s">
        <v>22</v>
      </c>
      <c r="X358" t="s">
        <v>13</v>
      </c>
      <c r="Z358" s="2" t="str">
        <f>IF(ISBLANK(Y358), "", ROUND(( (T365-6)*(T365-7) - (T358-6)*(T358-7) )/15, 0) + 1)</f>
        <v/>
      </c>
      <c r="AA358" t="str">
        <f t="shared" si="362"/>
        <v>Metagross</v>
      </c>
      <c r="AC358" t="s">
        <v>1397</v>
      </c>
      <c r="AD358" t="str">
        <f>VLOOKUP(AC358,moves!A:B,2,FALSE)</f>
        <v>steel</v>
      </c>
      <c r="AE358">
        <f>VLOOKUP(AC358,moves!A:D,4,FALSE)</f>
        <v>4</v>
      </c>
      <c r="AF358" t="str">
        <f>VLOOKUP(AC358,moves!A:F,5,FALSE)</f>
        <v>boost</v>
      </c>
      <c r="AG358">
        <v>0</v>
      </c>
      <c r="AH358">
        <v>0</v>
      </c>
      <c r="AI358" t="str" cm="1">
        <f t="array" ref="AI358">_xlfn.IFS(AG358=1, "starter", AH358=1, "legendary",T358&lt; 13, "weak",T358&lt; 17, "moderate", TRUE, "strong")</f>
        <v>strong</v>
      </c>
      <c r="AK358">
        <v>3</v>
      </c>
      <c r="AL358">
        <v>0</v>
      </c>
      <c r="AM358">
        <v>0</v>
      </c>
    </row>
    <row r="359" spans="1:39" x14ac:dyDescent="0.25">
      <c r="A359">
        <v>774</v>
      </c>
      <c r="B359" t="s">
        <v>1398</v>
      </c>
      <c r="C359" s="1" t="s">
        <v>33</v>
      </c>
      <c r="D359" s="1" t="s">
        <v>5</v>
      </c>
      <c r="E359">
        <v>60</v>
      </c>
      <c r="F359">
        <v>80</v>
      </c>
      <c r="G359">
        <v>80</v>
      </c>
      <c r="H359">
        <v>80</v>
      </c>
      <c r="I359">
        <v>80</v>
      </c>
      <c r="J359">
        <v>90</v>
      </c>
      <c r="K359" t="s">
        <v>1399</v>
      </c>
      <c r="M359" t="s">
        <v>551</v>
      </c>
      <c r="N359">
        <f t="shared" ref="N359" si="363">(0.4*J359 + 0.5*MAX(F359,H359) + 0.1*MIN(F359,H359)) / 10</f>
        <v>8.4</v>
      </c>
      <c r="O359">
        <f t="shared" ref="O359" si="364">(0.4*E359 + 0.3*G359 + 0.3*I359) / 10</f>
        <v>7.2</v>
      </c>
      <c r="P359">
        <v>0</v>
      </c>
      <c r="Q359">
        <v>0</v>
      </c>
      <c r="R359" s="2">
        <f t="shared" ref="R359" si="365">ROUND(N359,0)+P359</f>
        <v>8</v>
      </c>
      <c r="S359" s="2">
        <f t="shared" ref="S359" si="366">ROUND(O359,0)+Q359</f>
        <v>7</v>
      </c>
      <c r="T359" s="2">
        <f t="shared" ref="T359" si="367">SUM(ROUND(R359,0),ROUND(S359,0))</f>
        <v>15</v>
      </c>
      <c r="U359" t="str">
        <f t="shared" ref="U359" si="368">C359</f>
        <v>rock</v>
      </c>
      <c r="V359" t="str">
        <f t="shared" ref="V359" si="369">IF(D359 = 0, "", D359)</f>
        <v>flying</v>
      </c>
      <c r="W359" t="s">
        <v>8</v>
      </c>
      <c r="X359" t="s">
        <v>26</v>
      </c>
      <c r="Z359" s="2" t="str">
        <f>IF(ISBLANK(Y359), "", ROUND(( (T366-6)*(T366-7) - (T359-6)*(T359-7) )/15, 0) + 1)</f>
        <v/>
      </c>
      <c r="AA359" t="str">
        <f t="shared" ref="AA359" si="370">B359</f>
        <v>Minior</v>
      </c>
      <c r="AB359" t="s">
        <v>1401</v>
      </c>
      <c r="AC359" t="s">
        <v>1403</v>
      </c>
      <c r="AD359" t="str">
        <f>VLOOKUP(AC359,moves!A:B,2,FALSE)</f>
        <v>rock</v>
      </c>
      <c r="AE359">
        <f>VLOOKUP(AC359,moves!A:D,4,FALSE)</f>
        <v>4</v>
      </c>
      <c r="AF359" t="str">
        <f>VLOOKUP(AC359,moves!A:F,5,FALSE)</f>
        <v>transform</v>
      </c>
      <c r="AG359">
        <v>0</v>
      </c>
      <c r="AH359">
        <v>0</v>
      </c>
      <c r="AI359" t="str" cm="1">
        <f t="array" ref="AI359">_xlfn.IFS(AG359=1, "starter", AH359=1, "legendary",T359&lt; 13, "weak",T359&lt; 17, "moderate", TRUE, "strong")</f>
        <v>moderate</v>
      </c>
      <c r="AK359">
        <v>1</v>
      </c>
      <c r="AL359">
        <v>0</v>
      </c>
      <c r="AM359">
        <v>1</v>
      </c>
    </row>
    <row r="360" spans="1:39" x14ac:dyDescent="0.25">
      <c r="A360" t="s">
        <v>1444</v>
      </c>
      <c r="B360" t="s">
        <v>1398</v>
      </c>
      <c r="C360" s="1" t="s">
        <v>33</v>
      </c>
      <c r="D360" s="1" t="s">
        <v>5</v>
      </c>
      <c r="E360">
        <v>60</v>
      </c>
      <c r="F360">
        <v>80</v>
      </c>
      <c r="G360">
        <v>80</v>
      </c>
      <c r="H360">
        <v>80</v>
      </c>
      <c r="I360">
        <v>80</v>
      </c>
      <c r="J360">
        <v>90</v>
      </c>
      <c r="K360" t="s">
        <v>1399</v>
      </c>
      <c r="M360" t="s">
        <v>551</v>
      </c>
      <c r="N360">
        <f t="shared" ref="N360:N363" si="371">(0.4*J360 + 0.5*MAX(F360,H360) + 0.1*MIN(F360,H360)) / 10</f>
        <v>8.4</v>
      </c>
      <c r="O360">
        <f t="shared" ref="O360:O363" si="372">(0.4*E360 + 0.3*G360 + 0.3*I360) / 10</f>
        <v>7.2</v>
      </c>
      <c r="P360">
        <v>0</v>
      </c>
      <c r="Q360">
        <v>0</v>
      </c>
      <c r="R360" s="2">
        <f t="shared" ref="R360:R364" si="373">ROUND(N360,0)+P360</f>
        <v>8</v>
      </c>
      <c r="S360" s="2">
        <f t="shared" ref="S360:S364" si="374">ROUND(O360,0)+Q360</f>
        <v>7</v>
      </c>
      <c r="T360" s="2">
        <f t="shared" ref="T360:T364" si="375">SUM(ROUND(R360,0),ROUND(S360,0))</f>
        <v>15</v>
      </c>
      <c r="U360" t="str">
        <f t="shared" ref="U360:U363" si="376">C360</f>
        <v>rock</v>
      </c>
      <c r="V360" t="str">
        <f t="shared" ref="V360:V363" si="377">IF(D360 = 0, "", D360)</f>
        <v>flying</v>
      </c>
      <c r="W360" t="s">
        <v>8</v>
      </c>
      <c r="X360" t="s">
        <v>26</v>
      </c>
      <c r="Z360" s="2" t="str">
        <f>IF(ISBLANK(Y360), "", ROUND(( (T367-6)*(T367-7) - (T360-6)*(T360-7) )/15, 0) + 1)</f>
        <v/>
      </c>
      <c r="AA360" t="s">
        <v>1404</v>
      </c>
      <c r="AB360" t="s">
        <v>1402</v>
      </c>
      <c r="AC360" t="s">
        <v>1400</v>
      </c>
      <c r="AD360" t="str">
        <f>VLOOKUP(AC360,moves!A:B,2,FALSE)</f>
        <v>rock</v>
      </c>
      <c r="AE360">
        <f>VLOOKUP(AC360,moves!A:D,4,FALSE)</f>
        <v>2</v>
      </c>
      <c r="AF360" t="str">
        <f>VLOOKUP(AC360,moves!A:F,5,FALSE)</f>
        <v>transform</v>
      </c>
      <c r="AG360">
        <v>0</v>
      </c>
      <c r="AH360">
        <v>0</v>
      </c>
      <c r="AI360" t="str" cm="1">
        <f t="array" ref="AI360">_xlfn.IFS(AG360=1, "starter", AH360=1, "legendary",T360&lt; 13, "weak",T360&lt; 17, "moderate", TRUE, "strong")</f>
        <v>moderate</v>
      </c>
      <c r="AK360">
        <v>1</v>
      </c>
      <c r="AL360">
        <v>0</v>
      </c>
      <c r="AM360">
        <v>2</v>
      </c>
    </row>
    <row r="361" spans="1:39" x14ac:dyDescent="0.25">
      <c r="A361">
        <v>120</v>
      </c>
      <c r="B361" t="s">
        <v>1405</v>
      </c>
      <c r="C361" s="1" t="s">
        <v>6</v>
      </c>
      <c r="E361">
        <v>30</v>
      </c>
      <c r="F361">
        <v>45</v>
      </c>
      <c r="G361">
        <v>55</v>
      </c>
      <c r="H361">
        <v>70</v>
      </c>
      <c r="I361">
        <v>55</v>
      </c>
      <c r="J361">
        <v>85</v>
      </c>
      <c r="K361" t="s">
        <v>1407</v>
      </c>
      <c r="M361" t="s">
        <v>551</v>
      </c>
      <c r="N361">
        <f t="shared" si="371"/>
        <v>7.35</v>
      </c>
      <c r="O361">
        <f t="shared" si="372"/>
        <v>4.5</v>
      </c>
      <c r="P361">
        <v>0</v>
      </c>
      <c r="Q361">
        <v>0</v>
      </c>
      <c r="R361" s="2">
        <f t="shared" si="373"/>
        <v>7</v>
      </c>
      <c r="S361" s="2">
        <f t="shared" si="374"/>
        <v>5</v>
      </c>
      <c r="T361" s="2">
        <f t="shared" si="375"/>
        <v>12</v>
      </c>
      <c r="U361" t="str">
        <f t="shared" si="376"/>
        <v>water</v>
      </c>
      <c r="V361" t="s">
        <v>26</v>
      </c>
      <c r="W361" t="s">
        <v>33</v>
      </c>
      <c r="X361" t="s">
        <v>8</v>
      </c>
      <c r="Y361" t="s">
        <v>1406</v>
      </c>
      <c r="Z361" s="2">
        <f t="shared" ref="Z361" si="378">IF(ISBLANK(Y361), "", ROUND(( (T362-6)*(T362-7) - (T361-6)*(T361-7) )/15, 0) + 1)</f>
        <v>8</v>
      </c>
      <c r="AA361" t="str">
        <f t="shared" ref="AA361:AA363" si="379">B361</f>
        <v>Staryu</v>
      </c>
      <c r="AC361" t="s">
        <v>1409</v>
      </c>
      <c r="AD361" t="str">
        <f>VLOOKUP(AC361,moves!A:B,2,FALSE)</f>
        <v>normal</v>
      </c>
      <c r="AE361">
        <f>VLOOKUP(AC361,moves!A:D,4,FALSE)</f>
        <v>2</v>
      </c>
      <c r="AF361">
        <f>VLOOKUP(AC361,moves!A:F,5,FALSE)</f>
        <v>0</v>
      </c>
      <c r="AG361">
        <v>0</v>
      </c>
      <c r="AH361">
        <v>0</v>
      </c>
      <c r="AI361" t="str" cm="1">
        <f t="array" ref="AI361">_xlfn.IFS(AG361=1, "starter", AH361=1, "legendary",T361&lt; 13, "weak",T361&lt; 17, "moderate", TRUE, "strong")</f>
        <v>weak</v>
      </c>
      <c r="AK361">
        <v>1</v>
      </c>
      <c r="AL361">
        <v>0</v>
      </c>
      <c r="AM361">
        <v>0</v>
      </c>
    </row>
    <row r="362" spans="1:39" x14ac:dyDescent="0.25">
      <c r="A362">
        <v>121</v>
      </c>
      <c r="B362" t="s">
        <v>1406</v>
      </c>
      <c r="C362" s="1" t="s">
        <v>6</v>
      </c>
      <c r="D362" s="1" t="s">
        <v>26</v>
      </c>
      <c r="E362">
        <v>60</v>
      </c>
      <c r="F362">
        <v>75</v>
      </c>
      <c r="G362">
        <v>85</v>
      </c>
      <c r="H362">
        <v>100</v>
      </c>
      <c r="I362">
        <v>85</v>
      </c>
      <c r="J362">
        <v>115</v>
      </c>
      <c r="K362" t="s">
        <v>1408</v>
      </c>
      <c r="M362" t="s">
        <v>551</v>
      </c>
      <c r="N362">
        <f t="shared" si="371"/>
        <v>10.35</v>
      </c>
      <c r="O362">
        <f t="shared" si="372"/>
        <v>7.5</v>
      </c>
      <c r="P362">
        <v>0</v>
      </c>
      <c r="Q362">
        <v>0</v>
      </c>
      <c r="R362" s="2">
        <f t="shared" si="373"/>
        <v>10</v>
      </c>
      <c r="S362" s="2">
        <f t="shared" si="374"/>
        <v>8</v>
      </c>
      <c r="T362" s="2">
        <f t="shared" si="375"/>
        <v>18</v>
      </c>
      <c r="U362" t="str">
        <f t="shared" si="376"/>
        <v>water</v>
      </c>
      <c r="V362" t="str">
        <f t="shared" si="377"/>
        <v>psychic</v>
      </c>
      <c r="W362" t="s">
        <v>33</v>
      </c>
      <c r="X362" t="s">
        <v>8</v>
      </c>
      <c r="Z362" s="2" t="str">
        <f>IF(ISBLANK(Y362), "", ROUND(( (T365-6)*(T365-7) - (T362-6)*(T362-7) )/15, 0) + 1)</f>
        <v/>
      </c>
      <c r="AA362" t="str">
        <f t="shared" si="379"/>
        <v>Starmie</v>
      </c>
      <c r="AC362" t="s">
        <v>480</v>
      </c>
      <c r="AD362" t="str">
        <f>VLOOKUP(AC362,moves!A:B,2,FALSE)</f>
        <v>water</v>
      </c>
      <c r="AE362">
        <f>VLOOKUP(AC362,moves!A:D,4,FALSE)</f>
        <v>5</v>
      </c>
      <c r="AF362">
        <f>VLOOKUP(AC362,moves!A:F,5,FALSE)</f>
        <v>0</v>
      </c>
      <c r="AG362">
        <v>0</v>
      </c>
      <c r="AH362">
        <v>0</v>
      </c>
      <c r="AI362" t="str" cm="1">
        <f t="array" ref="AI362">_xlfn.IFS(AG362=1, "starter", AH362=1, "legendary",T362&lt; 13, "weak",T362&lt; 17, "moderate", TRUE, "strong")</f>
        <v>strong</v>
      </c>
      <c r="AK362">
        <v>2</v>
      </c>
      <c r="AL362">
        <v>0</v>
      </c>
      <c r="AM362">
        <v>0</v>
      </c>
    </row>
    <row r="363" spans="1:39" x14ac:dyDescent="0.25">
      <c r="A363">
        <v>337</v>
      </c>
      <c r="B363" t="s">
        <v>1445</v>
      </c>
      <c r="C363" s="1" t="s">
        <v>33</v>
      </c>
      <c r="D363" s="1" t="s">
        <v>26</v>
      </c>
      <c r="E363">
        <v>90</v>
      </c>
      <c r="F363">
        <v>55</v>
      </c>
      <c r="G363">
        <v>65</v>
      </c>
      <c r="H363">
        <v>95</v>
      </c>
      <c r="I363">
        <v>85</v>
      </c>
      <c r="J363">
        <v>70</v>
      </c>
      <c r="K363" t="s">
        <v>1446</v>
      </c>
      <c r="M363" t="s">
        <v>551</v>
      </c>
      <c r="N363">
        <f t="shared" si="371"/>
        <v>8.1</v>
      </c>
      <c r="O363">
        <f t="shared" si="372"/>
        <v>8.1</v>
      </c>
      <c r="P363">
        <v>0</v>
      </c>
      <c r="Q363">
        <v>0</v>
      </c>
      <c r="R363" s="2">
        <f t="shared" si="373"/>
        <v>8</v>
      </c>
      <c r="S363" s="2">
        <f t="shared" si="374"/>
        <v>8</v>
      </c>
      <c r="T363" s="2">
        <f t="shared" si="375"/>
        <v>16</v>
      </c>
      <c r="U363" t="str">
        <f t="shared" si="376"/>
        <v>rock</v>
      </c>
      <c r="V363" t="str">
        <f t="shared" si="377"/>
        <v>psychic</v>
      </c>
      <c r="W363" t="s">
        <v>16</v>
      </c>
      <c r="X363" t="s">
        <v>14</v>
      </c>
      <c r="AA363" t="str">
        <f t="shared" si="379"/>
        <v>Lunatone</v>
      </c>
      <c r="AC363" t="s">
        <v>1477</v>
      </c>
      <c r="AD363" t="str">
        <f>VLOOKUP(AC363,moves!A:B,2,FALSE)</f>
        <v>psychic</v>
      </c>
      <c r="AE363">
        <f>VLOOKUP(AC363,moves!A:D,4,FALSE)</f>
        <v>3</v>
      </c>
      <c r="AF363" t="str">
        <f>VLOOKUP(AC363,moves!A:F,5,FALSE)</f>
        <v>boost</v>
      </c>
      <c r="AG363">
        <v>0</v>
      </c>
      <c r="AH363">
        <v>0</v>
      </c>
      <c r="AI363" t="str" cm="1">
        <f t="array" ref="AI363">_xlfn.IFS(AG363=1, "starter", AH363=1, "legendary",T363&lt; 13, "weak",T363&lt; 17, "moderate", TRUE, "strong")</f>
        <v>moderate</v>
      </c>
      <c r="AK363">
        <v>1</v>
      </c>
      <c r="AL363">
        <v>0</v>
      </c>
      <c r="AM363">
        <v>0</v>
      </c>
    </row>
    <row r="364" spans="1:39" x14ac:dyDescent="0.25">
      <c r="A364">
        <v>338</v>
      </c>
      <c r="B364" t="s">
        <v>1447</v>
      </c>
      <c r="C364" s="1" t="s">
        <v>33</v>
      </c>
      <c r="D364" s="1" t="s">
        <v>26</v>
      </c>
      <c r="E364">
        <v>90</v>
      </c>
      <c r="F364">
        <v>95</v>
      </c>
      <c r="G364">
        <v>85</v>
      </c>
      <c r="H364">
        <v>55</v>
      </c>
      <c r="I364">
        <v>65</v>
      </c>
      <c r="J364">
        <v>70</v>
      </c>
      <c r="K364" t="s">
        <v>1446</v>
      </c>
      <c r="M364" t="s">
        <v>551</v>
      </c>
      <c r="N364">
        <f t="shared" ref="N364" si="380">(0.4*J364 + 0.5*MAX(F364,H364) + 0.1*MIN(F364,H364)) / 10</f>
        <v>8.1</v>
      </c>
      <c r="O364">
        <f t="shared" ref="O364" si="381">(0.4*E364 + 0.3*G364 + 0.3*I364) / 10</f>
        <v>8.1</v>
      </c>
      <c r="P364">
        <v>0</v>
      </c>
      <c r="Q364">
        <v>0</v>
      </c>
      <c r="R364" s="2">
        <f t="shared" si="373"/>
        <v>8</v>
      </c>
      <c r="S364" s="2">
        <f t="shared" si="374"/>
        <v>8</v>
      </c>
      <c r="T364" s="2">
        <f t="shared" si="375"/>
        <v>16</v>
      </c>
      <c r="U364" t="str">
        <f t="shared" ref="U364" si="382">C364</f>
        <v>rock</v>
      </c>
      <c r="V364" t="str">
        <f t="shared" ref="V364" si="383">IF(D364 = 0, "", D364)</f>
        <v>psychic</v>
      </c>
      <c r="W364" t="s">
        <v>4</v>
      </c>
      <c r="X364" t="s">
        <v>2</v>
      </c>
      <c r="AA364" t="str">
        <f t="shared" ref="AA364" si="384">B364</f>
        <v>Solrock</v>
      </c>
      <c r="AC364" t="s">
        <v>1477</v>
      </c>
      <c r="AD364" t="str">
        <f>VLOOKUP(AC364,moves!A:B,2,FALSE)</f>
        <v>psychic</v>
      </c>
      <c r="AE364">
        <f>VLOOKUP(AC364,moves!A:D,4,FALSE)</f>
        <v>3</v>
      </c>
      <c r="AF364" t="str">
        <f>VLOOKUP(AC364,moves!A:F,5,FALSE)</f>
        <v>boost</v>
      </c>
      <c r="AG364">
        <v>0</v>
      </c>
      <c r="AH364">
        <v>0</v>
      </c>
      <c r="AI364" t="str" cm="1">
        <f t="array" ref="AI364">_xlfn.IFS(AG364=1, "starter", AH364=1, "legendary",T364&lt; 13, "weak",T364&lt; 17, "moderate", TRUE, "strong")</f>
        <v>moderate</v>
      </c>
      <c r="AK364">
        <v>1</v>
      </c>
      <c r="AL364">
        <v>0</v>
      </c>
      <c r="AM364">
        <v>0</v>
      </c>
    </row>
    <row r="365" spans="1:39" x14ac:dyDescent="0.25">
      <c r="A365">
        <v>480</v>
      </c>
      <c r="B365" t="s">
        <v>233</v>
      </c>
      <c r="C365" s="1" t="s">
        <v>26</v>
      </c>
      <c r="D365" s="1" t="s">
        <v>14</v>
      </c>
      <c r="E365">
        <v>75</v>
      </c>
      <c r="F365">
        <v>75</v>
      </c>
      <c r="G365">
        <v>130</v>
      </c>
      <c r="H365">
        <v>75</v>
      </c>
      <c r="I365">
        <v>130</v>
      </c>
      <c r="J365">
        <v>95</v>
      </c>
      <c r="K365" t="s">
        <v>593</v>
      </c>
      <c r="L365" t="s">
        <v>313</v>
      </c>
      <c r="M365" t="s">
        <v>299</v>
      </c>
      <c r="N365">
        <f t="shared" si="273"/>
        <v>8.3000000000000007</v>
      </c>
      <c r="O365">
        <f t="shared" si="274"/>
        <v>10.8</v>
      </c>
      <c r="P365">
        <v>0</v>
      </c>
      <c r="Q365">
        <v>1</v>
      </c>
      <c r="R365" s="2">
        <f t="shared" ref="R365:S369" si="385">ROUND(N365,0)+P365</f>
        <v>8</v>
      </c>
      <c r="S365" s="2">
        <f t="shared" si="385"/>
        <v>12</v>
      </c>
      <c r="T365" s="2">
        <f t="shared" si="275"/>
        <v>20</v>
      </c>
      <c r="U365" t="str">
        <f t="shared" si="225"/>
        <v>psychic</v>
      </c>
      <c r="V365" t="str">
        <f t="shared" si="302"/>
        <v>ice</v>
      </c>
      <c r="W365" t="s">
        <v>16</v>
      </c>
      <c r="X365" t="s">
        <v>8</v>
      </c>
      <c r="Z365" s="2" t="str">
        <f>IF(ISBLANK(Y365), "", ROUND(( (T366-6)*(T366-7) - (T365-6)*(T365-7) )/15, 0) + 1)</f>
        <v/>
      </c>
      <c r="AA365" t="str">
        <f t="shared" si="224"/>
        <v>Uxie</v>
      </c>
      <c r="AB365" t="s">
        <v>792</v>
      </c>
      <c r="AC365" t="s">
        <v>472</v>
      </c>
      <c r="AD365" t="str">
        <f>VLOOKUP(AC365,moves!A:B,2,FALSE)</f>
        <v>ice</v>
      </c>
      <c r="AE365">
        <f>VLOOKUP(AC365,moves!A:D,4,FALSE)</f>
        <v>4</v>
      </c>
      <c r="AF365">
        <f>VLOOKUP(AC365,moves!A:F,5,FALSE)</f>
        <v>0</v>
      </c>
      <c r="AG365">
        <v>0</v>
      </c>
      <c r="AH365">
        <v>1</v>
      </c>
      <c r="AI365" t="str" cm="1">
        <f t="array" ref="AI365">_xlfn.IFS(AG365=1, "starter", AH365=1, "legendary",T365&lt; 13, "weak",T365&lt; 17, "moderate", TRUE, "strong")</f>
        <v>legendary</v>
      </c>
      <c r="AK365">
        <v>1</v>
      </c>
      <c r="AL365">
        <v>0</v>
      </c>
      <c r="AM365">
        <v>0</v>
      </c>
    </row>
    <row r="366" spans="1:39" x14ac:dyDescent="0.25">
      <c r="A366">
        <v>481</v>
      </c>
      <c r="B366" t="s">
        <v>234</v>
      </c>
      <c r="C366" s="1" t="s">
        <v>26</v>
      </c>
      <c r="D366" s="1" t="s">
        <v>11</v>
      </c>
      <c r="E366">
        <v>80</v>
      </c>
      <c r="F366">
        <v>105</v>
      </c>
      <c r="G366">
        <v>105</v>
      </c>
      <c r="H366">
        <v>105</v>
      </c>
      <c r="I366">
        <v>105</v>
      </c>
      <c r="J366">
        <v>80</v>
      </c>
      <c r="K366" t="s">
        <v>418</v>
      </c>
      <c r="L366" t="s">
        <v>313</v>
      </c>
      <c r="M366" t="s">
        <v>300</v>
      </c>
      <c r="N366">
        <f t="shared" si="273"/>
        <v>9.5</v>
      </c>
      <c r="O366">
        <f t="shared" si="274"/>
        <v>9.5</v>
      </c>
      <c r="P366">
        <v>0</v>
      </c>
      <c r="Q366">
        <v>0</v>
      </c>
      <c r="R366" s="2">
        <f t="shared" si="385"/>
        <v>10</v>
      </c>
      <c r="S366" s="2">
        <f t="shared" si="385"/>
        <v>10</v>
      </c>
      <c r="T366" s="2">
        <f t="shared" si="275"/>
        <v>20</v>
      </c>
      <c r="U366" t="str">
        <f t="shared" si="225"/>
        <v>psychic</v>
      </c>
      <c r="V366" t="str">
        <f t="shared" si="302"/>
        <v>electric</v>
      </c>
      <c r="W366" t="s">
        <v>16</v>
      </c>
      <c r="X366" t="s">
        <v>8</v>
      </c>
      <c r="Z366" s="2" t="str">
        <f>IF(ISBLANK(Y366), "", ROUND(( (T367-6)*(T367-7) - (T366-6)*(T366-7) )/15, 0) + 1)</f>
        <v/>
      </c>
      <c r="AA366" t="str">
        <f t="shared" si="224"/>
        <v>Mesprit</v>
      </c>
      <c r="AB366" t="s">
        <v>793</v>
      </c>
      <c r="AC366" t="s">
        <v>570</v>
      </c>
      <c r="AD366" t="str">
        <f>VLOOKUP(AC366,moves!A:B,2,FALSE)</f>
        <v>electric</v>
      </c>
      <c r="AE366">
        <f>VLOOKUP(AC366,moves!A:D,4,FALSE)</f>
        <v>4</v>
      </c>
      <c r="AF366">
        <f>VLOOKUP(AC366,moves!A:F,5,FALSE)</f>
        <v>0</v>
      </c>
      <c r="AG366">
        <v>0</v>
      </c>
      <c r="AH366">
        <v>1</v>
      </c>
      <c r="AI366" t="str" cm="1">
        <f t="array" ref="AI366">_xlfn.IFS(AG366=1, "starter", AH366=1, "legendary",T366&lt; 13, "weak",T366&lt; 17, "moderate", TRUE, "strong")</f>
        <v>legendary</v>
      </c>
      <c r="AK366">
        <v>1</v>
      </c>
      <c r="AL366">
        <v>0</v>
      </c>
      <c r="AM366">
        <v>0</v>
      </c>
    </row>
    <row r="367" spans="1:39" x14ac:dyDescent="0.25">
      <c r="A367">
        <v>482</v>
      </c>
      <c r="B367" t="s">
        <v>235</v>
      </c>
      <c r="C367" s="1" t="s">
        <v>26</v>
      </c>
      <c r="D367" s="1" t="s">
        <v>4</v>
      </c>
      <c r="E367">
        <v>75</v>
      </c>
      <c r="F367">
        <v>125</v>
      </c>
      <c r="G367">
        <v>70</v>
      </c>
      <c r="H367">
        <v>125</v>
      </c>
      <c r="I367">
        <v>70</v>
      </c>
      <c r="J367">
        <v>115</v>
      </c>
      <c r="K367" t="s">
        <v>594</v>
      </c>
      <c r="L367" t="s">
        <v>313</v>
      </c>
      <c r="M367" t="s">
        <v>302</v>
      </c>
      <c r="N367">
        <f t="shared" si="273"/>
        <v>12.1</v>
      </c>
      <c r="O367">
        <f t="shared" si="274"/>
        <v>7.2</v>
      </c>
      <c r="P367">
        <v>0</v>
      </c>
      <c r="Q367">
        <v>1</v>
      </c>
      <c r="R367" s="2">
        <f t="shared" si="385"/>
        <v>12</v>
      </c>
      <c r="S367" s="2">
        <f t="shared" si="385"/>
        <v>8</v>
      </c>
      <c r="T367" s="2">
        <f t="shared" si="275"/>
        <v>20</v>
      </c>
      <c r="U367" t="str">
        <f t="shared" si="225"/>
        <v>psychic</v>
      </c>
      <c r="V367" t="str">
        <f t="shared" si="302"/>
        <v>fire</v>
      </c>
      <c r="W367" t="s">
        <v>16</v>
      </c>
      <c r="X367" t="s">
        <v>8</v>
      </c>
      <c r="Z367" s="2" t="str">
        <f>IF(ISBLANK(Y367), "", ROUND(( (T369-6)*(T369-7) - (T367-6)*(T367-7) )/15, 0) + 1)</f>
        <v/>
      </c>
      <c r="AA367" t="str">
        <f t="shared" si="224"/>
        <v>Azelf</v>
      </c>
      <c r="AB367" t="s">
        <v>794</v>
      </c>
      <c r="AC367" t="s">
        <v>473</v>
      </c>
      <c r="AD367" t="str">
        <f>VLOOKUP(AC367,moves!A:B,2,FALSE)</f>
        <v>fire</v>
      </c>
      <c r="AE367">
        <f>VLOOKUP(AC367,moves!A:D,4,FALSE)</f>
        <v>4</v>
      </c>
      <c r="AF367">
        <f>VLOOKUP(AC367,moves!A:F,5,FALSE)</f>
        <v>0</v>
      </c>
      <c r="AG367">
        <v>0</v>
      </c>
      <c r="AH367">
        <v>1</v>
      </c>
      <c r="AI367" t="str" cm="1">
        <f t="array" ref="AI367">_xlfn.IFS(AG367=1, "starter", AH367=1, "legendary",T367&lt; 13, "weak",T367&lt; 17, "moderate", TRUE, "strong")</f>
        <v>legendary</v>
      </c>
      <c r="AK367">
        <v>1</v>
      </c>
      <c r="AL367">
        <v>0</v>
      </c>
      <c r="AM367">
        <v>0</v>
      </c>
    </row>
    <row r="368" spans="1:39" x14ac:dyDescent="0.25">
      <c r="A368">
        <v>493</v>
      </c>
      <c r="B368" t="s">
        <v>246</v>
      </c>
      <c r="C368" s="1" t="s">
        <v>550</v>
      </c>
      <c r="E368">
        <v>120</v>
      </c>
      <c r="F368">
        <v>120</v>
      </c>
      <c r="G368">
        <v>120</v>
      </c>
      <c r="H368">
        <v>120</v>
      </c>
      <c r="I368">
        <v>120</v>
      </c>
      <c r="J368">
        <v>120</v>
      </c>
      <c r="K368" t="s">
        <v>595</v>
      </c>
      <c r="L368" t="s">
        <v>313</v>
      </c>
      <c r="M368" t="s">
        <v>551</v>
      </c>
      <c r="N368">
        <f>(0.4*J368 + 0.5*MAX(F368,H368) + 0.1*MIN(F368,H368)) / 10</f>
        <v>12</v>
      </c>
      <c r="O368">
        <f>(0.4*E368 + 0.3*G368 + 0.3*I368) / 10</f>
        <v>12</v>
      </c>
      <c r="P368">
        <v>0</v>
      </c>
      <c r="Q368">
        <v>0</v>
      </c>
      <c r="R368" s="2">
        <f>ROUND(N368,0)+P368</f>
        <v>12</v>
      </c>
      <c r="S368" s="2">
        <f>ROUND(O368,0)+Q368</f>
        <v>12</v>
      </c>
      <c r="T368" s="2">
        <f>SUM(ROUND(R368,0),ROUND(S368,0))</f>
        <v>24</v>
      </c>
      <c r="U368" t="s">
        <v>8</v>
      </c>
      <c r="V368" t="s">
        <v>26</v>
      </c>
      <c r="W368" t="s">
        <v>13</v>
      </c>
      <c r="X368" t="s">
        <v>22</v>
      </c>
      <c r="Z368" s="2" t="str">
        <f>IF(ISBLANK(Y368), "", ROUND(( (#REF!-6)*(#REF!-7) - (T368-6)*(T368-7) )/15, 0) + 1)</f>
        <v/>
      </c>
      <c r="AA368" t="str">
        <f>B368</f>
        <v>Arceus</v>
      </c>
      <c r="AB368" t="s">
        <v>1216</v>
      </c>
      <c r="AC368" t="s">
        <v>547</v>
      </c>
      <c r="AD368" t="str">
        <f>VLOOKUP(AC368,moves!A:B,2,FALSE)</f>
        <v>typeless</v>
      </c>
      <c r="AE368">
        <f>VLOOKUP(AC368,moves!A:D,4,FALSE)</f>
        <v>6</v>
      </c>
      <c r="AF368" t="str">
        <f>VLOOKUP(AC368,moves!A:F,5,FALSE)</f>
        <v>decisive</v>
      </c>
      <c r="AG368">
        <v>0</v>
      </c>
      <c r="AH368">
        <v>1</v>
      </c>
      <c r="AI368" t="str" cm="1">
        <f t="array" ref="AI368">_xlfn.IFS(AG368=1, "starter", AH368=1, "legendary",T368&lt; 13, "weak",T368&lt; 17, "moderate", TRUE, "strong")</f>
        <v>legendary</v>
      </c>
      <c r="AK368">
        <v>1</v>
      </c>
      <c r="AL368">
        <v>0</v>
      </c>
      <c r="AM368">
        <v>0</v>
      </c>
    </row>
    <row r="369" spans="1:39" x14ac:dyDescent="0.25">
      <c r="A369">
        <v>773</v>
      </c>
      <c r="B369" t="s">
        <v>787</v>
      </c>
      <c r="C369" s="1" t="s">
        <v>550</v>
      </c>
      <c r="E369">
        <v>95</v>
      </c>
      <c r="F369">
        <v>95</v>
      </c>
      <c r="G369">
        <v>95</v>
      </c>
      <c r="H369">
        <v>95</v>
      </c>
      <c r="I369">
        <v>95</v>
      </c>
      <c r="J369">
        <v>95</v>
      </c>
      <c r="K369" t="s">
        <v>786</v>
      </c>
      <c r="L369" t="s">
        <v>313</v>
      </c>
      <c r="M369" t="s">
        <v>551</v>
      </c>
      <c r="N369">
        <f>(0.4*J369 + 0.5*MAX(F369,H369) + 0.1*MIN(F369,H369)) / 10</f>
        <v>9.5</v>
      </c>
      <c r="O369">
        <f>(0.4*E369 + 0.3*G369 + 0.3*I369) / 10</f>
        <v>9.5</v>
      </c>
      <c r="P369">
        <v>0</v>
      </c>
      <c r="Q369">
        <v>0</v>
      </c>
      <c r="R369" s="2">
        <f t="shared" si="385"/>
        <v>10</v>
      </c>
      <c r="S369" s="2">
        <f t="shared" si="385"/>
        <v>10</v>
      </c>
      <c r="T369" s="2">
        <f t="shared" ref="T369:T376" si="386">SUM(ROUND(R369,0),ROUND(S369,0))</f>
        <v>20</v>
      </c>
      <c r="U369" t="s">
        <v>8</v>
      </c>
      <c r="V369" t="s">
        <v>11</v>
      </c>
      <c r="W369" t="s">
        <v>4</v>
      </c>
      <c r="X369" t="s">
        <v>14</v>
      </c>
      <c r="Z369" s="2" t="str">
        <f>IF(ISBLANK(Y369), "", ROUND(( (T370-6)*(T370-7) - (T369-6)*(T369-7) )/15, 0) + 1)</f>
        <v/>
      </c>
      <c r="AA369" t="str">
        <f t="shared" si="224"/>
        <v>Silvally</v>
      </c>
      <c r="AC369" t="s">
        <v>788</v>
      </c>
      <c r="AD369" t="str">
        <f>VLOOKUP(AC369,moves!A:B,2,FALSE)</f>
        <v>typeless</v>
      </c>
      <c r="AE369">
        <f>VLOOKUP(AC369,moves!A:D,4,FALSE)</f>
        <v>4</v>
      </c>
      <c r="AF369">
        <f>VLOOKUP(AC369,moves!A:F,5,FALSE)</f>
        <v>0</v>
      </c>
      <c r="AG369">
        <v>0</v>
      </c>
      <c r="AH369">
        <v>1</v>
      </c>
      <c r="AI369" t="str" cm="1">
        <f t="array" ref="AI369">_xlfn.IFS(AG369=1, "starter", AH369=1, "legendary",T369&lt; 13, "weak",T369&lt; 17, "moderate", TRUE, "strong")</f>
        <v>legendary</v>
      </c>
      <c r="AK369">
        <v>1</v>
      </c>
      <c r="AL369">
        <v>0</v>
      </c>
      <c r="AM369">
        <v>0</v>
      </c>
    </row>
    <row r="370" spans="1:39" x14ac:dyDescent="0.25">
      <c r="A370">
        <v>793</v>
      </c>
      <c r="B370" t="s">
        <v>691</v>
      </c>
      <c r="C370" s="1" t="s">
        <v>33</v>
      </c>
      <c r="D370" s="1" t="s">
        <v>3</v>
      </c>
      <c r="E370">
        <v>109</v>
      </c>
      <c r="F370">
        <v>53</v>
      </c>
      <c r="G370">
        <v>47</v>
      </c>
      <c r="H370">
        <v>127</v>
      </c>
      <c r="I370">
        <v>131</v>
      </c>
      <c r="J370">
        <v>103</v>
      </c>
      <c r="K370" t="s">
        <v>692</v>
      </c>
      <c r="M370" t="s">
        <v>551</v>
      </c>
      <c r="N370">
        <f t="shared" si="256"/>
        <v>11</v>
      </c>
      <c r="O370">
        <f t="shared" si="257"/>
        <v>9.6999999999999993</v>
      </c>
      <c r="P370">
        <f>-2+0</f>
        <v>-2</v>
      </c>
      <c r="Q370">
        <f>10-1</f>
        <v>9</v>
      </c>
      <c r="R370" s="2">
        <f t="shared" si="258"/>
        <v>9</v>
      </c>
      <c r="S370" s="2">
        <f t="shared" si="259"/>
        <v>19</v>
      </c>
      <c r="T370" s="2">
        <f t="shared" si="386"/>
        <v>28</v>
      </c>
      <c r="U370" t="str">
        <f t="shared" ref="U370:U377" si="387">C370</f>
        <v>rock</v>
      </c>
      <c r="V370" t="str">
        <f>IF(D370 = 0, "", D370)</f>
        <v>poison</v>
      </c>
      <c r="W370" t="s">
        <v>26</v>
      </c>
      <c r="X370" t="s">
        <v>11</v>
      </c>
      <c r="Z370" s="2" t="str">
        <f t="shared" si="255"/>
        <v/>
      </c>
      <c r="AA370" t="str">
        <f t="shared" ref="AA370:AA379" si="388">B370</f>
        <v>Nihilego</v>
      </c>
      <c r="AB370" t="s">
        <v>791</v>
      </c>
      <c r="AC370" t="s">
        <v>694</v>
      </c>
      <c r="AD370" t="str">
        <f>VLOOKUP(AC370,moves!A:B,2,FALSE)</f>
        <v>poison</v>
      </c>
      <c r="AE370">
        <f>VLOOKUP(AC370,moves!A:D,4,FALSE)</f>
        <v>3</v>
      </c>
      <c r="AF370">
        <f>VLOOKUP(AC370,moves!A:F,5,FALSE)</f>
        <v>0</v>
      </c>
      <c r="AG370">
        <v>0</v>
      </c>
      <c r="AH370">
        <v>0</v>
      </c>
      <c r="AI370" t="s">
        <v>796</v>
      </c>
      <c r="AK370">
        <v>1</v>
      </c>
      <c r="AL370">
        <v>1</v>
      </c>
      <c r="AM370">
        <v>0</v>
      </c>
    </row>
    <row r="371" spans="1:39" x14ac:dyDescent="0.25">
      <c r="A371">
        <v>794</v>
      </c>
      <c r="B371" t="s">
        <v>695</v>
      </c>
      <c r="C371" s="1" t="s">
        <v>7</v>
      </c>
      <c r="D371" s="1" t="s">
        <v>22</v>
      </c>
      <c r="E371">
        <v>107</v>
      </c>
      <c r="F371">
        <v>139</v>
      </c>
      <c r="G371">
        <v>139</v>
      </c>
      <c r="H371">
        <v>53</v>
      </c>
      <c r="I371">
        <v>53</v>
      </c>
      <c r="J371">
        <v>79</v>
      </c>
      <c r="K371" t="s">
        <v>702</v>
      </c>
      <c r="M371" t="s">
        <v>551</v>
      </c>
      <c r="N371">
        <f t="shared" si="256"/>
        <v>10.639999999999999</v>
      </c>
      <c r="O371">
        <f t="shared" si="257"/>
        <v>10.040000000000001</v>
      </c>
      <c r="P371">
        <f>-2-1</f>
        <v>-3</v>
      </c>
      <c r="Q371">
        <f>10+0</f>
        <v>10</v>
      </c>
      <c r="R371" s="2">
        <f t="shared" si="258"/>
        <v>8</v>
      </c>
      <c r="S371" s="2">
        <f t="shared" si="259"/>
        <v>20</v>
      </c>
      <c r="T371" s="2">
        <f t="shared" si="386"/>
        <v>28</v>
      </c>
      <c r="U371" t="str">
        <f t="shared" si="387"/>
        <v>bug</v>
      </c>
      <c r="V371" t="str">
        <f>IF(D371 = 0, "", D371)</f>
        <v>fighting</v>
      </c>
      <c r="W371" t="s">
        <v>13</v>
      </c>
      <c r="X371" t="s">
        <v>33</v>
      </c>
      <c r="Z371" s="2" t="str">
        <f t="shared" si="255"/>
        <v/>
      </c>
      <c r="AA371" t="str">
        <f t="shared" si="388"/>
        <v>Buzzwole</v>
      </c>
      <c r="AB371" t="s">
        <v>791</v>
      </c>
      <c r="AC371" t="s">
        <v>712</v>
      </c>
      <c r="AD371" t="str">
        <f>VLOOKUP(AC371,moves!A:B,2,FALSE)</f>
        <v>fighting</v>
      </c>
      <c r="AE371">
        <f>VLOOKUP(AC371,moves!A:D,4,FALSE)</f>
        <v>4</v>
      </c>
      <c r="AF371">
        <f>VLOOKUP(AC371,moves!A:F,5,FALSE)</f>
        <v>0</v>
      </c>
      <c r="AG371">
        <v>0</v>
      </c>
      <c r="AH371">
        <v>0</v>
      </c>
      <c r="AI371" t="s">
        <v>796</v>
      </c>
      <c r="AK371">
        <v>1</v>
      </c>
      <c r="AL371">
        <v>1</v>
      </c>
      <c r="AM371">
        <v>0</v>
      </c>
    </row>
    <row r="372" spans="1:39" x14ac:dyDescent="0.25">
      <c r="A372">
        <v>795</v>
      </c>
      <c r="B372" t="s">
        <v>696</v>
      </c>
      <c r="C372" s="1" t="s">
        <v>7</v>
      </c>
      <c r="D372" s="1" t="s">
        <v>22</v>
      </c>
      <c r="E372">
        <v>71</v>
      </c>
      <c r="F372">
        <v>137</v>
      </c>
      <c r="G372">
        <v>37</v>
      </c>
      <c r="H372">
        <v>137</v>
      </c>
      <c r="I372">
        <v>37</v>
      </c>
      <c r="J372">
        <v>151</v>
      </c>
      <c r="K372" t="s">
        <v>701</v>
      </c>
      <c r="M372" t="s">
        <v>551</v>
      </c>
      <c r="N372">
        <f t="shared" si="256"/>
        <v>14.26</v>
      </c>
      <c r="O372">
        <f t="shared" si="257"/>
        <v>5.0600000000000005</v>
      </c>
      <c r="P372">
        <f>-2+1</f>
        <v>-1</v>
      </c>
      <c r="Q372">
        <f>10+0</f>
        <v>10</v>
      </c>
      <c r="R372" s="2">
        <f t="shared" si="258"/>
        <v>13</v>
      </c>
      <c r="S372" s="2">
        <f t="shared" si="259"/>
        <v>15</v>
      </c>
      <c r="T372" s="2">
        <f t="shared" si="386"/>
        <v>28</v>
      </c>
      <c r="U372" t="str">
        <f t="shared" si="387"/>
        <v>bug</v>
      </c>
      <c r="V372" t="str">
        <f>IF(D372 = 0, "", D372)</f>
        <v>fighting</v>
      </c>
      <c r="W372" t="s">
        <v>5</v>
      </c>
      <c r="X372" t="s">
        <v>14</v>
      </c>
      <c r="Z372" s="2" t="str">
        <f t="shared" si="255"/>
        <v/>
      </c>
      <c r="AA372" t="str">
        <f t="shared" si="388"/>
        <v>Pheromosa</v>
      </c>
      <c r="AB372" t="s">
        <v>791</v>
      </c>
      <c r="AC372" t="s">
        <v>714</v>
      </c>
      <c r="AD372" t="str">
        <f>VLOOKUP(AC372,moves!A:B,2,FALSE)</f>
        <v>bug</v>
      </c>
      <c r="AE372">
        <f>VLOOKUP(AC372,moves!A:D,4,FALSE)</f>
        <v>3</v>
      </c>
      <c r="AF372">
        <f>VLOOKUP(AC372,moves!A:F,5,FALSE)</f>
        <v>0</v>
      </c>
      <c r="AG372">
        <v>0</v>
      </c>
      <c r="AH372">
        <v>0</v>
      </c>
      <c r="AI372" t="s">
        <v>796</v>
      </c>
      <c r="AK372">
        <v>1</v>
      </c>
      <c r="AL372">
        <v>1</v>
      </c>
      <c r="AM372">
        <v>0</v>
      </c>
    </row>
    <row r="373" spans="1:39" x14ac:dyDescent="0.25">
      <c r="A373">
        <v>796</v>
      </c>
      <c r="B373" t="s">
        <v>697</v>
      </c>
      <c r="C373" s="1" t="s">
        <v>11</v>
      </c>
      <c r="E373">
        <v>83</v>
      </c>
      <c r="F373">
        <v>83</v>
      </c>
      <c r="G373">
        <v>71</v>
      </c>
      <c r="H373">
        <v>173</v>
      </c>
      <c r="I373">
        <v>71</v>
      </c>
      <c r="J373">
        <v>83</v>
      </c>
      <c r="K373" t="s">
        <v>700</v>
      </c>
      <c r="M373" t="s">
        <v>551</v>
      </c>
      <c r="N373">
        <f t="shared" si="256"/>
        <v>12.8</v>
      </c>
      <c r="O373">
        <f t="shared" si="257"/>
        <v>7.58</v>
      </c>
      <c r="P373">
        <f>-2-1</f>
        <v>-3</v>
      </c>
      <c r="Q373">
        <f>10+0</f>
        <v>10</v>
      </c>
      <c r="R373" s="2">
        <f t="shared" si="258"/>
        <v>10</v>
      </c>
      <c r="S373" s="2">
        <f t="shared" si="259"/>
        <v>18</v>
      </c>
      <c r="T373" s="2">
        <f t="shared" si="386"/>
        <v>28</v>
      </c>
      <c r="U373" t="str">
        <f t="shared" si="387"/>
        <v>electric</v>
      </c>
      <c r="V373" t="s">
        <v>2</v>
      </c>
      <c r="W373" t="s">
        <v>7</v>
      </c>
      <c r="X373" t="s">
        <v>16</v>
      </c>
      <c r="Z373" s="2" t="str">
        <f t="shared" si="255"/>
        <v/>
      </c>
      <c r="AA373" t="str">
        <f t="shared" si="388"/>
        <v>Xurkitree</v>
      </c>
      <c r="AB373" t="s">
        <v>791</v>
      </c>
      <c r="AC373" t="s">
        <v>713</v>
      </c>
      <c r="AD373" t="str">
        <f>VLOOKUP(AC373,moves!A:B,2,FALSE)</f>
        <v>electric</v>
      </c>
      <c r="AE373">
        <f>VLOOKUP(AC373,moves!A:D,4,FALSE)</f>
        <v>3</v>
      </c>
      <c r="AF373" t="str">
        <f>VLOOKUP(AC373,moves!A:F,5,FALSE)</f>
        <v>boost</v>
      </c>
      <c r="AG373">
        <v>0</v>
      </c>
      <c r="AH373">
        <v>0</v>
      </c>
      <c r="AI373" t="s">
        <v>796</v>
      </c>
      <c r="AK373">
        <v>1</v>
      </c>
      <c r="AL373">
        <v>1</v>
      </c>
      <c r="AM373">
        <v>0</v>
      </c>
    </row>
    <row r="374" spans="1:39" x14ac:dyDescent="0.25">
      <c r="A374">
        <v>797</v>
      </c>
      <c r="B374" t="s">
        <v>698</v>
      </c>
      <c r="C374" s="1" t="s">
        <v>39</v>
      </c>
      <c r="D374" s="1" t="s">
        <v>5</v>
      </c>
      <c r="E374">
        <v>97</v>
      </c>
      <c r="F374">
        <v>101</v>
      </c>
      <c r="G374">
        <v>103</v>
      </c>
      <c r="H374">
        <v>107</v>
      </c>
      <c r="I374">
        <v>101</v>
      </c>
      <c r="J374">
        <v>61</v>
      </c>
      <c r="K374" t="s">
        <v>699</v>
      </c>
      <c r="M374" t="s">
        <v>551</v>
      </c>
      <c r="N374">
        <f t="shared" si="256"/>
        <v>8.8000000000000007</v>
      </c>
      <c r="O374">
        <f t="shared" si="257"/>
        <v>10</v>
      </c>
      <c r="P374">
        <f>-2+0</f>
        <v>-2</v>
      </c>
      <c r="Q374">
        <f>10+1</f>
        <v>11</v>
      </c>
      <c r="R374" s="2">
        <f t="shared" si="258"/>
        <v>7</v>
      </c>
      <c r="S374" s="2">
        <f t="shared" si="259"/>
        <v>21</v>
      </c>
      <c r="T374" s="2">
        <f t="shared" si="386"/>
        <v>28</v>
      </c>
      <c r="U374" t="str">
        <f t="shared" si="387"/>
        <v>steel</v>
      </c>
      <c r="V374" t="str">
        <f>IF(D374 = 0, "", D374)</f>
        <v>flying</v>
      </c>
      <c r="W374" t="s">
        <v>2</v>
      </c>
      <c r="X374" t="s">
        <v>4</v>
      </c>
      <c r="Z374" s="2" t="str">
        <f t="shared" si="255"/>
        <v/>
      </c>
      <c r="AA374" t="str">
        <f t="shared" si="388"/>
        <v>Celesteela</v>
      </c>
      <c r="AB374" t="s">
        <v>791</v>
      </c>
      <c r="AC374" t="s">
        <v>715</v>
      </c>
      <c r="AD374" t="str">
        <f>VLOOKUP(AC374,moves!A:B,2,FALSE)</f>
        <v>steel</v>
      </c>
      <c r="AE374">
        <f>VLOOKUP(AC374,moves!A:D,4,FALSE)</f>
        <v>3</v>
      </c>
      <c r="AF374">
        <f>VLOOKUP(AC374,moves!A:F,5,FALSE)</f>
        <v>0</v>
      </c>
      <c r="AG374">
        <v>0</v>
      </c>
      <c r="AH374">
        <v>0</v>
      </c>
      <c r="AI374" t="s">
        <v>796</v>
      </c>
      <c r="AK374">
        <v>1</v>
      </c>
      <c r="AL374">
        <v>1</v>
      </c>
      <c r="AM374">
        <v>0</v>
      </c>
    </row>
    <row r="375" spans="1:39" x14ac:dyDescent="0.25">
      <c r="A375">
        <v>798</v>
      </c>
      <c r="B375" t="s">
        <v>703</v>
      </c>
      <c r="C375" s="1" t="s">
        <v>2</v>
      </c>
      <c r="D375" s="1" t="s">
        <v>39</v>
      </c>
      <c r="E375">
        <v>59</v>
      </c>
      <c r="F375">
        <v>181</v>
      </c>
      <c r="G375">
        <v>131</v>
      </c>
      <c r="H375">
        <v>59</v>
      </c>
      <c r="I375">
        <v>31</v>
      </c>
      <c r="J375">
        <v>109</v>
      </c>
      <c r="K375" t="s">
        <v>704</v>
      </c>
      <c r="M375" t="s">
        <v>551</v>
      </c>
      <c r="N375">
        <f t="shared" si="256"/>
        <v>14</v>
      </c>
      <c r="O375">
        <f t="shared" si="257"/>
        <v>7.2200000000000006</v>
      </c>
      <c r="P375">
        <f>-2+0</f>
        <v>-2</v>
      </c>
      <c r="Q375">
        <f>10-1</f>
        <v>9</v>
      </c>
      <c r="R375" s="2">
        <f t="shared" si="258"/>
        <v>12</v>
      </c>
      <c r="S375" s="2">
        <f t="shared" si="259"/>
        <v>16</v>
      </c>
      <c r="T375" s="2">
        <f t="shared" si="386"/>
        <v>28</v>
      </c>
      <c r="U375" t="str">
        <f t="shared" si="387"/>
        <v>grass</v>
      </c>
      <c r="V375" t="str">
        <f>IF(D375 = 0, "", D375)</f>
        <v>steel</v>
      </c>
      <c r="W375" t="s">
        <v>22</v>
      </c>
      <c r="X375" t="s">
        <v>5</v>
      </c>
      <c r="Z375" s="2" t="str">
        <f t="shared" si="255"/>
        <v/>
      </c>
      <c r="AA375" t="str">
        <f t="shared" si="388"/>
        <v>Kartana</v>
      </c>
      <c r="AB375" t="s">
        <v>791</v>
      </c>
      <c r="AC375" t="s">
        <v>716</v>
      </c>
      <c r="AD375" t="str">
        <f>VLOOKUP(AC375,moves!A:B,2,FALSE)</f>
        <v>grass</v>
      </c>
      <c r="AE375">
        <f>VLOOKUP(AC375,moves!A:D,4,FALSE)</f>
        <v>5</v>
      </c>
      <c r="AF375">
        <f>VLOOKUP(AC375,moves!A:F,5,FALSE)</f>
        <v>0</v>
      </c>
      <c r="AG375">
        <v>0</v>
      </c>
      <c r="AH375">
        <v>0</v>
      </c>
      <c r="AI375" t="s">
        <v>796</v>
      </c>
      <c r="AK375">
        <v>1</v>
      </c>
      <c r="AL375">
        <v>1</v>
      </c>
      <c r="AM375">
        <v>0</v>
      </c>
    </row>
    <row r="376" spans="1:39" x14ac:dyDescent="0.25">
      <c r="A376">
        <v>799</v>
      </c>
      <c r="B376" t="s">
        <v>706</v>
      </c>
      <c r="C376" s="1" t="s">
        <v>9</v>
      </c>
      <c r="D376" s="1" t="s">
        <v>67</v>
      </c>
      <c r="E376">
        <v>223</v>
      </c>
      <c r="F376">
        <v>101</v>
      </c>
      <c r="G376">
        <v>53</v>
      </c>
      <c r="H376">
        <v>97</v>
      </c>
      <c r="I376">
        <v>53</v>
      </c>
      <c r="J376">
        <v>43</v>
      </c>
      <c r="K376" t="s">
        <v>705</v>
      </c>
      <c r="M376" t="s">
        <v>551</v>
      </c>
      <c r="N376">
        <f t="shared" si="256"/>
        <v>7.74</v>
      </c>
      <c r="O376">
        <f t="shared" si="257"/>
        <v>12.1</v>
      </c>
      <c r="P376">
        <f>-2-1</f>
        <v>-3</v>
      </c>
      <c r="Q376">
        <f>10+1</f>
        <v>11</v>
      </c>
      <c r="R376" s="2">
        <f t="shared" si="258"/>
        <v>5</v>
      </c>
      <c r="S376" s="2">
        <f t="shared" si="259"/>
        <v>23</v>
      </c>
      <c r="T376" s="2">
        <f t="shared" si="386"/>
        <v>28</v>
      </c>
      <c r="U376" t="str">
        <f t="shared" si="387"/>
        <v>dark</v>
      </c>
      <c r="V376" t="str">
        <f>IF(D376 = 0, "", D376)</f>
        <v>dragon</v>
      </c>
      <c r="W376" t="s">
        <v>39</v>
      </c>
      <c r="X376" t="s">
        <v>13</v>
      </c>
      <c r="Z376" s="2" t="str">
        <f t="shared" si="255"/>
        <v/>
      </c>
      <c r="AA376" t="str">
        <f t="shared" si="388"/>
        <v>Guzzlord</v>
      </c>
      <c r="AB376" t="s">
        <v>791</v>
      </c>
      <c r="AC376" t="s">
        <v>693</v>
      </c>
      <c r="AD376" t="str">
        <f>VLOOKUP(AC376,moves!A:B,2,FALSE)</f>
        <v>dark</v>
      </c>
      <c r="AE376">
        <f>VLOOKUP(AC376,moves!A:D,4,FALSE)</f>
        <v>5</v>
      </c>
      <c r="AF376">
        <f>VLOOKUP(AC376,moves!A:F,5,FALSE)</f>
        <v>0</v>
      </c>
      <c r="AG376">
        <v>0</v>
      </c>
      <c r="AH376">
        <v>0</v>
      </c>
      <c r="AI376" t="s">
        <v>796</v>
      </c>
      <c r="AK376">
        <v>1</v>
      </c>
      <c r="AL376">
        <v>1</v>
      </c>
      <c r="AM376">
        <v>0</v>
      </c>
    </row>
    <row r="377" spans="1:39" x14ac:dyDescent="0.25">
      <c r="A377">
        <v>805</v>
      </c>
      <c r="B377" t="s">
        <v>707</v>
      </c>
      <c r="C377" s="1" t="s">
        <v>33</v>
      </c>
      <c r="D377" s="1" t="s">
        <v>39</v>
      </c>
      <c r="E377">
        <v>61</v>
      </c>
      <c r="F377">
        <v>131</v>
      </c>
      <c r="G377">
        <v>211</v>
      </c>
      <c r="H377">
        <v>53</v>
      </c>
      <c r="I377">
        <v>101</v>
      </c>
      <c r="J377">
        <v>13</v>
      </c>
      <c r="K377" t="s">
        <v>709</v>
      </c>
      <c r="M377" t="s">
        <v>551</v>
      </c>
      <c r="N377">
        <f t="shared" si="256"/>
        <v>7.6</v>
      </c>
      <c r="O377">
        <f t="shared" si="257"/>
        <v>11.8</v>
      </c>
      <c r="P377">
        <f>-2+0</f>
        <v>-2</v>
      </c>
      <c r="Q377">
        <f>10+0</f>
        <v>10</v>
      </c>
      <c r="R377" s="2">
        <f t="shared" si="258"/>
        <v>6</v>
      </c>
      <c r="S377" s="2">
        <f t="shared" si="259"/>
        <v>22</v>
      </c>
      <c r="T377" s="2">
        <f t="shared" ref="T377:T382" si="389">SUM(ROUND(R377,0),ROUND(S377,0))</f>
        <v>28</v>
      </c>
      <c r="U377" t="str">
        <f t="shared" si="387"/>
        <v>rock</v>
      </c>
      <c r="V377" t="str">
        <f>IF(D377 = 0, "", D377)</f>
        <v>steel</v>
      </c>
      <c r="W377" t="s">
        <v>13</v>
      </c>
      <c r="X377" t="s">
        <v>8</v>
      </c>
      <c r="Z377" s="2" t="str">
        <f t="shared" si="255"/>
        <v/>
      </c>
      <c r="AA377" t="str">
        <f t="shared" si="388"/>
        <v>Stakataka</v>
      </c>
      <c r="AB377" t="s">
        <v>791</v>
      </c>
      <c r="AC377" t="s">
        <v>1224</v>
      </c>
      <c r="AD377" t="str">
        <f>VLOOKUP(AC377,moves!A:B,2,FALSE)</f>
        <v>rock</v>
      </c>
      <c r="AE377">
        <f>VLOOKUP(AC377,moves!A:D,4,FALSE)</f>
        <v>1</v>
      </c>
      <c r="AF377">
        <f>VLOOKUP(AC377,moves!A:F,5,FALSE)</f>
        <v>0</v>
      </c>
      <c r="AG377">
        <v>0</v>
      </c>
      <c r="AH377">
        <v>0</v>
      </c>
      <c r="AI377" t="s">
        <v>796</v>
      </c>
      <c r="AK377">
        <v>1</v>
      </c>
      <c r="AL377">
        <v>1</v>
      </c>
      <c r="AM377">
        <v>0</v>
      </c>
    </row>
    <row r="378" spans="1:39" x14ac:dyDescent="0.25">
      <c r="A378">
        <v>806</v>
      </c>
      <c r="B378" t="s">
        <v>708</v>
      </c>
      <c r="C378" s="1" t="s">
        <v>4</v>
      </c>
      <c r="D378" s="1" t="s">
        <v>42</v>
      </c>
      <c r="E378">
        <v>53</v>
      </c>
      <c r="F378">
        <v>127</v>
      </c>
      <c r="G378">
        <v>53</v>
      </c>
      <c r="H378">
        <v>151</v>
      </c>
      <c r="I378">
        <v>79</v>
      </c>
      <c r="J378">
        <v>107</v>
      </c>
      <c r="K378" t="s">
        <v>710</v>
      </c>
      <c r="M378" t="s">
        <v>551</v>
      </c>
      <c r="N378">
        <f t="shared" si="256"/>
        <v>13.1</v>
      </c>
      <c r="O378">
        <f t="shared" si="257"/>
        <v>6.08</v>
      </c>
      <c r="P378">
        <f>-2+0</f>
        <v>-2</v>
      </c>
      <c r="Q378">
        <f>10+1</f>
        <v>11</v>
      </c>
      <c r="R378" s="2">
        <f t="shared" si="258"/>
        <v>11</v>
      </c>
      <c r="S378" s="2">
        <f t="shared" si="259"/>
        <v>17</v>
      </c>
      <c r="T378" s="2">
        <f t="shared" si="389"/>
        <v>28</v>
      </c>
      <c r="U378" t="str">
        <f t="shared" ref="U378:U382" si="390">C378</f>
        <v>fire</v>
      </c>
      <c r="V378" t="str">
        <f>IF(D378 = 0, "", D378)</f>
        <v>ghost</v>
      </c>
      <c r="W378" t="s">
        <v>9</v>
      </c>
      <c r="X378" t="s">
        <v>26</v>
      </c>
      <c r="Z378" s="2" t="str">
        <f>IF(ISBLANK(Y378), "", ROUND(( (T383-6)*(T383-7) - (T378-6)*(T378-7) )/15, 0) + 1)</f>
        <v/>
      </c>
      <c r="AA378" t="str">
        <f t="shared" si="388"/>
        <v>Blacephalon</v>
      </c>
      <c r="AB378" t="s">
        <v>791</v>
      </c>
      <c r="AC378" t="s">
        <v>711</v>
      </c>
      <c r="AD378" t="str">
        <f>VLOOKUP(AC378,moves!A:B,2,FALSE)</f>
        <v>fire</v>
      </c>
      <c r="AE378">
        <f>VLOOKUP(AC378,moves!A:D,4,FALSE)</f>
        <v>9</v>
      </c>
      <c r="AF378" t="str">
        <f>VLOOKUP(AC378,moves!A:F,5,FALSE)</f>
        <v>decisive</v>
      </c>
      <c r="AG378">
        <v>0</v>
      </c>
      <c r="AH378">
        <v>0</v>
      </c>
      <c r="AI378" t="s">
        <v>796</v>
      </c>
      <c r="AK378">
        <v>1</v>
      </c>
      <c r="AL378">
        <v>1</v>
      </c>
      <c r="AM378">
        <v>0</v>
      </c>
    </row>
    <row r="379" spans="1:39" x14ac:dyDescent="0.25">
      <c r="A379">
        <v>800</v>
      </c>
      <c r="B379" t="s">
        <v>807</v>
      </c>
      <c r="C379" s="1" t="s">
        <v>26</v>
      </c>
      <c r="E379">
        <v>97</v>
      </c>
      <c r="F379">
        <v>107</v>
      </c>
      <c r="G379">
        <v>101</v>
      </c>
      <c r="H379">
        <v>127</v>
      </c>
      <c r="I379">
        <v>89</v>
      </c>
      <c r="J379">
        <v>79</v>
      </c>
      <c r="K379" t="s">
        <v>759</v>
      </c>
      <c r="M379" t="s">
        <v>551</v>
      </c>
      <c r="N379">
        <f t="shared" si="256"/>
        <v>10.58</v>
      </c>
      <c r="O379">
        <f t="shared" si="257"/>
        <v>9.58</v>
      </c>
      <c r="P379">
        <v>0</v>
      </c>
      <c r="Q379">
        <v>14</v>
      </c>
      <c r="R379" s="2">
        <f t="shared" si="258"/>
        <v>11</v>
      </c>
      <c r="S379" s="2">
        <f t="shared" si="259"/>
        <v>24</v>
      </c>
      <c r="T379" s="2">
        <f t="shared" si="389"/>
        <v>35</v>
      </c>
      <c r="U379" t="str">
        <f t="shared" si="390"/>
        <v>psychic</v>
      </c>
      <c r="V379" t="s">
        <v>4</v>
      </c>
      <c r="W379" t="s">
        <v>16</v>
      </c>
      <c r="X379" t="s">
        <v>33</v>
      </c>
      <c r="AA379" t="str">
        <f t="shared" si="388"/>
        <v>Necrozma</v>
      </c>
      <c r="AB379" t="s">
        <v>811</v>
      </c>
      <c r="AC379" t="s">
        <v>760</v>
      </c>
      <c r="AD379" t="str">
        <f>VLOOKUP(AC379,moves!A:B,2,FALSE)</f>
        <v>psychic</v>
      </c>
      <c r="AE379">
        <f>VLOOKUP(AC379,moves!A:D,4,FALSE)</f>
        <v>7</v>
      </c>
      <c r="AF379">
        <f>VLOOKUP(AC379,moves!A:F,5,FALSE)</f>
        <v>0</v>
      </c>
      <c r="AG379">
        <v>0</v>
      </c>
      <c r="AH379">
        <v>0</v>
      </c>
      <c r="AI379" t="s">
        <v>803</v>
      </c>
      <c r="AK379">
        <v>1</v>
      </c>
      <c r="AL379">
        <v>1</v>
      </c>
      <c r="AM379">
        <v>1</v>
      </c>
    </row>
    <row r="380" spans="1:39" x14ac:dyDescent="0.25">
      <c r="A380" t="s">
        <v>810</v>
      </c>
      <c r="B380" t="s">
        <v>807</v>
      </c>
      <c r="C380" s="1" t="s">
        <v>26</v>
      </c>
      <c r="D380" s="1" t="s">
        <v>39</v>
      </c>
      <c r="E380">
        <v>97</v>
      </c>
      <c r="F380">
        <v>157</v>
      </c>
      <c r="G380">
        <v>127</v>
      </c>
      <c r="H380">
        <v>113</v>
      </c>
      <c r="I380">
        <v>109</v>
      </c>
      <c r="J380">
        <v>77</v>
      </c>
      <c r="K380" t="s">
        <v>759</v>
      </c>
      <c r="M380" t="s">
        <v>551</v>
      </c>
      <c r="N380">
        <f t="shared" si="256"/>
        <v>12.059999999999999</v>
      </c>
      <c r="O380">
        <f t="shared" si="257"/>
        <v>10.959999999999999</v>
      </c>
      <c r="P380">
        <v>0</v>
      </c>
      <c r="Q380">
        <v>19</v>
      </c>
      <c r="R380" s="2">
        <f t="shared" si="258"/>
        <v>12</v>
      </c>
      <c r="S380" s="2">
        <f t="shared" si="259"/>
        <v>30</v>
      </c>
      <c r="T380" s="2">
        <f t="shared" si="389"/>
        <v>42</v>
      </c>
      <c r="U380" t="str">
        <f t="shared" si="390"/>
        <v>psychic</v>
      </c>
      <c r="V380" t="str">
        <f>IF(D380 = 0, "", D380)</f>
        <v>steel</v>
      </c>
      <c r="W380" t="s">
        <v>4</v>
      </c>
      <c r="X380" t="s">
        <v>33</v>
      </c>
      <c r="AA380" t="s">
        <v>812</v>
      </c>
      <c r="AB380" t="s">
        <v>819</v>
      </c>
      <c r="AC380" t="s">
        <v>814</v>
      </c>
      <c r="AD380" t="str">
        <f>VLOOKUP(AC380,moves!A:B,2,FALSE)</f>
        <v>steel</v>
      </c>
      <c r="AE380">
        <f>VLOOKUP(AC380,moves!A:D,4,FALSE)</f>
        <v>6</v>
      </c>
      <c r="AF380">
        <f>VLOOKUP(AC380,moves!A:F,5,FALSE)</f>
        <v>0</v>
      </c>
      <c r="AG380">
        <v>0</v>
      </c>
      <c r="AH380">
        <v>0</v>
      </c>
      <c r="AI380" t="s">
        <v>803</v>
      </c>
      <c r="AK380">
        <v>1</v>
      </c>
      <c r="AL380">
        <v>1</v>
      </c>
      <c r="AM380">
        <v>2</v>
      </c>
    </row>
    <row r="381" spans="1:39" x14ac:dyDescent="0.25">
      <c r="A381" t="s">
        <v>809</v>
      </c>
      <c r="B381" t="s">
        <v>807</v>
      </c>
      <c r="C381" s="1" t="s">
        <v>26</v>
      </c>
      <c r="D381" s="1" t="s">
        <v>42</v>
      </c>
      <c r="E381">
        <v>97</v>
      </c>
      <c r="F381">
        <v>113</v>
      </c>
      <c r="G381">
        <v>109</v>
      </c>
      <c r="H381">
        <v>157</v>
      </c>
      <c r="I381">
        <v>127</v>
      </c>
      <c r="J381">
        <v>77</v>
      </c>
      <c r="K381" t="s">
        <v>759</v>
      </c>
      <c r="M381" t="s">
        <v>551</v>
      </c>
      <c r="N381">
        <f t="shared" si="256"/>
        <v>12.059999999999999</v>
      </c>
      <c r="O381">
        <f t="shared" si="257"/>
        <v>10.959999999999999</v>
      </c>
      <c r="P381">
        <v>0</v>
      </c>
      <c r="Q381">
        <v>19</v>
      </c>
      <c r="R381" s="2">
        <f t="shared" si="258"/>
        <v>12</v>
      </c>
      <c r="S381" s="2">
        <f t="shared" si="259"/>
        <v>30</v>
      </c>
      <c r="T381" s="2">
        <f t="shared" si="389"/>
        <v>42</v>
      </c>
      <c r="U381" t="str">
        <f t="shared" si="390"/>
        <v>psychic</v>
      </c>
      <c r="V381" t="str">
        <f>IF(D381 = 0, "", D381)</f>
        <v>ghost</v>
      </c>
      <c r="W381" t="s">
        <v>16</v>
      </c>
      <c r="X381" t="s">
        <v>33</v>
      </c>
      <c r="AA381" t="s">
        <v>813</v>
      </c>
      <c r="AB381" t="s">
        <v>820</v>
      </c>
      <c r="AC381" t="s">
        <v>815</v>
      </c>
      <c r="AD381" t="str">
        <f>VLOOKUP(AC381,moves!A:B,2,FALSE)</f>
        <v>ghost</v>
      </c>
      <c r="AE381">
        <f>VLOOKUP(AC381,moves!A:D,4,FALSE)</f>
        <v>6</v>
      </c>
      <c r="AF381">
        <f>VLOOKUP(AC381,moves!A:F,5,FALSE)</f>
        <v>0</v>
      </c>
      <c r="AG381">
        <v>0</v>
      </c>
      <c r="AH381">
        <v>0</v>
      </c>
      <c r="AI381" t="s">
        <v>803</v>
      </c>
      <c r="AK381">
        <v>1</v>
      </c>
      <c r="AL381">
        <v>1</v>
      </c>
      <c r="AM381">
        <v>3</v>
      </c>
    </row>
    <row r="382" spans="1:39" ht="15.75" thickBot="1" x14ac:dyDescent="0.3">
      <c r="A382" s="3" t="s">
        <v>808</v>
      </c>
      <c r="B382" s="3" t="s">
        <v>807</v>
      </c>
      <c r="C382" s="4" t="s">
        <v>26</v>
      </c>
      <c r="D382" s="4" t="s">
        <v>67</v>
      </c>
      <c r="E382" s="3">
        <v>97</v>
      </c>
      <c r="F382" s="3">
        <v>167</v>
      </c>
      <c r="G382" s="3">
        <v>97</v>
      </c>
      <c r="H382" s="3">
        <v>167</v>
      </c>
      <c r="I382" s="3">
        <v>97</v>
      </c>
      <c r="J382" s="3">
        <v>129</v>
      </c>
      <c r="K382" s="3" t="s">
        <v>759</v>
      </c>
      <c r="L382" s="3"/>
      <c r="M382" s="3" t="s">
        <v>551</v>
      </c>
      <c r="N382" s="3">
        <f t="shared" si="256"/>
        <v>15.179999999999998</v>
      </c>
      <c r="O382" s="3">
        <f t="shared" si="257"/>
        <v>9.6999999999999993</v>
      </c>
      <c r="P382" s="3">
        <v>0</v>
      </c>
      <c r="Q382" s="3">
        <v>26</v>
      </c>
      <c r="R382" s="5">
        <f t="shared" ref="R382" si="391">ROUND(N382,0)+P382</f>
        <v>15</v>
      </c>
      <c r="S382" s="5">
        <f t="shared" ref="S382" si="392">ROUND(O382,0)+Q382</f>
        <v>36</v>
      </c>
      <c r="T382" s="5">
        <f t="shared" si="389"/>
        <v>51</v>
      </c>
      <c r="U382" s="3" t="str">
        <f t="shared" si="390"/>
        <v>psychic</v>
      </c>
      <c r="V382" s="3" t="s">
        <v>4</v>
      </c>
      <c r="W382" s="3" t="s">
        <v>16</v>
      </c>
      <c r="X382" s="3" t="s">
        <v>33</v>
      </c>
      <c r="Y382" s="3"/>
      <c r="Z382" s="5"/>
      <c r="AA382" s="3" t="s">
        <v>802</v>
      </c>
      <c r="AB382" s="3" t="s">
        <v>821</v>
      </c>
      <c r="AC382" s="3" t="s">
        <v>816</v>
      </c>
      <c r="AD382" s="3" t="str">
        <f>VLOOKUP(AC382,moves!A:B,2,FALSE)</f>
        <v>typeless</v>
      </c>
      <c r="AE382" s="3">
        <f>VLOOKUP(AC382,moves!A:D,4,FALSE)</f>
        <v>5</v>
      </c>
      <c r="AF382" s="3">
        <f>VLOOKUP(AC382,moves!A:F,5,FALSE)</f>
        <v>0</v>
      </c>
      <c r="AG382" s="3">
        <v>0</v>
      </c>
      <c r="AH382" s="3">
        <v>0</v>
      </c>
      <c r="AI382" s="3" t="s">
        <v>803</v>
      </c>
      <c r="AJ382" s="3"/>
      <c r="AK382" s="3">
        <v>1</v>
      </c>
      <c r="AL382" s="3">
        <v>1</v>
      </c>
      <c r="AM382" s="3">
        <v>4</v>
      </c>
    </row>
    <row r="383" spans="1:39" x14ac:dyDescent="0.25">
      <c r="A383">
        <v>41</v>
      </c>
      <c r="B383" t="s">
        <v>20</v>
      </c>
      <c r="C383" s="1" t="s">
        <v>3</v>
      </c>
      <c r="D383" s="1" t="s">
        <v>5</v>
      </c>
      <c r="E383">
        <v>40</v>
      </c>
      <c r="F383">
        <v>45</v>
      </c>
      <c r="G383">
        <v>35</v>
      </c>
      <c r="H383">
        <v>30</v>
      </c>
      <c r="I383">
        <v>40</v>
      </c>
      <c r="J383">
        <v>55</v>
      </c>
      <c r="K383" t="s">
        <v>254</v>
      </c>
      <c r="M383" t="s">
        <v>551</v>
      </c>
      <c r="N383">
        <f t="shared" si="256"/>
        <v>4.75</v>
      </c>
      <c r="O383">
        <f t="shared" si="257"/>
        <v>3.85</v>
      </c>
      <c r="P383">
        <v>0</v>
      </c>
      <c r="Q383">
        <v>1</v>
      </c>
      <c r="R383" s="2">
        <f t="shared" si="258"/>
        <v>5</v>
      </c>
      <c r="S383" s="2">
        <f t="shared" si="259"/>
        <v>5</v>
      </c>
      <c r="T383" s="2">
        <f t="shared" si="221"/>
        <v>10</v>
      </c>
      <c r="U383" t="str">
        <f>VLOOKUP(AC383,moves!A:B,2,FALSE)</f>
        <v>poison</v>
      </c>
      <c r="Z383" s="2" t="str">
        <f t="shared" si="255"/>
        <v/>
      </c>
      <c r="AA383" t="str">
        <f t="shared" si="224"/>
        <v>Zubat</v>
      </c>
      <c r="AB383" t="s">
        <v>553</v>
      </c>
      <c r="AC383" t="str">
        <f t="shared" ref="AC383:AC412" si="393">VLOOKUP(AA383,$AA$2:$AC$382,3,FALSE)</f>
        <v>Poison Fang</v>
      </c>
      <c r="AD383" t="str">
        <f>VLOOKUP(AC383,moves!A:B,2,FALSE)</f>
        <v>poison</v>
      </c>
      <c r="AE383">
        <f>VLOOKUP(AC383,moves!A:D,4,FALSE)</f>
        <v>2</v>
      </c>
      <c r="AF383">
        <f>VLOOKUP(AC383,moves!A:F,5,FALSE)</f>
        <v>0</v>
      </c>
      <c r="AG383">
        <v>0</v>
      </c>
      <c r="AH383">
        <v>0</v>
      </c>
      <c r="AI383" t="s">
        <v>560</v>
      </c>
      <c r="AJ383" t="s">
        <v>467</v>
      </c>
      <c r="AK383">
        <v>1</v>
      </c>
      <c r="AL383">
        <v>1</v>
      </c>
      <c r="AM383">
        <v>0</v>
      </c>
    </row>
    <row r="384" spans="1:39" x14ac:dyDescent="0.25">
      <c r="A384">
        <v>431</v>
      </c>
      <c r="B384" t="s">
        <v>185</v>
      </c>
      <c r="C384" s="1" t="s">
        <v>8</v>
      </c>
      <c r="E384">
        <v>49</v>
      </c>
      <c r="F384">
        <v>55</v>
      </c>
      <c r="G384">
        <v>42</v>
      </c>
      <c r="H384">
        <v>42</v>
      </c>
      <c r="I384">
        <v>37</v>
      </c>
      <c r="J384">
        <v>85</v>
      </c>
      <c r="K384" t="s">
        <v>356</v>
      </c>
      <c r="M384" t="s">
        <v>551</v>
      </c>
      <c r="N384">
        <f t="shared" si="256"/>
        <v>6.57</v>
      </c>
      <c r="O384">
        <f t="shared" si="257"/>
        <v>4.33</v>
      </c>
      <c r="P384">
        <v>0</v>
      </c>
      <c r="Q384">
        <v>1</v>
      </c>
      <c r="R384" s="2">
        <f t="shared" si="258"/>
        <v>7</v>
      </c>
      <c r="S384" s="2">
        <f t="shared" si="259"/>
        <v>5</v>
      </c>
      <c r="T384" s="2">
        <f t="shared" si="221"/>
        <v>12</v>
      </c>
      <c r="U384" t="str">
        <f>VLOOKUP(AC384,moves!A:B,2,FALSE)</f>
        <v>fairy</v>
      </c>
      <c r="Z384" s="2" t="str">
        <f t="shared" si="255"/>
        <v/>
      </c>
      <c r="AA384" t="str">
        <f t="shared" si="224"/>
        <v>Glameow</v>
      </c>
      <c r="AB384" t="s">
        <v>553</v>
      </c>
      <c r="AC384" t="str">
        <f t="shared" si="393"/>
        <v>Play Rough</v>
      </c>
      <c r="AD384" t="str">
        <f>VLOOKUP(AC384,moves!A:B,2,FALSE)</f>
        <v>fairy</v>
      </c>
      <c r="AE384">
        <f>VLOOKUP(AC384,moves!A:D,4,FALSE)</f>
        <v>3</v>
      </c>
      <c r="AF384">
        <f>VLOOKUP(AC384,moves!A:F,5,FALSE)</f>
        <v>0</v>
      </c>
      <c r="AG384">
        <v>0</v>
      </c>
      <c r="AH384">
        <v>0</v>
      </c>
      <c r="AI384" t="s">
        <v>560</v>
      </c>
      <c r="AJ384" t="s">
        <v>467</v>
      </c>
      <c r="AK384">
        <v>1</v>
      </c>
      <c r="AL384">
        <v>1</v>
      </c>
      <c r="AM384">
        <v>0</v>
      </c>
    </row>
    <row r="385" spans="1:39" x14ac:dyDescent="0.25">
      <c r="A385">
        <v>453</v>
      </c>
      <c r="B385" t="s">
        <v>207</v>
      </c>
      <c r="C385" s="1" t="s">
        <v>3</v>
      </c>
      <c r="D385" s="1" t="s">
        <v>22</v>
      </c>
      <c r="E385">
        <v>48</v>
      </c>
      <c r="F385">
        <v>61</v>
      </c>
      <c r="G385">
        <v>40</v>
      </c>
      <c r="H385">
        <v>61</v>
      </c>
      <c r="I385">
        <v>40</v>
      </c>
      <c r="J385">
        <v>50</v>
      </c>
      <c r="K385" t="s">
        <v>383</v>
      </c>
      <c r="M385" t="s">
        <v>551</v>
      </c>
      <c r="N385">
        <f t="shared" si="256"/>
        <v>5.66</v>
      </c>
      <c r="O385">
        <f t="shared" si="257"/>
        <v>4.32</v>
      </c>
      <c r="P385">
        <v>0</v>
      </c>
      <c r="Q385">
        <v>1</v>
      </c>
      <c r="R385" s="2">
        <f t="shared" si="258"/>
        <v>6</v>
      </c>
      <c r="S385" s="2">
        <f t="shared" si="259"/>
        <v>5</v>
      </c>
      <c r="T385" s="2">
        <f t="shared" ref="T385:T412" si="394">SUM(ROUND(R385,0),ROUND(S385,0))</f>
        <v>11</v>
      </c>
      <c r="U385" t="str">
        <f>VLOOKUP(AC385,moves!A:B,2,FALSE)</f>
        <v>fighting</v>
      </c>
      <c r="Z385" s="2" t="str">
        <f t="shared" si="255"/>
        <v/>
      </c>
      <c r="AA385" t="str">
        <f t="shared" si="224"/>
        <v>Croagunk</v>
      </c>
      <c r="AB385" t="s">
        <v>553</v>
      </c>
      <c r="AC385" t="str">
        <f t="shared" si="393"/>
        <v>Revenge</v>
      </c>
      <c r="AD385" t="str">
        <f>VLOOKUP(AC385,moves!A:B,2,FALSE)</f>
        <v>fighting</v>
      </c>
      <c r="AE385">
        <f>VLOOKUP(AC385,moves!A:D,4,FALSE)</f>
        <v>2</v>
      </c>
      <c r="AF385">
        <f>VLOOKUP(AC385,moves!A:F,5,FALSE)</f>
        <v>0</v>
      </c>
      <c r="AG385">
        <v>0</v>
      </c>
      <c r="AH385">
        <v>0</v>
      </c>
      <c r="AI385" t="s">
        <v>560</v>
      </c>
      <c r="AJ385" t="s">
        <v>468</v>
      </c>
      <c r="AK385">
        <v>1</v>
      </c>
      <c r="AL385">
        <v>1</v>
      </c>
      <c r="AM385">
        <v>0</v>
      </c>
    </row>
    <row r="386" spans="1:39" x14ac:dyDescent="0.25">
      <c r="A386">
        <v>436</v>
      </c>
      <c r="B386" t="s">
        <v>190</v>
      </c>
      <c r="C386" s="1" t="s">
        <v>26</v>
      </c>
      <c r="D386" s="1" t="s">
        <v>39</v>
      </c>
      <c r="E386">
        <v>57</v>
      </c>
      <c r="F386">
        <v>24</v>
      </c>
      <c r="G386">
        <v>86</v>
      </c>
      <c r="H386">
        <v>24</v>
      </c>
      <c r="I386">
        <v>86</v>
      </c>
      <c r="J386">
        <v>23</v>
      </c>
      <c r="K386" t="s">
        <v>361</v>
      </c>
      <c r="M386" t="s">
        <v>551</v>
      </c>
      <c r="N386">
        <f t="shared" si="256"/>
        <v>2.3600000000000003</v>
      </c>
      <c r="O386">
        <f t="shared" si="257"/>
        <v>7.44</v>
      </c>
      <c r="P386">
        <v>0</v>
      </c>
      <c r="Q386">
        <v>1</v>
      </c>
      <c r="R386" s="2">
        <f t="shared" si="258"/>
        <v>2</v>
      </c>
      <c r="S386" s="2">
        <f t="shared" si="259"/>
        <v>8</v>
      </c>
      <c r="T386" s="2">
        <f t="shared" si="394"/>
        <v>10</v>
      </c>
      <c r="U386" t="str">
        <f>VLOOKUP(AC386,moves!A:B,2,FALSE)</f>
        <v>psychic</v>
      </c>
      <c r="Z386" s="2" t="str">
        <f t="shared" si="255"/>
        <v/>
      </c>
      <c r="AA386" t="str">
        <f t="shared" si="224"/>
        <v>Bronzor</v>
      </c>
      <c r="AB386" t="s">
        <v>553</v>
      </c>
      <c r="AC386" t="str">
        <f t="shared" si="393"/>
        <v>Confusion</v>
      </c>
      <c r="AD386" t="str">
        <f>VLOOKUP(AC386,moves!A:B,2,FALSE)</f>
        <v>psychic</v>
      </c>
      <c r="AE386">
        <f>VLOOKUP(AC386,moves!A:D,4,FALSE)</f>
        <v>2</v>
      </c>
      <c r="AF386">
        <f>VLOOKUP(AC386,moves!A:F,5,FALSE)</f>
        <v>0</v>
      </c>
      <c r="AG386">
        <v>0</v>
      </c>
      <c r="AH386">
        <v>0</v>
      </c>
      <c r="AI386" t="s">
        <v>560</v>
      </c>
      <c r="AJ386" t="s">
        <v>468</v>
      </c>
      <c r="AK386">
        <v>1</v>
      </c>
      <c r="AL386">
        <v>1</v>
      </c>
      <c r="AM386">
        <v>0</v>
      </c>
    </row>
    <row r="387" spans="1:39" x14ac:dyDescent="0.25">
      <c r="A387">
        <v>434</v>
      </c>
      <c r="B387" t="s">
        <v>188</v>
      </c>
      <c r="C387" s="1" t="s">
        <v>3</v>
      </c>
      <c r="D387" s="1" t="s">
        <v>9</v>
      </c>
      <c r="E387">
        <v>63</v>
      </c>
      <c r="F387">
        <v>63</v>
      </c>
      <c r="G387">
        <v>47</v>
      </c>
      <c r="H387">
        <v>41</v>
      </c>
      <c r="I387">
        <v>41</v>
      </c>
      <c r="J387">
        <v>74</v>
      </c>
      <c r="K387" t="s">
        <v>360</v>
      </c>
      <c r="M387" t="s">
        <v>551</v>
      </c>
      <c r="N387">
        <f t="shared" si="256"/>
        <v>6.5200000000000005</v>
      </c>
      <c r="O387">
        <f t="shared" si="257"/>
        <v>5.16</v>
      </c>
      <c r="P387">
        <v>0</v>
      </c>
      <c r="Q387">
        <v>1</v>
      </c>
      <c r="R387" s="2">
        <f t="shared" si="258"/>
        <v>7</v>
      </c>
      <c r="S387" s="2">
        <f t="shared" si="259"/>
        <v>6</v>
      </c>
      <c r="T387" s="2">
        <f t="shared" si="394"/>
        <v>13</v>
      </c>
      <c r="U387" t="str">
        <f>VLOOKUP(AC387,moves!A:B,2,FALSE)</f>
        <v>poison</v>
      </c>
      <c r="Z387" s="2" t="str">
        <f t="shared" si="255"/>
        <v/>
      </c>
      <c r="AA387" t="s">
        <v>188</v>
      </c>
      <c r="AB387" t="s">
        <v>553</v>
      </c>
      <c r="AC387" t="str">
        <f t="shared" si="393"/>
        <v>Poison Gas</v>
      </c>
      <c r="AD387" t="str">
        <f>VLOOKUP(AC387,moves!A:B,2,FALSE)</f>
        <v>poison</v>
      </c>
      <c r="AE387">
        <f>VLOOKUP(AC387,moves!A:D,4,FALSE)</f>
        <v>1</v>
      </c>
      <c r="AF387">
        <f>VLOOKUP(AC387,moves!A:F,5,FALSE)</f>
        <v>0</v>
      </c>
      <c r="AG387">
        <v>0</v>
      </c>
      <c r="AH387">
        <v>0</v>
      </c>
      <c r="AI387" t="s">
        <v>560</v>
      </c>
      <c r="AJ387" t="s">
        <v>467</v>
      </c>
      <c r="AK387">
        <v>1</v>
      </c>
      <c r="AL387">
        <v>1</v>
      </c>
      <c r="AM387">
        <v>0</v>
      </c>
    </row>
    <row r="388" spans="1:39" x14ac:dyDescent="0.25">
      <c r="A388">
        <v>198</v>
      </c>
      <c r="B388" t="s">
        <v>84</v>
      </c>
      <c r="C388" s="1" t="s">
        <v>9</v>
      </c>
      <c r="D388" s="1" t="s">
        <v>5</v>
      </c>
      <c r="E388">
        <v>60</v>
      </c>
      <c r="F388">
        <v>85</v>
      </c>
      <c r="G388">
        <v>42</v>
      </c>
      <c r="H388">
        <v>85</v>
      </c>
      <c r="I388">
        <v>42</v>
      </c>
      <c r="J388">
        <v>91</v>
      </c>
      <c r="K388" t="s">
        <v>354</v>
      </c>
      <c r="M388" t="s">
        <v>551</v>
      </c>
      <c r="N388">
        <f t="shared" si="256"/>
        <v>8.74</v>
      </c>
      <c r="O388">
        <f t="shared" si="257"/>
        <v>4.92</v>
      </c>
      <c r="P388">
        <v>0</v>
      </c>
      <c r="Q388">
        <v>1</v>
      </c>
      <c r="R388" s="2">
        <f t="shared" si="258"/>
        <v>9</v>
      </c>
      <c r="S388" s="2">
        <f t="shared" si="259"/>
        <v>6</v>
      </c>
      <c r="T388" s="2">
        <f t="shared" si="394"/>
        <v>15</v>
      </c>
      <c r="U388" t="str">
        <f>VLOOKUP(AC388,moves!A:B,2,FALSE)</f>
        <v>flying</v>
      </c>
      <c r="Z388" s="2" t="str">
        <f t="shared" si="255"/>
        <v/>
      </c>
      <c r="AA388" t="str">
        <f t="shared" ref="AA388:AA409" si="395">B388</f>
        <v>Murkrow</v>
      </c>
      <c r="AB388" t="s">
        <v>553</v>
      </c>
      <c r="AC388" t="str">
        <f t="shared" si="393"/>
        <v>Wing Attack</v>
      </c>
      <c r="AD388" t="str">
        <f>VLOOKUP(AC388,moves!A:B,2,FALSE)</f>
        <v>flying</v>
      </c>
      <c r="AE388">
        <f>VLOOKUP(AC388,moves!A:D,4,FALSE)</f>
        <v>3</v>
      </c>
      <c r="AF388">
        <f>VLOOKUP(AC388,moves!A:F,5,FALSE)</f>
        <v>0</v>
      </c>
      <c r="AG388">
        <v>0</v>
      </c>
      <c r="AH388">
        <v>0</v>
      </c>
      <c r="AI388" t="s">
        <v>560</v>
      </c>
      <c r="AJ388" t="s">
        <v>467</v>
      </c>
      <c r="AK388">
        <v>1</v>
      </c>
      <c r="AL388">
        <v>1</v>
      </c>
      <c r="AM388">
        <v>0</v>
      </c>
    </row>
    <row r="389" spans="1:39" x14ac:dyDescent="0.25">
      <c r="A389">
        <v>451</v>
      </c>
      <c r="B389" t="s">
        <v>205</v>
      </c>
      <c r="C389" s="1" t="s">
        <v>3</v>
      </c>
      <c r="D389" s="1" t="s">
        <v>7</v>
      </c>
      <c r="E389">
        <v>40</v>
      </c>
      <c r="F389">
        <v>50</v>
      </c>
      <c r="G389">
        <v>90</v>
      </c>
      <c r="H389">
        <v>30</v>
      </c>
      <c r="I389">
        <v>55</v>
      </c>
      <c r="J389">
        <v>65</v>
      </c>
      <c r="K389" t="s">
        <v>381</v>
      </c>
      <c r="M389" t="s">
        <v>551</v>
      </c>
      <c r="N389">
        <f t="shared" si="256"/>
        <v>5.4</v>
      </c>
      <c r="O389">
        <f t="shared" si="257"/>
        <v>5.95</v>
      </c>
      <c r="P389">
        <v>0</v>
      </c>
      <c r="Q389">
        <v>1</v>
      </c>
      <c r="R389" s="2">
        <f t="shared" si="258"/>
        <v>5</v>
      </c>
      <c r="S389" s="2">
        <f t="shared" si="259"/>
        <v>7</v>
      </c>
      <c r="T389" s="2">
        <f t="shared" si="394"/>
        <v>12</v>
      </c>
      <c r="U389" t="str">
        <f>VLOOKUP(AC389,moves!A:B,2,FALSE)</f>
        <v>bug</v>
      </c>
      <c r="Z389" s="2" t="str">
        <f t="shared" si="255"/>
        <v/>
      </c>
      <c r="AA389" t="str">
        <f t="shared" si="395"/>
        <v>Skorupi</v>
      </c>
      <c r="AB389" t="s">
        <v>553</v>
      </c>
      <c r="AC389" t="str">
        <f t="shared" si="393"/>
        <v>Bug Bite</v>
      </c>
      <c r="AD389" t="str">
        <f>VLOOKUP(AC389,moves!A:B,2,FALSE)</f>
        <v>bug</v>
      </c>
      <c r="AE389">
        <f>VLOOKUP(AC389,moves!A:D,4,FALSE)</f>
        <v>3</v>
      </c>
      <c r="AF389">
        <f>VLOOKUP(AC389,moves!A:F,5,FALSE)</f>
        <v>0</v>
      </c>
      <c r="AG389">
        <v>0</v>
      </c>
      <c r="AH389">
        <v>0</v>
      </c>
      <c r="AI389" t="s">
        <v>560</v>
      </c>
      <c r="AJ389" t="s">
        <v>468</v>
      </c>
      <c r="AK389">
        <v>1</v>
      </c>
      <c r="AL389">
        <v>1</v>
      </c>
      <c r="AM389">
        <v>0</v>
      </c>
    </row>
    <row r="390" spans="1:39" ht="15.75" thickBot="1" x14ac:dyDescent="0.3">
      <c r="A390" s="3">
        <v>228</v>
      </c>
      <c r="B390" s="3" t="s">
        <v>99</v>
      </c>
      <c r="C390" s="4" t="s">
        <v>9</v>
      </c>
      <c r="D390" s="4" t="s">
        <v>4</v>
      </c>
      <c r="E390" s="3">
        <v>45</v>
      </c>
      <c r="F390" s="3">
        <v>60</v>
      </c>
      <c r="G390" s="3">
        <v>30</v>
      </c>
      <c r="H390" s="3">
        <v>80</v>
      </c>
      <c r="I390" s="3">
        <v>50</v>
      </c>
      <c r="J390" s="3">
        <v>65</v>
      </c>
      <c r="K390" s="3" t="s">
        <v>428</v>
      </c>
      <c r="L390" s="3"/>
      <c r="M390" s="3" t="s">
        <v>551</v>
      </c>
      <c r="N390" s="3">
        <f t="shared" si="256"/>
        <v>7.2</v>
      </c>
      <c r="O390" s="3">
        <f t="shared" si="257"/>
        <v>4.2</v>
      </c>
      <c r="P390" s="3">
        <v>0</v>
      </c>
      <c r="Q390" s="3">
        <v>1</v>
      </c>
      <c r="R390" s="5">
        <f t="shared" si="258"/>
        <v>7</v>
      </c>
      <c r="S390" s="5">
        <f t="shared" si="259"/>
        <v>5</v>
      </c>
      <c r="T390" s="5">
        <f t="shared" si="394"/>
        <v>12</v>
      </c>
      <c r="U390" s="3" t="str">
        <f>VLOOKUP(AC390,moves!A:B,2,FALSE)</f>
        <v>dark</v>
      </c>
      <c r="V390" s="3"/>
      <c r="W390" s="3"/>
      <c r="X390" s="3"/>
      <c r="Y390" s="3"/>
      <c r="Z390" s="5" t="str">
        <f t="shared" si="255"/>
        <v/>
      </c>
      <c r="AA390" s="3" t="str">
        <f t="shared" si="395"/>
        <v>Houndour</v>
      </c>
      <c r="AB390" s="3" t="s">
        <v>553</v>
      </c>
      <c r="AC390" s="3" t="str">
        <f t="shared" si="393"/>
        <v>Bite</v>
      </c>
      <c r="AD390" s="3" t="str">
        <f>VLOOKUP(AC390,moves!A:B,2,FALSE)</f>
        <v>dark</v>
      </c>
      <c r="AE390" s="3">
        <f>VLOOKUP(AC390,moves!A:D,4,FALSE)</f>
        <v>3</v>
      </c>
      <c r="AF390" s="3">
        <f>VLOOKUP(AC390,moves!A:F,5,FALSE)</f>
        <v>0</v>
      </c>
      <c r="AG390" s="3">
        <v>0</v>
      </c>
      <c r="AH390" s="3">
        <v>0</v>
      </c>
      <c r="AI390" s="3" t="s">
        <v>560</v>
      </c>
      <c r="AJ390" s="3" t="s">
        <v>468</v>
      </c>
      <c r="AK390" s="3">
        <v>1</v>
      </c>
      <c r="AL390" s="3">
        <v>1</v>
      </c>
      <c r="AM390" s="3">
        <v>0</v>
      </c>
    </row>
    <row r="391" spans="1:39" x14ac:dyDescent="0.25">
      <c r="A391">
        <v>42</v>
      </c>
      <c r="B391" t="s">
        <v>21</v>
      </c>
      <c r="C391" t="s">
        <v>3</v>
      </c>
      <c r="D391" t="s">
        <v>5</v>
      </c>
      <c r="E391">
        <v>75</v>
      </c>
      <c r="F391">
        <v>80</v>
      </c>
      <c r="G391">
        <v>70</v>
      </c>
      <c r="H391">
        <v>65</v>
      </c>
      <c r="I391">
        <v>75</v>
      </c>
      <c r="J391">
        <v>90</v>
      </c>
      <c r="K391" t="s">
        <v>254</v>
      </c>
      <c r="M391" t="s">
        <v>551</v>
      </c>
      <c r="N391">
        <f t="shared" si="256"/>
        <v>8.25</v>
      </c>
      <c r="O391">
        <f t="shared" si="257"/>
        <v>7.35</v>
      </c>
      <c r="P391">
        <v>1</v>
      </c>
      <c r="Q391">
        <v>2</v>
      </c>
      <c r="R391" s="2">
        <f t="shared" si="258"/>
        <v>9</v>
      </c>
      <c r="S391" s="2">
        <f t="shared" si="259"/>
        <v>9</v>
      </c>
      <c r="T391" s="2">
        <f t="shared" si="394"/>
        <v>18</v>
      </c>
      <c r="U391" t="str">
        <f>VLOOKUP(AC391,moves!A:B,2,FALSE)</f>
        <v>flying</v>
      </c>
      <c r="Z391" s="2" t="str">
        <f t="shared" si="255"/>
        <v/>
      </c>
      <c r="AA391" t="str">
        <f t="shared" si="395"/>
        <v>Golbat</v>
      </c>
      <c r="AB391" t="s">
        <v>554</v>
      </c>
      <c r="AC391" t="str">
        <f t="shared" si="393"/>
        <v>Air Cutter</v>
      </c>
      <c r="AD391" t="str">
        <f>VLOOKUP(AC391,moves!A:B,2,FALSE)</f>
        <v>flying</v>
      </c>
      <c r="AE391">
        <f>VLOOKUP(AC391,moves!A:D,4,FALSE)</f>
        <v>3</v>
      </c>
      <c r="AF391">
        <f>VLOOKUP(AC391,moves!A:F,5,FALSE)</f>
        <v>0</v>
      </c>
      <c r="AG391">
        <v>0</v>
      </c>
      <c r="AH391">
        <v>0</v>
      </c>
      <c r="AI391" t="s">
        <v>561</v>
      </c>
      <c r="AJ391" t="s">
        <v>474</v>
      </c>
      <c r="AK391">
        <v>1</v>
      </c>
      <c r="AL391">
        <v>1</v>
      </c>
      <c r="AM391">
        <v>0</v>
      </c>
    </row>
    <row r="392" spans="1:39" x14ac:dyDescent="0.25">
      <c r="A392">
        <v>465</v>
      </c>
      <c r="B392" t="s">
        <v>219</v>
      </c>
      <c r="C392" s="1" t="s">
        <v>2</v>
      </c>
      <c r="E392">
        <v>100</v>
      </c>
      <c r="F392">
        <v>100</v>
      </c>
      <c r="G392">
        <v>125</v>
      </c>
      <c r="H392">
        <v>110</v>
      </c>
      <c r="I392">
        <v>50</v>
      </c>
      <c r="J392">
        <v>50</v>
      </c>
      <c r="K392" t="s">
        <v>395</v>
      </c>
      <c r="M392" t="s">
        <v>551</v>
      </c>
      <c r="N392">
        <f t="shared" si="256"/>
        <v>8.5</v>
      </c>
      <c r="O392">
        <f t="shared" si="257"/>
        <v>9.25</v>
      </c>
      <c r="P392">
        <v>0</v>
      </c>
      <c r="Q392">
        <v>2</v>
      </c>
      <c r="R392" s="2">
        <f t="shared" si="258"/>
        <v>9</v>
      </c>
      <c r="S392" s="2">
        <f t="shared" si="259"/>
        <v>11</v>
      </c>
      <c r="T392" s="2">
        <f t="shared" si="394"/>
        <v>20</v>
      </c>
      <c r="U392" t="str">
        <f>VLOOKUP(AC392,moves!A:B,2,FALSE)</f>
        <v>grass</v>
      </c>
      <c r="Z392" s="2" t="str">
        <f t="shared" si="255"/>
        <v/>
      </c>
      <c r="AA392" t="str">
        <f t="shared" si="395"/>
        <v>Tangrowth</v>
      </c>
      <c r="AB392" t="s">
        <v>554</v>
      </c>
      <c r="AC392" t="str">
        <f t="shared" si="393"/>
        <v>Power Whip</v>
      </c>
      <c r="AD392" t="str">
        <f>VLOOKUP(AC392,moves!A:B,2,FALSE)</f>
        <v>grass</v>
      </c>
      <c r="AE392">
        <f>VLOOKUP(AC392,moves!A:D,4,FALSE)</f>
        <v>4</v>
      </c>
      <c r="AF392" t="str">
        <f>VLOOKUP(AC392,moves!A:F,5,FALSE)</f>
        <v>decisive</v>
      </c>
      <c r="AG392">
        <v>0</v>
      </c>
      <c r="AH392">
        <v>0</v>
      </c>
      <c r="AI392" t="s">
        <v>561</v>
      </c>
      <c r="AJ392" t="s">
        <v>474</v>
      </c>
      <c r="AK392">
        <v>1</v>
      </c>
      <c r="AL392">
        <v>1</v>
      </c>
      <c r="AM392">
        <v>0</v>
      </c>
    </row>
    <row r="393" spans="1:39" x14ac:dyDescent="0.25">
      <c r="A393">
        <v>435</v>
      </c>
      <c r="B393" t="s">
        <v>189</v>
      </c>
      <c r="C393" s="1" t="s">
        <v>3</v>
      </c>
      <c r="D393" s="1" t="s">
        <v>9</v>
      </c>
      <c r="E393">
        <v>103</v>
      </c>
      <c r="F393">
        <v>93</v>
      </c>
      <c r="G393">
        <v>67</v>
      </c>
      <c r="H393">
        <v>71</v>
      </c>
      <c r="I393">
        <v>61</v>
      </c>
      <c r="J393">
        <v>84</v>
      </c>
      <c r="K393" t="s">
        <v>360</v>
      </c>
      <c r="M393" t="s">
        <v>551</v>
      </c>
      <c r="N393">
        <f t="shared" si="256"/>
        <v>8.7199999999999989</v>
      </c>
      <c r="O393">
        <f t="shared" si="257"/>
        <v>7.9599999999999991</v>
      </c>
      <c r="P393">
        <v>0</v>
      </c>
      <c r="Q393">
        <v>2</v>
      </c>
      <c r="R393" s="2">
        <f t="shared" si="258"/>
        <v>9</v>
      </c>
      <c r="S393" s="2">
        <f t="shared" si="259"/>
        <v>10</v>
      </c>
      <c r="T393" s="2">
        <f t="shared" si="394"/>
        <v>19</v>
      </c>
      <c r="U393" t="str">
        <f>VLOOKUP(AC393,moves!A:B,2,FALSE)</f>
        <v>dark</v>
      </c>
      <c r="Z393" s="2" t="str">
        <f>IF(ISBLANK(Y393), "", ROUND(( (T395-6)*(T395-7) - (T393-6)*(T393-7) )/15, 0) + 1)</f>
        <v/>
      </c>
      <c r="AA393" t="str">
        <f t="shared" si="395"/>
        <v>Skuntank</v>
      </c>
      <c r="AB393" t="s">
        <v>554</v>
      </c>
      <c r="AC393" t="str">
        <f t="shared" si="393"/>
        <v>Night Slash</v>
      </c>
      <c r="AD393" t="str">
        <f>VLOOKUP(AC393,moves!A:B,2,FALSE)</f>
        <v>dark</v>
      </c>
      <c r="AE393">
        <f>VLOOKUP(AC393,moves!A:D,4,FALSE)</f>
        <v>4</v>
      </c>
      <c r="AF393">
        <f>VLOOKUP(AC393,moves!A:F,5,FALSE)</f>
        <v>0</v>
      </c>
      <c r="AG393">
        <v>0</v>
      </c>
      <c r="AH393">
        <v>0</v>
      </c>
      <c r="AI393" t="s">
        <v>561</v>
      </c>
      <c r="AJ393" t="s">
        <v>474</v>
      </c>
      <c r="AK393">
        <v>1</v>
      </c>
      <c r="AL393">
        <v>1</v>
      </c>
      <c r="AM393">
        <v>0</v>
      </c>
    </row>
    <row r="394" spans="1:39" x14ac:dyDescent="0.25">
      <c r="A394">
        <v>423</v>
      </c>
      <c r="B394" t="s">
        <v>316</v>
      </c>
      <c r="C394" s="1" t="s">
        <v>6</v>
      </c>
      <c r="D394" s="1" t="s">
        <v>13</v>
      </c>
      <c r="E394">
        <v>111</v>
      </c>
      <c r="F394">
        <v>83</v>
      </c>
      <c r="G394">
        <v>68</v>
      </c>
      <c r="H394">
        <v>92</v>
      </c>
      <c r="I394">
        <v>82</v>
      </c>
      <c r="J394">
        <v>39</v>
      </c>
      <c r="K394" t="s">
        <v>347</v>
      </c>
      <c r="M394" t="s">
        <v>551</v>
      </c>
      <c r="N394">
        <f t="shared" si="256"/>
        <v>6.99</v>
      </c>
      <c r="O394">
        <f t="shared" si="257"/>
        <v>8.9400000000000013</v>
      </c>
      <c r="P394">
        <v>0</v>
      </c>
      <c r="Q394">
        <v>2</v>
      </c>
      <c r="R394" s="2">
        <f t="shared" si="258"/>
        <v>7</v>
      </c>
      <c r="S394" s="2">
        <f t="shared" si="259"/>
        <v>11</v>
      </c>
      <c r="T394" s="2">
        <f t="shared" si="394"/>
        <v>18</v>
      </c>
      <c r="U394" t="str">
        <f>VLOOKUP(AC394,moves!A:B,2,FALSE)</f>
        <v>ice</v>
      </c>
      <c r="AA394" t="s">
        <v>440</v>
      </c>
      <c r="AB394" t="s">
        <v>554</v>
      </c>
      <c r="AC394" t="str">
        <f t="shared" si="393"/>
        <v>Ice Beam</v>
      </c>
      <c r="AD394" t="str">
        <f>VLOOKUP(AC394,moves!A:B,2,FALSE)</f>
        <v>ice</v>
      </c>
      <c r="AE394">
        <f>VLOOKUP(AC394,moves!A:D,4,FALSE)</f>
        <v>4</v>
      </c>
      <c r="AF394">
        <f>VLOOKUP(AC394,moves!A:F,5,FALSE)</f>
        <v>0</v>
      </c>
      <c r="AG394">
        <v>0</v>
      </c>
      <c r="AH394">
        <v>0</v>
      </c>
      <c r="AI394" t="s">
        <v>561</v>
      </c>
      <c r="AJ394" t="s">
        <v>474</v>
      </c>
      <c r="AK394">
        <v>1</v>
      </c>
      <c r="AL394">
        <v>1</v>
      </c>
      <c r="AM394">
        <v>0</v>
      </c>
    </row>
    <row r="395" spans="1:39" ht="15.75" thickBot="1" x14ac:dyDescent="0.3">
      <c r="A395" s="3" t="s">
        <v>1051</v>
      </c>
      <c r="B395" s="3" t="s">
        <v>233</v>
      </c>
      <c r="C395" s="4" t="s">
        <v>26</v>
      </c>
      <c r="D395" s="4" t="s">
        <v>14</v>
      </c>
      <c r="E395" s="3">
        <v>75</v>
      </c>
      <c r="F395" s="3">
        <v>75</v>
      </c>
      <c r="G395" s="3">
        <v>130</v>
      </c>
      <c r="H395" s="3">
        <v>75</v>
      </c>
      <c r="I395" s="3">
        <v>130</v>
      </c>
      <c r="J395" s="3">
        <v>95</v>
      </c>
      <c r="K395" s="3" t="s">
        <v>593</v>
      </c>
      <c r="L395" s="3"/>
      <c r="M395" s="3" t="s">
        <v>551</v>
      </c>
      <c r="N395" s="3">
        <f t="shared" si="256"/>
        <v>8.3000000000000007</v>
      </c>
      <c r="O395" s="3">
        <f t="shared" si="257"/>
        <v>10.8</v>
      </c>
      <c r="P395" s="3">
        <v>0</v>
      </c>
      <c r="Q395" s="3">
        <v>1</v>
      </c>
      <c r="R395" s="5">
        <f t="shared" si="258"/>
        <v>8</v>
      </c>
      <c r="S395" s="5">
        <f t="shared" si="259"/>
        <v>12</v>
      </c>
      <c r="T395" s="5">
        <f t="shared" si="394"/>
        <v>20</v>
      </c>
      <c r="U395" s="3" t="str">
        <f>VLOOKUP(AC395,moves!A:B,2,FALSE)</f>
        <v>ice</v>
      </c>
      <c r="V395" s="3"/>
      <c r="W395" s="3"/>
      <c r="X395" s="3"/>
      <c r="Y395" s="3"/>
      <c r="Z395" s="5" t="str">
        <f t="shared" si="255"/>
        <v/>
      </c>
      <c r="AA395" s="3" t="str">
        <f t="shared" si="395"/>
        <v>Uxie</v>
      </c>
      <c r="AB395" s="3" t="s">
        <v>554</v>
      </c>
      <c r="AC395" s="3" t="str">
        <f t="shared" si="393"/>
        <v>Chilling Acuity</v>
      </c>
      <c r="AD395" s="3" t="str">
        <f>VLOOKUP(AC395,moves!A:B,2,FALSE)</f>
        <v>ice</v>
      </c>
      <c r="AE395" s="3">
        <f>VLOOKUP(AC395,moves!A:D,4,FALSE)</f>
        <v>4</v>
      </c>
      <c r="AF395" s="3">
        <f>VLOOKUP(AC395,moves!A:F,5,FALSE)</f>
        <v>0</v>
      </c>
      <c r="AG395" s="3">
        <v>0</v>
      </c>
      <c r="AH395" s="3">
        <v>0</v>
      </c>
      <c r="AI395" s="3" t="s">
        <v>561</v>
      </c>
      <c r="AJ395" s="3" t="s">
        <v>474</v>
      </c>
      <c r="AK395" s="3">
        <v>1</v>
      </c>
      <c r="AL395" s="3">
        <v>1</v>
      </c>
      <c r="AM395" s="3">
        <v>0</v>
      </c>
    </row>
    <row r="396" spans="1:39" x14ac:dyDescent="0.25">
      <c r="A396">
        <v>437</v>
      </c>
      <c r="B396" t="s">
        <v>191</v>
      </c>
      <c r="C396" s="1" t="s">
        <v>39</v>
      </c>
      <c r="D396" s="1" t="s">
        <v>26</v>
      </c>
      <c r="E396">
        <v>67</v>
      </c>
      <c r="F396">
        <v>89</v>
      </c>
      <c r="G396">
        <v>116</v>
      </c>
      <c r="H396">
        <v>79</v>
      </c>
      <c r="I396">
        <v>116</v>
      </c>
      <c r="J396">
        <v>33</v>
      </c>
      <c r="K396" t="s">
        <v>362</v>
      </c>
      <c r="M396" t="s">
        <v>551</v>
      </c>
      <c r="N396">
        <f t="shared" si="256"/>
        <v>6.5600000000000005</v>
      </c>
      <c r="O396">
        <f t="shared" si="257"/>
        <v>9.6399999999999988</v>
      </c>
      <c r="P396">
        <v>0</v>
      </c>
      <c r="Q396">
        <v>2</v>
      </c>
      <c r="R396" s="2">
        <f t="shared" si="258"/>
        <v>7</v>
      </c>
      <c r="S396" s="2">
        <f t="shared" si="259"/>
        <v>12</v>
      </c>
      <c r="T396" s="2">
        <f t="shared" si="394"/>
        <v>19</v>
      </c>
      <c r="U396" t="str">
        <f>VLOOKUP(AC396,moves!A:B,2,FALSE)</f>
        <v>steel</v>
      </c>
      <c r="Z396" s="2" t="str">
        <f t="shared" si="255"/>
        <v/>
      </c>
      <c r="AA396" t="str">
        <f t="shared" si="395"/>
        <v>Bronzong</v>
      </c>
      <c r="AB396" t="s">
        <v>555</v>
      </c>
      <c r="AC396" t="str">
        <f t="shared" si="393"/>
        <v>Heavy Slam</v>
      </c>
      <c r="AD396" t="str">
        <f>VLOOKUP(AC396,moves!A:B,2,FALSE)</f>
        <v>steel</v>
      </c>
      <c r="AE396" t="str">
        <f>VLOOKUP(AC396,moves!A:D,4,FALSE)</f>
        <v>?</v>
      </c>
      <c r="AF396">
        <f>VLOOKUP(AC396,moves!A:F,5,FALSE)</f>
        <v>0</v>
      </c>
      <c r="AG396">
        <v>0</v>
      </c>
      <c r="AH396">
        <v>0</v>
      </c>
      <c r="AI396" t="s">
        <v>561</v>
      </c>
      <c r="AJ396" t="s">
        <v>475</v>
      </c>
      <c r="AK396">
        <v>1</v>
      </c>
      <c r="AL396">
        <v>1</v>
      </c>
      <c r="AM396">
        <v>0</v>
      </c>
    </row>
    <row r="397" spans="1:39" x14ac:dyDescent="0.25">
      <c r="A397">
        <v>125</v>
      </c>
      <c r="B397" t="s">
        <v>54</v>
      </c>
      <c r="C397" s="1" t="s">
        <v>11</v>
      </c>
      <c r="E397">
        <v>65</v>
      </c>
      <c r="F397">
        <v>83</v>
      </c>
      <c r="G397">
        <v>57</v>
      </c>
      <c r="H397">
        <v>95</v>
      </c>
      <c r="I397">
        <v>85</v>
      </c>
      <c r="J397">
        <v>105</v>
      </c>
      <c r="K397" t="s">
        <v>396</v>
      </c>
      <c r="M397" t="s">
        <v>551</v>
      </c>
      <c r="N397">
        <f t="shared" si="256"/>
        <v>9.7799999999999994</v>
      </c>
      <c r="O397">
        <f t="shared" si="257"/>
        <v>6.8599999999999994</v>
      </c>
      <c r="P397">
        <v>0</v>
      </c>
      <c r="Q397">
        <v>2</v>
      </c>
      <c r="R397" s="2">
        <f t="shared" si="258"/>
        <v>10</v>
      </c>
      <c r="S397" s="2">
        <f t="shared" si="259"/>
        <v>9</v>
      </c>
      <c r="T397" s="2">
        <f t="shared" si="394"/>
        <v>19</v>
      </c>
      <c r="U397" t="str">
        <f>VLOOKUP(AC397,moves!A:B,2,FALSE)</f>
        <v>electric</v>
      </c>
      <c r="Z397" s="2" t="str">
        <f t="shared" si="255"/>
        <v/>
      </c>
      <c r="AA397" t="str">
        <f t="shared" si="395"/>
        <v>Electabuzz</v>
      </c>
      <c r="AB397" t="s">
        <v>555</v>
      </c>
      <c r="AC397" t="str">
        <f t="shared" si="393"/>
        <v>Thunderbolt</v>
      </c>
      <c r="AD397" t="str">
        <f>VLOOKUP(AC397,moves!A:B,2,FALSE)</f>
        <v>electric</v>
      </c>
      <c r="AE397">
        <f>VLOOKUP(AC397,moves!A:D,4,FALSE)</f>
        <v>4</v>
      </c>
      <c r="AF397">
        <f>VLOOKUP(AC397,moves!A:F,5,FALSE)</f>
        <v>0</v>
      </c>
      <c r="AG397">
        <v>0</v>
      </c>
      <c r="AH397">
        <v>0</v>
      </c>
      <c r="AI397" t="s">
        <v>561</v>
      </c>
      <c r="AJ397" t="s">
        <v>475</v>
      </c>
      <c r="AK397">
        <v>1</v>
      </c>
      <c r="AL397">
        <v>1</v>
      </c>
      <c r="AM397">
        <v>0</v>
      </c>
    </row>
    <row r="398" spans="1:39" x14ac:dyDescent="0.25">
      <c r="A398">
        <v>432</v>
      </c>
      <c r="B398" t="s">
        <v>186</v>
      </c>
      <c r="C398" s="1" t="s">
        <v>8</v>
      </c>
      <c r="E398">
        <v>71</v>
      </c>
      <c r="F398">
        <v>82</v>
      </c>
      <c r="G398">
        <v>64</v>
      </c>
      <c r="H398">
        <v>64</v>
      </c>
      <c r="I398">
        <v>59</v>
      </c>
      <c r="J398">
        <v>112</v>
      </c>
      <c r="K398" t="s">
        <v>357</v>
      </c>
      <c r="M398" t="s">
        <v>551</v>
      </c>
      <c r="N398">
        <f>(0.4*J398 + 0.5*MAX(F398,H398) + 0.1*MIN(F398,H398)) / 10</f>
        <v>9.2200000000000024</v>
      </c>
      <c r="O398">
        <f t="shared" si="257"/>
        <v>6.5299999999999994</v>
      </c>
      <c r="P398">
        <v>0</v>
      </c>
      <c r="Q398">
        <v>2</v>
      </c>
      <c r="R398" s="2">
        <f>ROUND(N398,0)+P398</f>
        <v>9</v>
      </c>
      <c r="S398" s="2">
        <f t="shared" si="259"/>
        <v>9</v>
      </c>
      <c r="T398" s="2">
        <f t="shared" si="394"/>
        <v>18</v>
      </c>
      <c r="U398" t="str">
        <f>VLOOKUP(AC398,moves!A:B,2,FALSE)</f>
        <v>normal</v>
      </c>
      <c r="Z398" s="2" t="str">
        <f>IF(ISBLANK(Y398), "", ROUND(( (T400-6)*(T400-7) - (T398-6)*(T398-7) )/15, 0) + 1)</f>
        <v/>
      </c>
      <c r="AA398" t="str">
        <f t="shared" si="395"/>
        <v>Purugly</v>
      </c>
      <c r="AB398" t="s">
        <v>555</v>
      </c>
      <c r="AC398" t="str">
        <f t="shared" si="393"/>
        <v>Slash</v>
      </c>
      <c r="AD398" t="str">
        <f>VLOOKUP(AC398,moves!A:B,2,FALSE)</f>
        <v>normal</v>
      </c>
      <c r="AE398">
        <f>VLOOKUP(AC398,moves!A:D,4,FALSE)</f>
        <v>4</v>
      </c>
      <c r="AF398">
        <f>VLOOKUP(AC398,moves!A:F,5,FALSE)</f>
        <v>0</v>
      </c>
      <c r="AG398">
        <v>0</v>
      </c>
      <c r="AH398">
        <v>0</v>
      </c>
      <c r="AI398" t="s">
        <v>561</v>
      </c>
      <c r="AJ398" t="s">
        <v>475</v>
      </c>
      <c r="AK398">
        <v>1</v>
      </c>
      <c r="AL398">
        <v>1</v>
      </c>
      <c r="AM398">
        <v>0</v>
      </c>
    </row>
    <row r="399" spans="1:39" x14ac:dyDescent="0.25">
      <c r="A399">
        <v>469</v>
      </c>
      <c r="B399" t="s">
        <v>223</v>
      </c>
      <c r="C399" s="1" t="s">
        <v>7</v>
      </c>
      <c r="D399" s="1" t="s">
        <v>5</v>
      </c>
      <c r="E399">
        <v>86</v>
      </c>
      <c r="F399">
        <v>76</v>
      </c>
      <c r="G399">
        <v>86</v>
      </c>
      <c r="H399">
        <v>116</v>
      </c>
      <c r="I399">
        <v>56</v>
      </c>
      <c r="J399">
        <v>95</v>
      </c>
      <c r="K399" t="s">
        <v>404</v>
      </c>
      <c r="M399" t="s">
        <v>551</v>
      </c>
      <c r="N399">
        <f>(0.4*J399 + 0.5*MAX(F399,H399) + 0.1*MIN(F399,H399)) / 10</f>
        <v>10.36</v>
      </c>
      <c r="O399">
        <f t="shared" si="257"/>
        <v>7.7</v>
      </c>
      <c r="P399">
        <v>0</v>
      </c>
      <c r="Q399">
        <v>2</v>
      </c>
      <c r="R399" s="2">
        <f>ROUND(N399,0)+P399</f>
        <v>10</v>
      </c>
      <c r="S399" s="2">
        <f t="shared" si="259"/>
        <v>10</v>
      </c>
      <c r="T399" s="2">
        <f t="shared" si="394"/>
        <v>20</v>
      </c>
      <c r="U399" t="str">
        <f>VLOOKUP(AC399,moves!A:B,2,FALSE)</f>
        <v>bug</v>
      </c>
      <c r="AA399" t="str">
        <f t="shared" si="395"/>
        <v>Yanmega</v>
      </c>
      <c r="AB399" t="s">
        <v>555</v>
      </c>
      <c r="AC399" t="str">
        <f t="shared" si="393"/>
        <v>Bug Buzz</v>
      </c>
      <c r="AD399" t="str">
        <f>VLOOKUP(AC399,moves!A:B,2,FALSE)</f>
        <v>bug</v>
      </c>
      <c r="AE399">
        <f>VLOOKUP(AC399,moves!A:D,4,FALSE)</f>
        <v>4</v>
      </c>
      <c r="AF399">
        <f>VLOOKUP(AC399,moves!A:F,5,FALSE)</f>
        <v>0</v>
      </c>
      <c r="AG399">
        <v>0</v>
      </c>
      <c r="AH399">
        <v>0</v>
      </c>
      <c r="AI399" t="s">
        <v>561</v>
      </c>
      <c r="AJ399" t="s">
        <v>475</v>
      </c>
      <c r="AK399">
        <v>1</v>
      </c>
      <c r="AL399">
        <v>1</v>
      </c>
      <c r="AM399">
        <v>0</v>
      </c>
    </row>
    <row r="400" spans="1:39" ht="15.75" thickBot="1" x14ac:dyDescent="0.3">
      <c r="A400" s="3" t="s">
        <v>1052</v>
      </c>
      <c r="B400" s="3" t="s">
        <v>234</v>
      </c>
      <c r="C400" s="4" t="s">
        <v>26</v>
      </c>
      <c r="D400" s="4" t="s">
        <v>11</v>
      </c>
      <c r="E400" s="3">
        <v>80</v>
      </c>
      <c r="F400" s="3">
        <v>105</v>
      </c>
      <c r="G400" s="3">
        <v>105</v>
      </c>
      <c r="H400" s="3">
        <v>105</v>
      </c>
      <c r="I400" s="3">
        <v>105</v>
      </c>
      <c r="J400" s="3">
        <v>80</v>
      </c>
      <c r="K400" s="3" t="s">
        <v>418</v>
      </c>
      <c r="L400" s="3"/>
      <c r="M400" s="3" t="s">
        <v>551</v>
      </c>
      <c r="N400" s="3">
        <f t="shared" si="256"/>
        <v>9.5</v>
      </c>
      <c r="O400" s="3">
        <f t="shared" si="257"/>
        <v>9.5</v>
      </c>
      <c r="P400" s="3">
        <v>0</v>
      </c>
      <c r="Q400" s="3">
        <v>0</v>
      </c>
      <c r="R400" s="5">
        <f t="shared" si="258"/>
        <v>10</v>
      </c>
      <c r="S400" s="5">
        <f t="shared" si="259"/>
        <v>10</v>
      </c>
      <c r="T400" s="5">
        <f t="shared" si="394"/>
        <v>20</v>
      </c>
      <c r="U400" s="3" t="str">
        <f>VLOOKUP(AC400,moves!A:B,2,FALSE)</f>
        <v>electric</v>
      </c>
      <c r="V400" s="3"/>
      <c r="W400" s="3"/>
      <c r="X400" s="3"/>
      <c r="Y400" s="3"/>
      <c r="Z400" s="5" t="str">
        <f t="shared" si="255"/>
        <v/>
      </c>
      <c r="AA400" s="3" t="str">
        <f t="shared" si="395"/>
        <v>Mesprit</v>
      </c>
      <c r="AB400" s="3" t="s">
        <v>555</v>
      </c>
      <c r="AC400" s="3" t="str">
        <f t="shared" si="393"/>
        <v>Shocking Verity</v>
      </c>
      <c r="AD400" s="3" t="str">
        <f>VLOOKUP(AC400,moves!A:B,2,FALSE)</f>
        <v>electric</v>
      </c>
      <c r="AE400" s="3">
        <f>VLOOKUP(AC400,moves!A:D,4,FALSE)</f>
        <v>4</v>
      </c>
      <c r="AF400" s="3">
        <f>VLOOKUP(AC400,moves!A:F,5,FALSE)</f>
        <v>0</v>
      </c>
      <c r="AG400" s="3">
        <v>0</v>
      </c>
      <c r="AH400" s="3">
        <v>0</v>
      </c>
      <c r="AI400" s="3" t="s">
        <v>561</v>
      </c>
      <c r="AJ400" s="3" t="s">
        <v>475</v>
      </c>
      <c r="AK400" s="3">
        <v>1</v>
      </c>
      <c r="AL400" s="3">
        <v>1</v>
      </c>
      <c r="AM400" s="3">
        <v>0</v>
      </c>
    </row>
    <row r="401" spans="1:39" x14ac:dyDescent="0.25">
      <c r="A401">
        <v>64</v>
      </c>
      <c r="B401" t="s">
        <v>27</v>
      </c>
      <c r="C401" t="s">
        <v>26</v>
      </c>
      <c r="D401"/>
      <c r="E401">
        <v>40</v>
      </c>
      <c r="F401">
        <v>35</v>
      </c>
      <c r="G401">
        <v>30</v>
      </c>
      <c r="H401">
        <v>120</v>
      </c>
      <c r="I401">
        <v>70</v>
      </c>
      <c r="J401">
        <v>105</v>
      </c>
      <c r="K401" t="s">
        <v>258</v>
      </c>
      <c r="M401" t="s">
        <v>551</v>
      </c>
      <c r="N401">
        <f t="shared" si="256"/>
        <v>10.55</v>
      </c>
      <c r="O401">
        <f t="shared" si="257"/>
        <v>4.5999999999999996</v>
      </c>
      <c r="P401">
        <v>0</v>
      </c>
      <c r="Q401">
        <v>2</v>
      </c>
      <c r="R401" s="2">
        <f t="shared" si="258"/>
        <v>11</v>
      </c>
      <c r="S401" s="2">
        <f t="shared" si="259"/>
        <v>7</v>
      </c>
      <c r="T401" s="2">
        <f t="shared" si="394"/>
        <v>18</v>
      </c>
      <c r="U401" t="str">
        <f>VLOOKUP(AC401,moves!A:B,2,FALSE)</f>
        <v>psychic</v>
      </c>
      <c r="Z401" s="2" t="str">
        <f t="shared" si="255"/>
        <v/>
      </c>
      <c r="AA401" t="str">
        <f t="shared" si="395"/>
        <v>Kadabra</v>
      </c>
      <c r="AB401" t="s">
        <v>556</v>
      </c>
      <c r="AC401" t="str">
        <f t="shared" si="393"/>
        <v>Kinesis</v>
      </c>
      <c r="AD401" t="str">
        <f>VLOOKUP(AC401,moves!A:B,2,FALSE)</f>
        <v>psychic</v>
      </c>
      <c r="AE401">
        <f>VLOOKUP(AC401,moves!A:D,4,FALSE)</f>
        <v>3</v>
      </c>
      <c r="AF401">
        <f>VLOOKUP(AC401,moves!A:F,5,FALSE)</f>
        <v>0</v>
      </c>
      <c r="AG401">
        <v>0</v>
      </c>
      <c r="AH401">
        <v>0</v>
      </c>
      <c r="AI401" t="s">
        <v>561</v>
      </c>
      <c r="AJ401" t="s">
        <v>476</v>
      </c>
      <c r="AK401">
        <v>1</v>
      </c>
      <c r="AL401">
        <v>1</v>
      </c>
      <c r="AM401">
        <v>0</v>
      </c>
    </row>
    <row r="402" spans="1:39" x14ac:dyDescent="0.25">
      <c r="A402">
        <v>126</v>
      </c>
      <c r="B402" t="s">
        <v>55</v>
      </c>
      <c r="C402" s="1" t="s">
        <v>4</v>
      </c>
      <c r="E402">
        <v>65</v>
      </c>
      <c r="F402">
        <v>95</v>
      </c>
      <c r="G402">
        <v>57</v>
      </c>
      <c r="H402">
        <v>100</v>
      </c>
      <c r="I402">
        <v>85</v>
      </c>
      <c r="J402">
        <v>93</v>
      </c>
      <c r="K402" t="s">
        <v>399</v>
      </c>
      <c r="M402" t="s">
        <v>551</v>
      </c>
      <c r="N402">
        <f t="shared" si="256"/>
        <v>9.67</v>
      </c>
      <c r="O402">
        <f t="shared" si="257"/>
        <v>6.8599999999999994</v>
      </c>
      <c r="P402">
        <v>0</v>
      </c>
      <c r="Q402">
        <v>2</v>
      </c>
      <c r="R402" s="2">
        <f t="shared" si="258"/>
        <v>10</v>
      </c>
      <c r="S402" s="2">
        <f t="shared" si="259"/>
        <v>9</v>
      </c>
      <c r="T402" s="2">
        <f t="shared" si="394"/>
        <v>19</v>
      </c>
      <c r="U402" t="str">
        <f>VLOOKUP(AC402,moves!A:B,2,FALSE)</f>
        <v>fire</v>
      </c>
      <c r="Z402" s="2" t="str">
        <f t="shared" si="255"/>
        <v/>
      </c>
      <c r="AA402" t="str">
        <f t="shared" si="395"/>
        <v>Magmar</v>
      </c>
      <c r="AB402" t="s">
        <v>556</v>
      </c>
      <c r="AC402" t="str">
        <f t="shared" si="393"/>
        <v>Flamethrower</v>
      </c>
      <c r="AD402" t="str">
        <f>VLOOKUP(AC402,moves!A:B,2,FALSE)</f>
        <v>fire</v>
      </c>
      <c r="AE402">
        <f>VLOOKUP(AC402,moves!A:D,4,FALSE)</f>
        <v>4</v>
      </c>
      <c r="AF402">
        <f>VLOOKUP(AC402,moves!A:F,5,FALSE)</f>
        <v>0</v>
      </c>
      <c r="AG402">
        <v>0</v>
      </c>
      <c r="AH402">
        <v>0</v>
      </c>
      <c r="AI402" t="s">
        <v>561</v>
      </c>
      <c r="AJ402" t="s">
        <v>476</v>
      </c>
      <c r="AK402">
        <v>1</v>
      </c>
      <c r="AL402">
        <v>1</v>
      </c>
      <c r="AM402">
        <v>0</v>
      </c>
    </row>
    <row r="403" spans="1:39" x14ac:dyDescent="0.25">
      <c r="A403">
        <v>454</v>
      </c>
      <c r="B403" t="s">
        <v>208</v>
      </c>
      <c r="C403" s="1" t="s">
        <v>3</v>
      </c>
      <c r="D403" s="1" t="s">
        <v>22</v>
      </c>
      <c r="E403">
        <v>83</v>
      </c>
      <c r="F403">
        <v>106</v>
      </c>
      <c r="G403">
        <v>65</v>
      </c>
      <c r="H403">
        <v>86</v>
      </c>
      <c r="I403">
        <v>65</v>
      </c>
      <c r="J403">
        <v>85</v>
      </c>
      <c r="K403" t="s">
        <v>383</v>
      </c>
      <c r="M403" t="s">
        <v>551</v>
      </c>
      <c r="N403">
        <f t="shared" si="256"/>
        <v>9.5599999999999987</v>
      </c>
      <c r="O403">
        <f t="shared" si="257"/>
        <v>7.2200000000000006</v>
      </c>
      <c r="P403">
        <v>0</v>
      </c>
      <c r="Q403">
        <v>2</v>
      </c>
      <c r="R403" s="2">
        <f t="shared" si="258"/>
        <v>10</v>
      </c>
      <c r="S403" s="2">
        <f t="shared" si="259"/>
        <v>9</v>
      </c>
      <c r="T403" s="2">
        <f t="shared" si="394"/>
        <v>19</v>
      </c>
      <c r="U403" t="str">
        <f>VLOOKUP(AC403,moves!A:B,2,FALSE)</f>
        <v>poison</v>
      </c>
      <c r="Z403" s="2" t="str">
        <f>IF(ISBLANK(Y403), "", ROUND(( (T405-6)*(T405-7) - (T403-6)*(T403-7) )/15, 0) + 1)</f>
        <v/>
      </c>
      <c r="AA403" t="str">
        <f t="shared" si="395"/>
        <v>Toxicroak</v>
      </c>
      <c r="AB403" t="s">
        <v>556</v>
      </c>
      <c r="AC403" t="str">
        <f t="shared" si="393"/>
        <v>Poison Jab</v>
      </c>
      <c r="AD403" t="str">
        <f>VLOOKUP(AC403,moves!A:B,2,FALSE)</f>
        <v>poison</v>
      </c>
      <c r="AE403">
        <f>VLOOKUP(AC403,moves!A:D,4,FALSE)</f>
        <v>4</v>
      </c>
      <c r="AF403">
        <f>VLOOKUP(AC403,moves!A:F,5,FALSE)</f>
        <v>0</v>
      </c>
      <c r="AG403">
        <v>0</v>
      </c>
      <c r="AH403">
        <v>0</v>
      </c>
      <c r="AI403" t="s">
        <v>561</v>
      </c>
      <c r="AJ403" t="s">
        <v>476</v>
      </c>
      <c r="AK403">
        <v>1</v>
      </c>
      <c r="AL403">
        <v>1</v>
      </c>
      <c r="AM403">
        <v>0</v>
      </c>
    </row>
    <row r="404" spans="1:39" x14ac:dyDescent="0.25">
      <c r="A404">
        <v>112</v>
      </c>
      <c r="B404" t="s">
        <v>50</v>
      </c>
      <c r="C404" s="1" t="s">
        <v>13</v>
      </c>
      <c r="D404" s="1" t="s">
        <v>33</v>
      </c>
      <c r="E404">
        <v>105</v>
      </c>
      <c r="F404">
        <v>130</v>
      </c>
      <c r="G404">
        <v>120</v>
      </c>
      <c r="H404">
        <v>45</v>
      </c>
      <c r="I404">
        <v>45</v>
      </c>
      <c r="J404">
        <v>40</v>
      </c>
      <c r="K404" t="s">
        <v>394</v>
      </c>
      <c r="M404" t="s">
        <v>551</v>
      </c>
      <c r="N404">
        <f t="shared" si="256"/>
        <v>8.5500000000000007</v>
      </c>
      <c r="O404">
        <f t="shared" si="257"/>
        <v>9.15</v>
      </c>
      <c r="P404">
        <v>0</v>
      </c>
      <c r="Q404">
        <v>0</v>
      </c>
      <c r="R404" s="2">
        <f t="shared" si="258"/>
        <v>9</v>
      </c>
      <c r="S404" s="2">
        <f t="shared" si="259"/>
        <v>9</v>
      </c>
      <c r="T404" s="2">
        <f t="shared" si="394"/>
        <v>18</v>
      </c>
      <c r="U404" t="str">
        <f>VLOOKUP(AC404,moves!A:B,2,FALSE)</f>
        <v>ground</v>
      </c>
      <c r="AA404" t="str">
        <f t="shared" si="395"/>
        <v>Rhydon</v>
      </c>
      <c r="AB404" t="s">
        <v>556</v>
      </c>
      <c r="AC404" t="str">
        <f t="shared" si="393"/>
        <v>Earthquake</v>
      </c>
      <c r="AD404" t="str">
        <f>VLOOKUP(AC404,moves!A:B,2,FALSE)</f>
        <v>ground</v>
      </c>
      <c r="AE404">
        <f>VLOOKUP(AC404,moves!A:D,4,FALSE)</f>
        <v>5</v>
      </c>
      <c r="AF404">
        <f>VLOOKUP(AC404,moves!A:F,5,FALSE)</f>
        <v>0</v>
      </c>
      <c r="AG404">
        <v>0</v>
      </c>
      <c r="AH404">
        <v>0</v>
      </c>
      <c r="AI404" t="s">
        <v>561</v>
      </c>
      <c r="AJ404" t="s">
        <v>476</v>
      </c>
      <c r="AK404">
        <v>1</v>
      </c>
      <c r="AL404">
        <v>1</v>
      </c>
      <c r="AM404">
        <v>0</v>
      </c>
    </row>
    <row r="405" spans="1:39" ht="15.75" thickBot="1" x14ac:dyDescent="0.3">
      <c r="A405" s="3" t="s">
        <v>1053</v>
      </c>
      <c r="B405" s="3" t="s">
        <v>235</v>
      </c>
      <c r="C405" s="4" t="s">
        <v>26</v>
      </c>
      <c r="D405" s="4" t="s">
        <v>4</v>
      </c>
      <c r="E405" s="3">
        <v>75</v>
      </c>
      <c r="F405" s="3">
        <v>125</v>
      </c>
      <c r="G405" s="3">
        <v>70</v>
      </c>
      <c r="H405" s="3">
        <v>125</v>
      </c>
      <c r="I405" s="3">
        <v>70</v>
      </c>
      <c r="J405" s="3">
        <v>115</v>
      </c>
      <c r="K405" s="3" t="s">
        <v>594</v>
      </c>
      <c r="L405" s="3"/>
      <c r="M405" s="3" t="s">
        <v>551</v>
      </c>
      <c r="N405" s="3">
        <f t="shared" si="256"/>
        <v>12.1</v>
      </c>
      <c r="O405" s="3">
        <f t="shared" si="257"/>
        <v>7.2</v>
      </c>
      <c r="P405" s="3">
        <v>0</v>
      </c>
      <c r="Q405" s="3">
        <v>1</v>
      </c>
      <c r="R405" s="5">
        <f t="shared" si="258"/>
        <v>12</v>
      </c>
      <c r="S405" s="5">
        <f t="shared" si="259"/>
        <v>8</v>
      </c>
      <c r="T405" s="5">
        <f t="shared" si="394"/>
        <v>20</v>
      </c>
      <c r="U405" s="3" t="str">
        <f>VLOOKUP(AC405,moves!A:B,2,FALSE)</f>
        <v>fire</v>
      </c>
      <c r="V405" s="3"/>
      <c r="W405" s="3"/>
      <c r="X405" s="3"/>
      <c r="Y405" s="3"/>
      <c r="Z405" s="5" t="str">
        <f t="shared" si="255"/>
        <v/>
      </c>
      <c r="AA405" s="3" t="str">
        <f t="shared" si="395"/>
        <v>Azelf</v>
      </c>
      <c r="AB405" s="3" t="s">
        <v>556</v>
      </c>
      <c r="AC405" s="3" t="str">
        <f t="shared" si="393"/>
        <v>Blazing Valor</v>
      </c>
      <c r="AD405" s="3" t="str">
        <f>VLOOKUP(AC405,moves!A:B,2,FALSE)</f>
        <v>fire</v>
      </c>
      <c r="AE405" s="3">
        <f>VLOOKUP(AC405,moves!A:D,4,FALSE)</f>
        <v>4</v>
      </c>
      <c r="AF405" s="3">
        <f>VLOOKUP(AC405,moves!A:F,5,FALSE)</f>
        <v>0</v>
      </c>
      <c r="AG405" s="3">
        <v>0</v>
      </c>
      <c r="AH405" s="3">
        <v>0</v>
      </c>
      <c r="AI405" s="3" t="s">
        <v>561</v>
      </c>
      <c r="AJ405" s="3" t="s">
        <v>476</v>
      </c>
      <c r="AK405" s="3">
        <v>1</v>
      </c>
      <c r="AL405" s="3">
        <v>1</v>
      </c>
      <c r="AM405" s="3">
        <v>0</v>
      </c>
    </row>
    <row r="406" spans="1:39" x14ac:dyDescent="0.25">
      <c r="A406">
        <v>229</v>
      </c>
      <c r="B406" t="s">
        <v>100</v>
      </c>
      <c r="C406" s="1" t="s">
        <v>9</v>
      </c>
      <c r="D406" s="1" t="s">
        <v>4</v>
      </c>
      <c r="E406">
        <v>75</v>
      </c>
      <c r="F406">
        <v>90</v>
      </c>
      <c r="G406">
        <v>50</v>
      </c>
      <c r="H406">
        <v>110</v>
      </c>
      <c r="I406">
        <v>80</v>
      </c>
      <c r="J406">
        <v>95</v>
      </c>
      <c r="K406" t="s">
        <v>428</v>
      </c>
      <c r="M406" t="s">
        <v>551</v>
      </c>
      <c r="N406">
        <f t="shared" si="256"/>
        <v>10.199999999999999</v>
      </c>
      <c r="O406">
        <f t="shared" si="257"/>
        <v>6.9</v>
      </c>
      <c r="P406">
        <v>0</v>
      </c>
      <c r="Q406">
        <v>4</v>
      </c>
      <c r="R406" s="2">
        <f t="shared" si="258"/>
        <v>10</v>
      </c>
      <c r="S406" s="2">
        <f t="shared" si="259"/>
        <v>11</v>
      </c>
      <c r="T406" s="2">
        <f t="shared" si="394"/>
        <v>21</v>
      </c>
      <c r="U406" t="str">
        <f>VLOOKUP(AC406,moves!A:B,2,FALSE)</f>
        <v>fire</v>
      </c>
      <c r="Z406" s="2" t="str">
        <f t="shared" si="255"/>
        <v/>
      </c>
      <c r="AA406" t="str">
        <f t="shared" si="395"/>
        <v>Houndoom</v>
      </c>
      <c r="AB406" t="s">
        <v>579</v>
      </c>
      <c r="AC406" t="str">
        <f t="shared" si="393"/>
        <v>Flamethrower</v>
      </c>
      <c r="AD406" t="str">
        <f>VLOOKUP(AC406,moves!A:B,2,FALSE)</f>
        <v>fire</v>
      </c>
      <c r="AE406">
        <f>VLOOKUP(AC406,moves!A:D,4,FALSE)</f>
        <v>4</v>
      </c>
      <c r="AF406">
        <f>VLOOKUP(AC406,moves!A:F,5,FALSE)</f>
        <v>0</v>
      </c>
      <c r="AG406">
        <v>0</v>
      </c>
      <c r="AH406">
        <v>0</v>
      </c>
      <c r="AI406" t="s">
        <v>562</v>
      </c>
      <c r="AJ406" t="s">
        <v>477</v>
      </c>
      <c r="AK406">
        <v>1</v>
      </c>
      <c r="AL406">
        <v>1</v>
      </c>
      <c r="AM406">
        <v>0</v>
      </c>
    </row>
    <row r="407" spans="1:39" x14ac:dyDescent="0.25">
      <c r="A407">
        <v>430</v>
      </c>
      <c r="B407" t="s">
        <v>184</v>
      </c>
      <c r="C407" s="1" t="s">
        <v>9</v>
      </c>
      <c r="D407" s="1" t="s">
        <v>5</v>
      </c>
      <c r="E407">
        <v>100</v>
      </c>
      <c r="F407">
        <v>125</v>
      </c>
      <c r="G407">
        <v>52</v>
      </c>
      <c r="H407">
        <v>105</v>
      </c>
      <c r="I407">
        <v>52</v>
      </c>
      <c r="J407">
        <v>71</v>
      </c>
      <c r="K407" t="s">
        <v>355</v>
      </c>
      <c r="M407" t="s">
        <v>551</v>
      </c>
      <c r="N407">
        <f t="shared" si="256"/>
        <v>10.14</v>
      </c>
      <c r="O407">
        <f t="shared" si="257"/>
        <v>7.12</v>
      </c>
      <c r="P407">
        <v>0</v>
      </c>
      <c r="Q407">
        <v>4</v>
      </c>
      <c r="R407" s="2">
        <f t="shared" si="258"/>
        <v>10</v>
      </c>
      <c r="S407" s="2">
        <f t="shared" si="259"/>
        <v>11</v>
      </c>
      <c r="T407" s="2">
        <f t="shared" si="394"/>
        <v>21</v>
      </c>
      <c r="U407" t="str">
        <f>VLOOKUP(AC407,moves!A:B,2,FALSE)</f>
        <v>dark</v>
      </c>
      <c r="Z407" s="2" t="str">
        <f t="shared" si="255"/>
        <v/>
      </c>
      <c r="AA407" t="str">
        <f t="shared" si="395"/>
        <v>Honchkrow</v>
      </c>
      <c r="AB407" t="s">
        <v>579</v>
      </c>
      <c r="AC407" t="str">
        <f t="shared" si="393"/>
        <v>Night Slash</v>
      </c>
      <c r="AD407" t="str">
        <f>VLOOKUP(AC407,moves!A:B,2,FALSE)</f>
        <v>dark</v>
      </c>
      <c r="AE407">
        <f>VLOOKUP(AC407,moves!A:D,4,FALSE)</f>
        <v>4</v>
      </c>
      <c r="AF407">
        <f>VLOOKUP(AC407,moves!A:F,5,FALSE)</f>
        <v>0</v>
      </c>
      <c r="AG407">
        <v>0</v>
      </c>
      <c r="AH407">
        <v>0</v>
      </c>
      <c r="AI407" t="s">
        <v>562</v>
      </c>
      <c r="AJ407" t="s">
        <v>477</v>
      </c>
      <c r="AK407">
        <v>1</v>
      </c>
      <c r="AL407">
        <v>1</v>
      </c>
      <c r="AM407">
        <v>0</v>
      </c>
    </row>
    <row r="408" spans="1:39" x14ac:dyDescent="0.25">
      <c r="A408">
        <v>461</v>
      </c>
      <c r="B408" t="s">
        <v>215</v>
      </c>
      <c r="C408" s="1" t="s">
        <v>9</v>
      </c>
      <c r="D408" s="1" t="s">
        <v>14</v>
      </c>
      <c r="E408">
        <v>70</v>
      </c>
      <c r="F408">
        <v>120</v>
      </c>
      <c r="G408">
        <v>65</v>
      </c>
      <c r="H408">
        <v>45</v>
      </c>
      <c r="I408">
        <v>85</v>
      </c>
      <c r="J408">
        <v>125</v>
      </c>
      <c r="K408" t="s">
        <v>389</v>
      </c>
      <c r="M408" t="s">
        <v>551</v>
      </c>
      <c r="N408">
        <f t="shared" si="256"/>
        <v>11.45</v>
      </c>
      <c r="O408">
        <f t="shared" si="257"/>
        <v>7.3</v>
      </c>
      <c r="P408">
        <v>0</v>
      </c>
      <c r="Q408">
        <v>4</v>
      </c>
      <c r="R408" s="2">
        <f t="shared" si="258"/>
        <v>11</v>
      </c>
      <c r="S408" s="2">
        <f t="shared" si="259"/>
        <v>11</v>
      </c>
      <c r="T408" s="2">
        <f t="shared" si="394"/>
        <v>22</v>
      </c>
      <c r="U408" t="str">
        <f>VLOOKUP(AC408,moves!A:B,2,FALSE)</f>
        <v>ice</v>
      </c>
      <c r="Z408" s="2" t="str">
        <f t="shared" si="255"/>
        <v/>
      </c>
      <c r="AA408" t="str">
        <f t="shared" si="395"/>
        <v>Weavile</v>
      </c>
      <c r="AB408" t="s">
        <v>579</v>
      </c>
      <c r="AC408" t="str">
        <f t="shared" si="393"/>
        <v>Ice Punch</v>
      </c>
      <c r="AD408" t="str">
        <f>VLOOKUP(AC408,moves!A:B,2,FALSE)</f>
        <v>ice</v>
      </c>
      <c r="AE408">
        <f>VLOOKUP(AC408,moves!A:D,4,FALSE)</f>
        <v>4</v>
      </c>
      <c r="AF408">
        <f>VLOOKUP(AC408,moves!A:F,5,FALSE)</f>
        <v>0</v>
      </c>
      <c r="AG408">
        <v>0</v>
      </c>
      <c r="AH408">
        <v>0</v>
      </c>
      <c r="AI408" t="s">
        <v>562</v>
      </c>
      <c r="AJ408" t="s">
        <v>477</v>
      </c>
      <c r="AK408">
        <v>1</v>
      </c>
      <c r="AL408">
        <v>1</v>
      </c>
      <c r="AM408">
        <v>0</v>
      </c>
    </row>
    <row r="409" spans="1:39" x14ac:dyDescent="0.25">
      <c r="A409">
        <v>130</v>
      </c>
      <c r="B409" t="s">
        <v>57</v>
      </c>
      <c r="C409" s="1" t="s">
        <v>6</v>
      </c>
      <c r="D409" s="1" t="s">
        <v>5</v>
      </c>
      <c r="E409">
        <v>95</v>
      </c>
      <c r="F409">
        <v>125</v>
      </c>
      <c r="G409">
        <v>79</v>
      </c>
      <c r="H409">
        <v>60</v>
      </c>
      <c r="I409">
        <v>100</v>
      </c>
      <c r="J409">
        <v>81</v>
      </c>
      <c r="K409" t="s">
        <v>431</v>
      </c>
      <c r="M409" t="s">
        <v>551</v>
      </c>
      <c r="N409">
        <f t="shared" si="256"/>
        <v>10.09</v>
      </c>
      <c r="O409">
        <f t="shared" si="257"/>
        <v>9.17</v>
      </c>
      <c r="P409">
        <v>0</v>
      </c>
      <c r="Q409">
        <v>4</v>
      </c>
      <c r="R409" s="2">
        <f t="shared" si="258"/>
        <v>10</v>
      </c>
      <c r="S409" s="2">
        <f t="shared" si="259"/>
        <v>13</v>
      </c>
      <c r="T409" s="2">
        <f t="shared" si="394"/>
        <v>23</v>
      </c>
      <c r="U409" t="str">
        <f>VLOOKUP(AC409,moves!A:B,2,FALSE)</f>
        <v>dragon</v>
      </c>
      <c r="Z409" s="2" t="str">
        <f t="shared" si="255"/>
        <v/>
      </c>
      <c r="AA409" t="str">
        <f t="shared" si="395"/>
        <v>Gyarados</v>
      </c>
      <c r="AB409" t="s">
        <v>579</v>
      </c>
      <c r="AC409" t="str">
        <f t="shared" si="393"/>
        <v>Outrage</v>
      </c>
      <c r="AD409" t="str">
        <f>VLOOKUP(AC409,moves!A:B,2,FALSE)</f>
        <v>dragon</v>
      </c>
      <c r="AE409">
        <f>VLOOKUP(AC409,moves!A:D,4,FALSE)</f>
        <v>5</v>
      </c>
      <c r="AF409">
        <f>VLOOKUP(AC409,moves!A:F,5,FALSE)</f>
        <v>0</v>
      </c>
      <c r="AG409">
        <v>0</v>
      </c>
      <c r="AH409">
        <v>0</v>
      </c>
      <c r="AI409" t="s">
        <v>562</v>
      </c>
      <c r="AJ409" t="s">
        <v>477</v>
      </c>
      <c r="AK409">
        <v>1</v>
      </c>
      <c r="AL409">
        <v>1</v>
      </c>
      <c r="AM409">
        <v>0</v>
      </c>
    </row>
    <row r="410" spans="1:39" x14ac:dyDescent="0.25">
      <c r="A410">
        <v>450</v>
      </c>
      <c r="B410" t="s">
        <v>204</v>
      </c>
      <c r="C410" s="1" t="s">
        <v>13</v>
      </c>
      <c r="E410">
        <v>108</v>
      </c>
      <c r="F410">
        <v>112</v>
      </c>
      <c r="G410">
        <v>118</v>
      </c>
      <c r="H410">
        <v>68</v>
      </c>
      <c r="I410">
        <v>72</v>
      </c>
      <c r="J410">
        <v>47</v>
      </c>
      <c r="K410" t="s">
        <v>380</v>
      </c>
      <c r="M410" t="s">
        <v>551</v>
      </c>
      <c r="N410">
        <f t="shared" si="256"/>
        <v>8.16</v>
      </c>
      <c r="O410">
        <f t="shared" si="257"/>
        <v>10.02</v>
      </c>
      <c r="P410">
        <v>0</v>
      </c>
      <c r="Q410">
        <v>4</v>
      </c>
      <c r="R410" s="2">
        <f t="shared" si="258"/>
        <v>8</v>
      </c>
      <c r="S410" s="2">
        <f t="shared" si="259"/>
        <v>14</v>
      </c>
      <c r="T410" s="2">
        <f t="shared" si="394"/>
        <v>22</v>
      </c>
      <c r="U410" t="str">
        <f>VLOOKUP(AC410,moves!A:B,2,FALSE)</f>
        <v>ground</v>
      </c>
      <c r="Z410" s="2" t="str">
        <f t="shared" si="255"/>
        <v/>
      </c>
      <c r="AA410" t="str">
        <f>B410</f>
        <v>Hippowdon</v>
      </c>
      <c r="AB410" t="s">
        <v>579</v>
      </c>
      <c r="AC410" t="str">
        <f t="shared" si="393"/>
        <v>Fissure</v>
      </c>
      <c r="AD410" t="str">
        <f>VLOOKUP(AC410,moves!A:B,2,FALSE)</f>
        <v>ground</v>
      </c>
      <c r="AE410">
        <f>VLOOKUP(AC410,moves!A:D,4,FALSE)</f>
        <v>6</v>
      </c>
      <c r="AF410">
        <f>VLOOKUP(AC410,moves!A:F,5,FALSE)</f>
        <v>0</v>
      </c>
      <c r="AG410">
        <v>0</v>
      </c>
      <c r="AH410">
        <v>0</v>
      </c>
      <c r="AI410" t="s">
        <v>562</v>
      </c>
      <c r="AJ410" t="s">
        <v>477</v>
      </c>
      <c r="AK410">
        <v>1</v>
      </c>
      <c r="AL410">
        <v>1</v>
      </c>
      <c r="AM410">
        <v>0</v>
      </c>
    </row>
    <row r="411" spans="1:39" x14ac:dyDescent="0.25">
      <c r="A411">
        <v>476</v>
      </c>
      <c r="B411" t="s">
        <v>229</v>
      </c>
      <c r="C411" s="1" t="s">
        <v>33</v>
      </c>
      <c r="D411" s="1" t="s">
        <v>39</v>
      </c>
      <c r="E411">
        <v>60</v>
      </c>
      <c r="F411">
        <v>55</v>
      </c>
      <c r="G411">
        <v>145</v>
      </c>
      <c r="H411">
        <v>75</v>
      </c>
      <c r="I411">
        <v>150</v>
      </c>
      <c r="J411">
        <v>40</v>
      </c>
      <c r="K411" t="s">
        <v>421</v>
      </c>
      <c r="M411" t="s">
        <v>551</v>
      </c>
      <c r="N411">
        <f t="shared" si="256"/>
        <v>5.9</v>
      </c>
      <c r="O411">
        <f t="shared" si="257"/>
        <v>11.25</v>
      </c>
      <c r="P411">
        <v>0</v>
      </c>
      <c r="Q411">
        <v>4</v>
      </c>
      <c r="R411" s="2">
        <f t="shared" si="258"/>
        <v>6</v>
      </c>
      <c r="S411" s="2">
        <f t="shared" si="259"/>
        <v>15</v>
      </c>
      <c r="T411" s="2">
        <f t="shared" si="394"/>
        <v>21</v>
      </c>
      <c r="U411" t="str">
        <f>VLOOKUP(AC411,moves!A:B,2,FALSE)</f>
        <v>electric</v>
      </c>
      <c r="Z411" s="2" t="str">
        <f t="shared" si="255"/>
        <v/>
      </c>
      <c r="AA411" t="str">
        <f>B411</f>
        <v>Probopass</v>
      </c>
      <c r="AB411" t="s">
        <v>579</v>
      </c>
      <c r="AC411" t="str">
        <f t="shared" si="393"/>
        <v>Zap Cannon</v>
      </c>
      <c r="AD411" t="str">
        <f>VLOOKUP(AC411,moves!A:B,2,FALSE)</f>
        <v>electric</v>
      </c>
      <c r="AE411">
        <f>VLOOKUP(AC411,moves!A:D,4,FALSE)</f>
        <v>5</v>
      </c>
      <c r="AF411">
        <f>VLOOKUP(AC411,moves!A:F,5,FALSE)</f>
        <v>0</v>
      </c>
      <c r="AG411">
        <v>0</v>
      </c>
      <c r="AH411">
        <v>0</v>
      </c>
      <c r="AI411" t="s">
        <v>562</v>
      </c>
      <c r="AJ411" t="s">
        <v>477</v>
      </c>
      <c r="AK411">
        <v>1</v>
      </c>
      <c r="AL411">
        <v>1</v>
      </c>
      <c r="AM411">
        <v>0</v>
      </c>
    </row>
    <row r="412" spans="1:39" x14ac:dyDescent="0.25">
      <c r="A412">
        <v>474</v>
      </c>
      <c r="B412" t="s">
        <v>460</v>
      </c>
      <c r="C412" s="1" t="s">
        <v>8</v>
      </c>
      <c r="E412">
        <v>85</v>
      </c>
      <c r="F412">
        <v>80</v>
      </c>
      <c r="G412">
        <v>70</v>
      </c>
      <c r="H412">
        <v>135</v>
      </c>
      <c r="I412">
        <v>75</v>
      </c>
      <c r="J412">
        <v>90</v>
      </c>
      <c r="K412" t="s">
        <v>596</v>
      </c>
      <c r="M412" t="s">
        <v>551</v>
      </c>
      <c r="N412">
        <f t="shared" si="256"/>
        <v>11.15</v>
      </c>
      <c r="O412">
        <f t="shared" si="257"/>
        <v>7.75</v>
      </c>
      <c r="P412">
        <v>0</v>
      </c>
      <c r="Q412">
        <v>4</v>
      </c>
      <c r="R412" s="2">
        <f t="shared" si="258"/>
        <v>11</v>
      </c>
      <c r="S412" s="2">
        <f t="shared" si="259"/>
        <v>12</v>
      </c>
      <c r="T412" s="2">
        <f t="shared" si="394"/>
        <v>23</v>
      </c>
      <c r="U412" t="str">
        <f>VLOOKUP(AC412,moves!A:B,2,FALSE)</f>
        <v>normal</v>
      </c>
      <c r="Z412" s="2" t="str">
        <f>IF(ISBLANK(Y412), "", ROUND(( (T368-6)*(T368-7) - (T412-6)*(T412-7) )/15, 0) + 1)</f>
        <v/>
      </c>
      <c r="AA412" t="str">
        <f>B412</f>
        <v>Porygon-Z</v>
      </c>
      <c r="AB412" t="s">
        <v>579</v>
      </c>
      <c r="AC412" t="str">
        <f t="shared" si="393"/>
        <v>Hyper Beam</v>
      </c>
      <c r="AD412" t="str">
        <f>VLOOKUP(AC412,moves!A:B,2,FALSE)</f>
        <v>normal</v>
      </c>
      <c r="AE412">
        <f>VLOOKUP(AC412,moves!A:D,4,FALSE)</f>
        <v>6</v>
      </c>
      <c r="AF412" t="str">
        <f>VLOOKUP(AC412,moves!A:F,5,FALSE)</f>
        <v>decisive</v>
      </c>
      <c r="AG412">
        <v>0</v>
      </c>
      <c r="AH412">
        <v>0</v>
      </c>
      <c r="AI412" t="s">
        <v>562</v>
      </c>
      <c r="AJ412" t="s">
        <v>477</v>
      </c>
      <c r="AK412">
        <v>1</v>
      </c>
      <c r="AL412">
        <v>1</v>
      </c>
      <c r="AM412">
        <v>0</v>
      </c>
    </row>
  </sheetData>
  <phoneticPr fontId="18" type="noConversion"/>
  <conditionalFormatting sqref="N2:O412">
    <cfRule type="cellIs" dxfId="8" priority="57" operator="between">
      <formula>_xlfn.FLOOR.MATH(N2)+0.4</formula>
      <formula>_xlfn.FLOOR.MATH(N2)+0.6</formula>
    </cfRule>
  </conditionalFormatting>
  <conditionalFormatting sqref="P2:Q1048576">
    <cfRule type="cellIs" dxfId="7" priority="9" operator="lessThan">
      <formula>0</formula>
    </cfRule>
    <cfRule type="cellIs" dxfId="6" priority="10" operator="greaterThan">
      <formula>0</formula>
    </cfRule>
    <cfRule type="cellIs" dxfId="5" priority="11" operator="equal">
      <formula>0</formula>
    </cfRule>
  </conditionalFormatting>
  <conditionalFormatting sqref="AG1:AG1048576">
    <cfRule type="cellIs" dxfId="4" priority="8" operator="equal">
      <formula>1</formula>
    </cfRule>
  </conditionalFormatting>
  <conditionalFormatting sqref="AG1:AH1048576">
    <cfRule type="cellIs" dxfId="3" priority="6" operator="equal">
      <formula>0</formula>
    </cfRule>
  </conditionalFormatting>
  <conditionalFormatting sqref="AH1:AH1048576">
    <cfRule type="cellIs" dxfId="2" priority="7" operator="equal">
      <formula>1</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F625C-F9FA-42D6-A0B3-21764E3166C5}">
  <dimension ref="A1:J256"/>
  <sheetViews>
    <sheetView topLeftCell="A198" zoomScaleNormal="100" workbookViewId="0">
      <selection activeCell="F231" sqref="F231"/>
    </sheetView>
  </sheetViews>
  <sheetFormatPr defaultRowHeight="15" x14ac:dyDescent="0.25"/>
  <cols>
    <col min="1" max="1" width="21.85546875" bestFit="1" customWidth="1"/>
    <col min="2" max="2" width="8.42578125" bestFit="1" customWidth="1"/>
    <col min="3" max="3" width="9" bestFit="1" customWidth="1"/>
    <col min="4" max="4" width="8" bestFit="1" customWidth="1"/>
    <col min="5" max="5" width="8" style="1" customWidth="1"/>
    <col min="6" max="6" width="115.85546875" customWidth="1"/>
    <col min="7" max="7" width="6" bestFit="1" customWidth="1"/>
    <col min="8" max="8" width="9.5703125" bestFit="1" customWidth="1"/>
    <col min="9" max="9" width="9.85546875" bestFit="1" customWidth="1"/>
    <col min="10" max="10" width="8.42578125" bestFit="1" customWidth="1"/>
  </cols>
  <sheetData>
    <row r="1" spans="1:10" x14ac:dyDescent="0.25">
      <c r="A1" s="6" t="s">
        <v>510</v>
      </c>
      <c r="B1" s="6" t="s">
        <v>1007</v>
      </c>
      <c r="C1" s="6" t="s">
        <v>1034</v>
      </c>
      <c r="D1" s="6" t="s">
        <v>1008</v>
      </c>
      <c r="E1" s="7" t="s">
        <v>1413</v>
      </c>
      <c r="F1" s="6" t="s">
        <v>1033</v>
      </c>
      <c r="G1" s="6" t="s">
        <v>540</v>
      </c>
      <c r="H1" s="6" t="s">
        <v>575</v>
      </c>
      <c r="I1" s="6" t="s">
        <v>576</v>
      </c>
      <c r="J1" s="6" t="s">
        <v>582</v>
      </c>
    </row>
    <row r="2" spans="1:10" x14ac:dyDescent="0.25">
      <c r="A2" t="s">
        <v>858</v>
      </c>
      <c r="B2" s="20" t="s">
        <v>7</v>
      </c>
      <c r="C2">
        <v>50</v>
      </c>
      <c r="D2">
        <f t="shared" ref="D2:D49" si="0">IF(NOT(ISBLANK(C2)), IF(ISNUMBER(C2), ROUND((C2 - 5)/20, 0), C2), "")</f>
        <v>2</v>
      </c>
      <c r="F2" t="s">
        <v>1474</v>
      </c>
      <c r="G2" cm="1">
        <f t="array" ref="G2">COUNT(IF(($A2=pokemon!$AC$2:$AC$412)*(pokemon!$AB$2:$AB$412 &lt;&gt; "Noble Form")*(ISBLANK(pokemon!$AJ$2:$AJ$412)), pokemon!$T$2:$T$412))</f>
        <v>2</v>
      </c>
      <c r="H2" cm="1">
        <f t="array" ref="H2">MIN(IF(($A2=pokemon!$AC$2:$AC$412)*(pokemon!$AB$2:$AB$412 &lt;&gt; "Noble Form")*(ISBLANK(pokemon!$AJ$2:$AJ$412)), pokemon!$T$2:$T$412))</f>
        <v>7</v>
      </c>
      <c r="I2" cm="1">
        <f t="array" ref="I2">MAX(IF(($A2=pokemon!$AC$2:$AC$412)*(pokemon!$AB$2:$AB$412 &lt;&gt; "Noble Form")*(ISBLANK(pokemon!$AJ$2:$AJ$412)), pokemon!$T$2:$T$412))</f>
        <v>12</v>
      </c>
      <c r="J2">
        <f t="shared" ref="J2:J71" si="1">I2-H2</f>
        <v>5</v>
      </c>
    </row>
    <row r="3" spans="1:10" x14ac:dyDescent="0.25">
      <c r="A3" t="s">
        <v>515</v>
      </c>
      <c r="B3" s="20" t="s">
        <v>7</v>
      </c>
      <c r="C3">
        <v>60</v>
      </c>
      <c r="D3">
        <f t="shared" si="0"/>
        <v>3</v>
      </c>
      <c r="F3" t="s">
        <v>1473</v>
      </c>
      <c r="G3" cm="1">
        <f t="array" ref="G3">COUNT(IF(($A3=pokemon!$AC$2:$AC$412)*(pokemon!$AB$2:$AB$412 &lt;&gt; "Noble Form")*(ISBLANK(pokemon!$AJ$2:$AJ$412)), pokemon!$T$2:$T$412))</f>
        <v>3</v>
      </c>
      <c r="H3" cm="1">
        <f t="array" ref="H3">MIN(IF(($A3=pokemon!$AC$2:$AC$412)*(pokemon!$AB$2:$AB$412 &lt;&gt; "Noble Form")*(ISBLANK(pokemon!$AJ$2:$AJ$412)), pokemon!$T$2:$T$412))</f>
        <v>7</v>
      </c>
      <c r="I3" cm="1">
        <f t="array" ref="I3">MAX(IF(($A3=pokemon!$AC$2:$AC$412)*(pokemon!$AB$2:$AB$412 &lt;&gt; "Noble Form")*(ISBLANK(pokemon!$AJ$2:$AJ$412)), pokemon!$T$2:$T$412))</f>
        <v>11</v>
      </c>
      <c r="J3">
        <f t="shared" si="1"/>
        <v>4</v>
      </c>
    </row>
    <row r="4" spans="1:10" x14ac:dyDescent="0.25">
      <c r="A4" t="s">
        <v>714</v>
      </c>
      <c r="B4" s="20" t="s">
        <v>7</v>
      </c>
      <c r="C4">
        <v>60</v>
      </c>
      <c r="D4">
        <f t="shared" si="0"/>
        <v>3</v>
      </c>
      <c r="F4" t="s">
        <v>1457</v>
      </c>
      <c r="G4" cm="1">
        <f t="array" ref="G4">COUNT(IF(($A4=pokemon!$AC$2:$AC$412)*(pokemon!$AB$2:$AB$412 &lt;&gt; "Noble Form")*(ISBLANK(pokemon!$AJ$2:$AJ$412)), pokemon!$T$2:$T$412))</f>
        <v>1</v>
      </c>
      <c r="H4" cm="1">
        <f t="array" ref="H4">MIN(IF(($A4=pokemon!$AC$2:$AC$412)*(pokemon!$AB$2:$AB$412 &lt;&gt; "Noble Form")*(ISBLANK(pokemon!$AJ$2:$AJ$412)), pokemon!$T$2:$T$412))</f>
        <v>28</v>
      </c>
      <c r="I4" cm="1">
        <f t="array" ref="I4">MAX(IF(($A4=pokemon!$AC$2:$AC$412)*(pokemon!$AB$2:$AB$412 &lt;&gt; "Noble Form")*(ISBLANK(pokemon!$AJ$2:$AJ$412)), pokemon!$T$2:$T$412))</f>
        <v>28</v>
      </c>
      <c r="J4">
        <f t="shared" si="1"/>
        <v>0</v>
      </c>
    </row>
    <row r="5" spans="1:10" x14ac:dyDescent="0.25">
      <c r="A5" t="s">
        <v>483</v>
      </c>
      <c r="B5" s="20" t="s">
        <v>7</v>
      </c>
      <c r="C5">
        <v>70</v>
      </c>
      <c r="D5">
        <f t="shared" si="0"/>
        <v>3</v>
      </c>
      <c r="E5" s="1" t="s">
        <v>1448</v>
      </c>
      <c r="F5" t="s">
        <v>1097</v>
      </c>
      <c r="G5" cm="1">
        <f t="array" ref="G5">COUNT(IF(($A5=pokemon!$AC$2:$AC$412)*(pokemon!$AB$2:$AB$412 &lt;&gt; "Noble Form")*(ISBLANK(pokemon!$AJ$2:$AJ$412)), pokemon!$T$2:$T$412))</f>
        <v>1</v>
      </c>
      <c r="H5" cm="1">
        <f t="array" ref="H5">MIN(IF(($A5=pokemon!$AC$2:$AC$412)*(pokemon!$AB$2:$AB$412 &lt;&gt; "Noble Form")*(ISBLANK(pokemon!$AJ$2:$AJ$412)), pokemon!$T$2:$T$412))</f>
        <v>11</v>
      </c>
      <c r="I5" cm="1">
        <f t="array" ref="I5">MAX(IF(($A5=pokemon!$AC$2:$AC$412)*(pokemon!$AB$2:$AB$412 &lt;&gt; "Noble Form")*(ISBLANK(pokemon!$AJ$2:$AJ$412)), pokemon!$T$2:$T$412))</f>
        <v>11</v>
      </c>
      <c r="J5">
        <f t="shared" si="1"/>
        <v>0</v>
      </c>
    </row>
    <row r="6" spans="1:10" x14ac:dyDescent="0.25">
      <c r="A6" t="s">
        <v>1202</v>
      </c>
      <c r="B6" s="20" t="s">
        <v>7</v>
      </c>
      <c r="C6">
        <v>60</v>
      </c>
      <c r="D6">
        <f t="shared" si="0"/>
        <v>3</v>
      </c>
      <c r="E6" s="1" t="s">
        <v>1448</v>
      </c>
      <c r="F6" t="s">
        <v>1475</v>
      </c>
      <c r="G6" cm="1">
        <f t="array" ref="G6">COUNT(IF(($A6=pokemon!$AC$2:$AC$412)*(pokemon!$AB$2:$AB$412 &lt;&gt; "Noble Form")*(ISBLANK(pokemon!$AJ$2:$AJ$412)), pokemon!$T$2:$T$412))</f>
        <v>1</v>
      </c>
      <c r="H6" cm="1">
        <f t="array" ref="H6">MIN(IF(($A6=pokemon!$AC$2:$AC$412)*(pokemon!$AB$2:$AB$412 &lt;&gt; "Noble Form")*(ISBLANK(pokemon!$AJ$2:$AJ$412)), pokemon!$T$2:$T$412))</f>
        <v>14</v>
      </c>
      <c r="I6" cm="1">
        <f t="array" ref="I6">MAX(IF(($A6=pokemon!$AC$2:$AC$412)*(pokemon!$AB$2:$AB$412 &lt;&gt; "Noble Form")*(ISBLANK(pokemon!$AJ$2:$AJ$412)), pokemon!$T$2:$T$412))</f>
        <v>14</v>
      </c>
      <c r="J6">
        <f t="shared" si="1"/>
        <v>0</v>
      </c>
    </row>
    <row r="7" spans="1:10" x14ac:dyDescent="0.25">
      <c r="A7" t="s">
        <v>648</v>
      </c>
      <c r="B7" s="20" t="s">
        <v>7</v>
      </c>
      <c r="C7">
        <v>80</v>
      </c>
      <c r="D7">
        <f t="shared" si="0"/>
        <v>4</v>
      </c>
      <c r="F7" t="s">
        <v>577</v>
      </c>
      <c r="G7" cm="1">
        <f t="array" ref="G7">COUNT(IF(($A7=pokemon!$AC$2:$AC$412)*(pokemon!$AB$2:$AB$412 &lt;&gt; "Noble Form")*(ISBLANK(pokemon!$AJ$2:$AJ$412)), pokemon!$T$2:$T$412))</f>
        <v>2</v>
      </c>
      <c r="H7" cm="1">
        <f t="array" ref="H7">MIN(IF(($A7=pokemon!$AC$2:$AC$412)*(pokemon!$AB$2:$AB$412 &lt;&gt; "Noble Form")*(ISBLANK(pokemon!$AJ$2:$AJ$412)), pokemon!$T$2:$T$412))</f>
        <v>14</v>
      </c>
      <c r="I7" cm="1">
        <f t="array" ref="I7">MAX(IF(($A7=pokemon!$AC$2:$AC$412)*(pokemon!$AB$2:$AB$412 &lt;&gt; "Noble Form")*(ISBLANK(pokemon!$AJ$2:$AJ$412)), pokemon!$T$2:$T$412))</f>
        <v>18</v>
      </c>
      <c r="J7">
        <f t="shared" si="1"/>
        <v>4</v>
      </c>
    </row>
    <row r="8" spans="1:10" x14ac:dyDescent="0.25">
      <c r="A8" t="s">
        <v>600</v>
      </c>
      <c r="B8" s="20" t="s">
        <v>7</v>
      </c>
      <c r="C8">
        <v>80</v>
      </c>
      <c r="D8">
        <f t="shared" si="0"/>
        <v>4</v>
      </c>
      <c r="F8" t="s">
        <v>1252</v>
      </c>
      <c r="G8" cm="1">
        <f t="array" ref="G8">COUNT(IF(($A8=pokemon!$AC$2:$AC$412)*(pokemon!$AB$2:$AB$412 &lt;&gt; "Noble Form")*(ISBLANK(pokemon!$AJ$2:$AJ$412)), pokemon!$T$2:$T$412))</f>
        <v>2</v>
      </c>
      <c r="H8" cm="1">
        <f t="array" ref="H8">MIN(IF(($A8=pokemon!$AC$2:$AC$412)*(pokemon!$AB$2:$AB$412 &lt;&gt; "Noble Form")*(ISBLANK(pokemon!$AJ$2:$AJ$412)), pokemon!$T$2:$T$412))</f>
        <v>13</v>
      </c>
      <c r="I8" cm="1">
        <f t="array" ref="I8">MAX(IF(($A8=pokemon!$AC$2:$AC$412)*(pokemon!$AB$2:$AB$412 &lt;&gt; "Noble Form")*(ISBLANK(pokemon!$AJ$2:$AJ$412)), pokemon!$T$2:$T$412))</f>
        <v>18</v>
      </c>
      <c r="J8">
        <f t="shared" si="1"/>
        <v>5</v>
      </c>
    </row>
    <row r="9" spans="1:10" x14ac:dyDescent="0.25">
      <c r="A9" t="s">
        <v>517</v>
      </c>
      <c r="B9" s="20" t="s">
        <v>7</v>
      </c>
      <c r="C9">
        <v>80</v>
      </c>
      <c r="D9">
        <f t="shared" si="0"/>
        <v>4</v>
      </c>
      <c r="F9" t="s">
        <v>1142</v>
      </c>
      <c r="G9" cm="1">
        <f t="array" ref="G9">COUNT(IF(($A9=pokemon!$AC$2:$AC$412)*(pokemon!$AB$2:$AB$412 &lt;&gt; "Noble Form")*(ISBLANK(pokemon!$AJ$2:$AJ$412)), pokemon!$T$2:$T$412))</f>
        <v>1</v>
      </c>
      <c r="H9" cm="1">
        <f t="array" ref="H9">MIN(IF(($A9=pokemon!$AC$2:$AC$412)*(pokemon!$AB$2:$AB$412 &lt;&gt; "Noble Form")*(ISBLANK(pokemon!$AJ$2:$AJ$412)), pokemon!$T$2:$T$412))</f>
        <v>15</v>
      </c>
      <c r="I9" cm="1">
        <f t="array" ref="I9">MAX(IF(($A9=pokemon!$AC$2:$AC$412)*(pokemon!$AB$2:$AB$412 &lt;&gt; "Noble Form")*(ISBLANK(pokemon!$AJ$2:$AJ$412)), pokemon!$T$2:$T$412))</f>
        <v>15</v>
      </c>
      <c r="J9">
        <f t="shared" si="1"/>
        <v>0</v>
      </c>
    </row>
    <row r="10" spans="1:10" x14ac:dyDescent="0.25">
      <c r="A10" t="s">
        <v>498</v>
      </c>
      <c r="B10" s="20" t="s">
        <v>7</v>
      </c>
      <c r="C10">
        <v>100</v>
      </c>
      <c r="D10">
        <f t="shared" si="0"/>
        <v>5</v>
      </c>
      <c r="F10" t="s">
        <v>639</v>
      </c>
      <c r="G10" cm="1">
        <f t="array" ref="G10">COUNT(IF(($A10=pokemon!$AC$2:$AC$412)*(pokemon!$AB$2:$AB$412 &lt;&gt; "Noble Form")*(ISBLANK(pokemon!$AJ$2:$AJ$412)), pokemon!$T$2:$T$412))</f>
        <v>3</v>
      </c>
      <c r="H10" cm="1">
        <f t="array" ref="H10">MIN(IF(($A10=pokemon!$AC$2:$AC$412)*(pokemon!$AB$2:$AB$412 &lt;&gt; "Noble Form")*(ISBLANK(pokemon!$AJ$2:$AJ$412)), pokemon!$T$2:$T$412))</f>
        <v>16</v>
      </c>
      <c r="I10" cm="1">
        <f t="array" ref="I10">MAX(IF(($A10=pokemon!$AC$2:$AC$412)*(pokemon!$AB$2:$AB$412 &lt;&gt; "Noble Form")*(ISBLANK(pokemon!$AJ$2:$AJ$412)), pokemon!$T$2:$T$412))</f>
        <v>18</v>
      </c>
      <c r="J10">
        <f t="shared" si="1"/>
        <v>2</v>
      </c>
    </row>
    <row r="11" spans="1:10" x14ac:dyDescent="0.25">
      <c r="A11" t="s">
        <v>1388</v>
      </c>
      <c r="B11" s="20" t="s">
        <v>7</v>
      </c>
      <c r="C11">
        <v>0</v>
      </c>
      <c r="D11">
        <f t="shared" si="0"/>
        <v>0</v>
      </c>
      <c r="F11" t="s">
        <v>1389</v>
      </c>
      <c r="G11" cm="1">
        <f t="array" ref="G11">COUNT(IF(($A11=pokemon!$AC$2:$AC$412)*(pokemon!$AB$2:$AB$412 &lt;&gt; "Noble Form")*(ISBLANK(pokemon!$AJ$2:$AJ$412)), pokemon!$T$2:$T$412))</f>
        <v>1</v>
      </c>
      <c r="H11" cm="1">
        <f t="array" ref="H11">MIN(IF(($A11=pokemon!$AC$2:$AC$412)*(pokemon!$AB$2:$AB$412 &lt;&gt; "Noble Form")*(ISBLANK(pokemon!$AJ$2:$AJ$412)), pokemon!$T$2:$T$412))</f>
        <v>21</v>
      </c>
      <c r="I11" cm="1">
        <f t="array" ref="I11">MAX(IF(($A11=pokemon!$AC$2:$AC$412)*(pokemon!$AB$2:$AB$412 &lt;&gt; "Noble Form")*(ISBLANK(pokemon!$AJ$2:$AJ$412)), pokemon!$T$2:$T$412))</f>
        <v>21</v>
      </c>
      <c r="J11">
        <f>I11-H11</f>
        <v>0</v>
      </c>
    </row>
    <row r="12" spans="1:10" x14ac:dyDescent="0.25">
      <c r="A12" t="s">
        <v>839</v>
      </c>
      <c r="B12" s="24" t="s">
        <v>9</v>
      </c>
      <c r="C12">
        <v>20</v>
      </c>
      <c r="D12">
        <f t="shared" si="0"/>
        <v>1</v>
      </c>
      <c r="F12" t="s">
        <v>1458</v>
      </c>
      <c r="G12" cm="1">
        <f t="array" ref="G12">COUNT(IF(($A12=pokemon!$AC$2:$AC$412)*(pokemon!$AB$2:$AB$412 &lt;&gt; "Noble Form")*(ISBLANK(pokemon!$AJ$2:$AJ$412)), pokemon!$T$2:$T$412))</f>
        <v>1</v>
      </c>
      <c r="H12" cm="1">
        <f t="array" ref="H12">MIN(IF(($A12=pokemon!$AC$2:$AC$412)*(pokemon!$AB$2:$AB$412 &lt;&gt; "Noble Form")*(ISBLANK(pokemon!$AJ$2:$AJ$412)), pokemon!$T$2:$T$412))</f>
        <v>10</v>
      </c>
      <c r="I12" cm="1">
        <f t="array" ref="I12">MAX(IF(($A12=pokemon!$AC$2:$AC$412)*(pokemon!$AB$2:$AB$412 &lt;&gt; "Noble Form")*(ISBLANK(pokemon!$AJ$2:$AJ$412)), pokemon!$T$2:$T$412))</f>
        <v>10</v>
      </c>
      <c r="J12">
        <f t="shared" si="1"/>
        <v>0</v>
      </c>
    </row>
    <row r="13" spans="1:10" x14ac:dyDescent="0.25">
      <c r="A13" t="s">
        <v>1467</v>
      </c>
      <c r="B13" s="24" t="s">
        <v>9</v>
      </c>
      <c r="C13">
        <v>100</v>
      </c>
      <c r="D13">
        <f t="shared" si="0"/>
        <v>5</v>
      </c>
      <c r="E13" s="1" t="s">
        <v>1437</v>
      </c>
      <c r="F13" t="s">
        <v>1466</v>
      </c>
      <c r="G13" cm="1">
        <f t="array" ref="G13">COUNT(IF(($A13=pokemon!$AC$2:$AC$412)*(pokemon!$AB$2:$AB$412 &lt;&gt; "Noble Form")*(ISBLANK(pokemon!$AJ$2:$AJ$412)), pokemon!$T$2:$T$412))</f>
        <v>1</v>
      </c>
      <c r="H13" cm="1">
        <f t="array" ref="H13">MIN(IF(($A13=pokemon!$AC$2:$AC$412)*(pokemon!$AB$2:$AB$412 &lt;&gt; "Noble Form")*(ISBLANK(pokemon!$AJ$2:$AJ$412)), pokemon!$T$2:$T$412))</f>
        <v>20</v>
      </c>
      <c r="I13" cm="1">
        <f t="array" ref="I13">MAX(IF(($A13=pokemon!$AC$2:$AC$412)*(pokemon!$AB$2:$AB$412 &lt;&gt; "Noble Form")*(ISBLANK(pokemon!$AJ$2:$AJ$412)), pokemon!$T$2:$T$412))</f>
        <v>20</v>
      </c>
      <c r="J13">
        <f t="shared" si="1"/>
        <v>0</v>
      </c>
    </row>
    <row r="14" spans="1:10" x14ac:dyDescent="0.25">
      <c r="A14" t="s">
        <v>506</v>
      </c>
      <c r="B14" s="24" t="s">
        <v>9</v>
      </c>
      <c r="C14">
        <v>40</v>
      </c>
      <c r="D14">
        <f t="shared" si="0"/>
        <v>2</v>
      </c>
      <c r="E14" s="1" t="s">
        <v>1436</v>
      </c>
      <c r="F14" t="s">
        <v>1465</v>
      </c>
      <c r="G14" cm="1">
        <f t="array" ref="G14">COUNT(IF(($A14=pokemon!$AC$2:$AC$412)*(pokemon!$AB$2:$AB$412 &lt;&gt; "Noble Form")*(ISBLANK(pokemon!$AJ$2:$AJ$412)), pokemon!$T$2:$T$412))</f>
        <v>1</v>
      </c>
      <c r="H14" cm="1">
        <f t="array" ref="H14">MIN(IF(($A14=pokemon!$AC$2:$AC$412)*(pokemon!$AB$2:$AB$412 &lt;&gt; "Noble Form")*(ISBLANK(pokemon!$AJ$2:$AJ$412)), pokemon!$T$2:$T$412))</f>
        <v>20</v>
      </c>
      <c r="I14" cm="1">
        <f t="array" ref="I14">MAX(IF(($A14=pokemon!$AC$2:$AC$412)*(pokemon!$AB$2:$AB$412 &lt;&gt; "Noble Form")*(ISBLANK(pokemon!$AJ$2:$AJ$412)), pokemon!$T$2:$T$412))</f>
        <v>20</v>
      </c>
      <c r="J14">
        <f t="shared" si="1"/>
        <v>0</v>
      </c>
    </row>
    <row r="15" spans="1:10" x14ac:dyDescent="0.25">
      <c r="A15" t="s">
        <v>528</v>
      </c>
      <c r="B15" s="24" t="s">
        <v>9</v>
      </c>
      <c r="C15">
        <v>60</v>
      </c>
      <c r="D15">
        <f t="shared" si="0"/>
        <v>3</v>
      </c>
      <c r="F15" t="s">
        <v>1098</v>
      </c>
      <c r="G15" cm="1">
        <f t="array" ref="G15">COUNT(IF(($A15=pokemon!$AC$2:$AC$412)*(pokemon!$AB$2:$AB$412 &lt;&gt; "Noble Form")*(ISBLANK(pokemon!$AJ$2:$AJ$412)), pokemon!$T$2:$T$412))</f>
        <v>6</v>
      </c>
      <c r="H15" cm="1">
        <f t="array" ref="H15">MIN(IF(($A15=pokemon!$AC$2:$AC$412)*(pokemon!$AB$2:$AB$412 &lt;&gt; "Noble Form")*(ISBLANK(pokemon!$AJ$2:$AJ$412)), pokemon!$T$2:$T$412))</f>
        <v>11</v>
      </c>
      <c r="I15" cm="1">
        <f t="array" ref="I15">MAX(IF(($A15=pokemon!$AC$2:$AC$412)*(pokemon!$AB$2:$AB$412 &lt;&gt; "Noble Form")*(ISBLANK(pokemon!$AJ$2:$AJ$412)), pokemon!$T$2:$T$412))</f>
        <v>14</v>
      </c>
      <c r="J15">
        <f t="shared" si="1"/>
        <v>3</v>
      </c>
    </row>
    <row r="16" spans="1:10" x14ac:dyDescent="0.25">
      <c r="A16" t="s">
        <v>522</v>
      </c>
      <c r="B16" s="24" t="s">
        <v>9</v>
      </c>
      <c r="C16">
        <v>75</v>
      </c>
      <c r="D16">
        <f t="shared" si="0"/>
        <v>4</v>
      </c>
      <c r="F16" t="s">
        <v>577</v>
      </c>
      <c r="G16" cm="1">
        <f t="array" ref="G16">COUNT(IF(($A16=pokemon!$AC$2:$AC$412)*(pokemon!$AB$2:$AB$412 &lt;&gt; "Noble Form")*(ISBLANK(pokemon!$AJ$2:$AJ$412)), pokemon!$T$2:$T$412))</f>
        <v>3</v>
      </c>
      <c r="H16" cm="1">
        <f t="array" ref="H16">MIN(IF(($A16=pokemon!$AC$2:$AC$412)*(pokemon!$AB$2:$AB$412 &lt;&gt; "Noble Form")*(ISBLANK(pokemon!$AJ$2:$AJ$412)), pokemon!$T$2:$T$412))</f>
        <v>16</v>
      </c>
      <c r="I16" cm="1">
        <f t="array" ref="I16">MAX(IF(($A16=pokemon!$AC$2:$AC$412)*(pokemon!$AB$2:$AB$412 &lt;&gt; "Noble Form")*(ISBLANK(pokemon!$AJ$2:$AJ$412)), pokemon!$T$2:$T$412))</f>
        <v>17</v>
      </c>
      <c r="J16">
        <f t="shared" si="1"/>
        <v>1</v>
      </c>
    </row>
    <row r="17" spans="1:10" x14ac:dyDescent="0.25">
      <c r="A17" t="s">
        <v>505</v>
      </c>
      <c r="B17" s="24" t="s">
        <v>9</v>
      </c>
      <c r="C17">
        <v>80</v>
      </c>
      <c r="D17">
        <f t="shared" si="0"/>
        <v>4</v>
      </c>
      <c r="F17" t="s">
        <v>1098</v>
      </c>
      <c r="G17" cm="1">
        <f t="array" ref="G17">COUNT(IF(($A17=pokemon!$AC$2:$AC$412)*(pokemon!$AB$2:$AB$412 &lt;&gt; "Noble Form")*(ISBLANK(pokemon!$AJ$2:$AJ$412)), pokemon!$T$2:$T$412))</f>
        <v>3</v>
      </c>
      <c r="H17" cm="1">
        <f t="array" ref="H17">MIN(IF(($A17=pokemon!$AC$2:$AC$412)*(pokemon!$AB$2:$AB$412 &lt;&gt; "Noble Form")*(ISBLANK(pokemon!$AJ$2:$AJ$412)), pokemon!$T$2:$T$412))</f>
        <v>14</v>
      </c>
      <c r="I17" cm="1">
        <f t="array" ref="I17">MAX(IF(($A17=pokemon!$AC$2:$AC$412)*(pokemon!$AB$2:$AB$412 &lt;&gt; "Noble Form")*(ISBLANK(pokemon!$AJ$2:$AJ$412)), pokemon!$T$2:$T$412))</f>
        <v>18</v>
      </c>
      <c r="J17">
        <f t="shared" si="1"/>
        <v>4</v>
      </c>
    </row>
    <row r="18" spans="1:10" x14ac:dyDescent="0.25">
      <c r="A18" t="s">
        <v>1126</v>
      </c>
      <c r="B18" s="24" t="s">
        <v>9</v>
      </c>
      <c r="C18">
        <v>60</v>
      </c>
      <c r="D18">
        <f t="shared" si="0"/>
        <v>3</v>
      </c>
      <c r="E18" s="1" t="s">
        <v>1435</v>
      </c>
      <c r="F18" t="s">
        <v>726</v>
      </c>
      <c r="G18" cm="1">
        <f t="array" ref="G18">COUNT(IF(($A18=pokemon!$AC$2:$AC$412)*(pokemon!$AB$2:$AB$412 &lt;&gt; "Noble Form")*(ISBLANK(pokemon!$AJ$2:$AJ$412)), pokemon!$T$2:$T$412))</f>
        <v>1</v>
      </c>
      <c r="H18" cm="1">
        <f t="array" ref="H18">MIN(IF(($A18=pokemon!$AC$2:$AC$412)*(pokemon!$AB$2:$AB$412 &lt;&gt; "Noble Form")*(ISBLANK(pokemon!$AJ$2:$AJ$412)), pokemon!$T$2:$T$412))</f>
        <v>15</v>
      </c>
      <c r="I18" cm="1">
        <f t="array" ref="I18">MAX(IF(($A18=pokemon!$AC$2:$AC$412)*(pokemon!$AB$2:$AB$412 &lt;&gt; "Noble Form")*(ISBLANK(pokemon!$AJ$2:$AJ$412)), pokemon!$T$2:$T$412))</f>
        <v>15</v>
      </c>
      <c r="J18">
        <f t="shared" si="1"/>
        <v>0</v>
      </c>
    </row>
    <row r="19" spans="1:10" x14ac:dyDescent="0.25">
      <c r="A19" t="s">
        <v>663</v>
      </c>
      <c r="B19" s="24" t="s">
        <v>9</v>
      </c>
      <c r="C19">
        <v>100</v>
      </c>
      <c r="D19">
        <f t="shared" si="0"/>
        <v>5</v>
      </c>
      <c r="F19" t="s">
        <v>1092</v>
      </c>
      <c r="G19" cm="1">
        <f t="array" ref="G19">COUNT(IF(($A19=pokemon!$AC$2:$AC$412)*(pokemon!$AB$2:$AB$412 &lt;&gt; "Noble Form")*(ISBLANK(pokemon!$AJ$2:$AJ$412)), pokemon!$T$2:$T$412))</f>
        <v>1</v>
      </c>
      <c r="H19" cm="1">
        <f t="array" ref="H19">MIN(IF(($A19=pokemon!$AC$2:$AC$412)*(pokemon!$AB$2:$AB$412 &lt;&gt; "Noble Form")*(ISBLANK(pokemon!$AJ$2:$AJ$412)), pokemon!$T$2:$T$412))</f>
        <v>17</v>
      </c>
      <c r="I19" cm="1">
        <f t="array" ref="I19">MAX(IF(($A19=pokemon!$AC$2:$AC$412)*(pokemon!$AB$2:$AB$412 &lt;&gt; "Noble Form")*(ISBLANK(pokemon!$AJ$2:$AJ$412)), pokemon!$T$2:$T$412))</f>
        <v>17</v>
      </c>
      <c r="J19">
        <f t="shared" si="1"/>
        <v>0</v>
      </c>
    </row>
    <row r="20" spans="1:10" x14ac:dyDescent="0.25">
      <c r="A20" t="s">
        <v>693</v>
      </c>
      <c r="B20" s="24" t="s">
        <v>9</v>
      </c>
      <c r="C20">
        <v>100</v>
      </c>
      <c r="D20">
        <f t="shared" si="0"/>
        <v>5</v>
      </c>
      <c r="F20" t="s">
        <v>1098</v>
      </c>
      <c r="G20" cm="1">
        <f t="array" ref="G20">COUNT(IF(($A20=pokemon!$AC$2:$AC$412)*(pokemon!$AB$2:$AB$412 &lt;&gt; "Noble Form")*(ISBLANK(pokemon!$AJ$2:$AJ$412)), pokemon!$T$2:$T$412))</f>
        <v>1</v>
      </c>
      <c r="H20" cm="1">
        <f t="array" ref="H20">MIN(IF(($A20=pokemon!$AC$2:$AC$412)*(pokemon!$AB$2:$AB$412 &lt;&gt; "Noble Form")*(ISBLANK(pokemon!$AJ$2:$AJ$412)), pokemon!$T$2:$T$412))</f>
        <v>28</v>
      </c>
      <c r="I20" cm="1">
        <f t="array" ref="I20">MAX(IF(($A20=pokemon!$AC$2:$AC$412)*(pokemon!$AB$2:$AB$412 &lt;&gt; "Noble Form")*(ISBLANK(pokemon!$AJ$2:$AJ$412)), pokemon!$T$2:$T$412))</f>
        <v>28</v>
      </c>
      <c r="J20">
        <f t="shared" si="1"/>
        <v>0</v>
      </c>
    </row>
    <row r="21" spans="1:10" x14ac:dyDescent="0.25">
      <c r="A21" t="s">
        <v>826</v>
      </c>
      <c r="B21" s="24" t="s">
        <v>9</v>
      </c>
      <c r="C21" t="s">
        <v>513</v>
      </c>
      <c r="D21" t="str">
        <f t="shared" si="0"/>
        <v>?</v>
      </c>
      <c r="F21" t="s">
        <v>827</v>
      </c>
      <c r="G21" cm="1">
        <f t="array" ref="G21">COUNT(IF(($A21=pokemon!$AC$2:$AC$412)*(pokemon!$AB$2:$AB$412 &lt;&gt; "Noble Form")*(ISBLANK(pokemon!$AJ$2:$AJ$412)), pokemon!$T$2:$T$412))</f>
        <v>1</v>
      </c>
      <c r="H21" cm="1">
        <f t="array" ref="H21">MIN(IF(($A21=pokemon!$AC$2:$AC$412)*(pokemon!$AB$2:$AB$412 &lt;&gt; "Noble Form")*(ISBLANK(pokemon!$AJ$2:$AJ$412)), pokemon!$T$2:$T$412))</f>
        <v>11</v>
      </c>
      <c r="I21" cm="1">
        <f t="array" ref="I21">MAX(IF(($A21=pokemon!$AC$2:$AC$412)*(pokemon!$AB$2:$AB$412 &lt;&gt; "Noble Form")*(ISBLANK(pokemon!$AJ$2:$AJ$412)), pokemon!$T$2:$T$412))</f>
        <v>11</v>
      </c>
      <c r="J21">
        <f t="shared" si="1"/>
        <v>0</v>
      </c>
    </row>
    <row r="22" spans="1:10" x14ac:dyDescent="0.25">
      <c r="A22" t="s">
        <v>1361</v>
      </c>
      <c r="B22" s="24" t="s">
        <v>9</v>
      </c>
      <c r="C22">
        <v>80</v>
      </c>
      <c r="D22">
        <f t="shared" si="0"/>
        <v>4</v>
      </c>
      <c r="F22" t="s">
        <v>578</v>
      </c>
      <c r="G22" cm="1">
        <f t="array" ref="G22">COUNT(IF(($A22=pokemon!$AC$2:$AC$412)*(pokemon!$AB$2:$AB$412 &lt;&gt; "Noble Form")*(ISBLANK(pokemon!$AJ$2:$AJ$412)), pokemon!$T$2:$T$412))</f>
        <v>1</v>
      </c>
      <c r="H22" cm="1">
        <f t="array" ref="H22">MIN(IF(($A22=pokemon!$AC$2:$AC$412)*(pokemon!$AB$2:$AB$412 &lt;&gt; "Noble Form")*(ISBLANK(pokemon!$AJ$2:$AJ$412)), pokemon!$T$2:$T$412))</f>
        <v>21</v>
      </c>
      <c r="I22" cm="1">
        <f t="array" ref="I22">MAX(IF(($A22=pokemon!$AC$2:$AC$412)*(pokemon!$AB$2:$AB$412 &lt;&gt; "Noble Form")*(ISBLANK(pokemon!$AJ$2:$AJ$412)), pokemon!$T$2:$T$412))</f>
        <v>21</v>
      </c>
      <c r="J22">
        <f t="shared" ref="J22" si="2">I22-H22</f>
        <v>0</v>
      </c>
    </row>
    <row r="23" spans="1:10" x14ac:dyDescent="0.25">
      <c r="A23" t="s">
        <v>588</v>
      </c>
      <c r="B23" s="23" t="s">
        <v>67</v>
      </c>
      <c r="C23">
        <v>45</v>
      </c>
      <c r="D23">
        <f t="shared" si="0"/>
        <v>2</v>
      </c>
      <c r="F23" t="s">
        <v>785</v>
      </c>
      <c r="G23" cm="1">
        <f t="array" ref="G23">COUNT(IF(($A23=pokemon!$AC$2:$AC$412)*(pokemon!$AB$2:$AB$412 &lt;&gt; "Noble Form")*(ISBLANK(pokemon!$AJ$2:$AJ$412)), pokemon!$T$2:$T$412))</f>
        <v>1</v>
      </c>
      <c r="H23" cm="1">
        <f t="array" ref="H23">MIN(IF(($A23=pokemon!$AC$2:$AC$412)*(pokemon!$AB$2:$AB$412 &lt;&gt; "Noble Form")*(ISBLANK(pokemon!$AJ$2:$AJ$412)), pokemon!$T$2:$T$412))</f>
        <v>10</v>
      </c>
      <c r="I23" cm="1">
        <f t="array" ref="I23">MAX(IF(($A23=pokemon!$AC$2:$AC$412)*(pokemon!$AB$2:$AB$412 &lt;&gt; "Noble Form")*(ISBLANK(pokemon!$AJ$2:$AJ$412)), pokemon!$T$2:$T$412))</f>
        <v>10</v>
      </c>
      <c r="J23">
        <f t="shared" si="1"/>
        <v>0</v>
      </c>
    </row>
    <row r="24" spans="1:10" x14ac:dyDescent="0.25">
      <c r="A24" t="s">
        <v>1081</v>
      </c>
      <c r="B24" s="23" t="s">
        <v>67</v>
      </c>
      <c r="C24">
        <v>40</v>
      </c>
      <c r="D24">
        <f t="shared" si="0"/>
        <v>2</v>
      </c>
      <c r="F24" t="s">
        <v>761</v>
      </c>
      <c r="G24" cm="1">
        <f t="array" ref="G24">COUNT(IF(($A24=pokemon!$AC$2:$AC$412)*(pokemon!$AB$2:$AB$412 &lt;&gt; "Noble Form")*(ISBLANK(pokemon!$AJ$2:$AJ$412)), pokemon!$T$2:$T$412))</f>
        <v>1</v>
      </c>
      <c r="H24" cm="1">
        <f t="array" ref="H24">MIN(IF(($A24=pokemon!$AC$2:$AC$412)*(pokemon!$AB$2:$AB$412 &lt;&gt; "Noble Form")*(ISBLANK(pokemon!$AJ$2:$AJ$412)), pokemon!$T$2:$T$412))</f>
        <v>14</v>
      </c>
      <c r="I24" cm="1">
        <f t="array" ref="I24">MAX(IF(($A24=pokemon!$AC$2:$AC$412)*(pokemon!$AB$2:$AB$412 &lt;&gt; "Noble Form")*(ISBLANK(pokemon!$AJ$2:$AJ$412)), pokemon!$T$2:$T$412))</f>
        <v>14</v>
      </c>
      <c r="J24">
        <f t="shared" si="1"/>
        <v>0</v>
      </c>
    </row>
    <row r="25" spans="1:10" x14ac:dyDescent="0.25">
      <c r="A25" t="s">
        <v>1168</v>
      </c>
      <c r="B25" s="23" t="s">
        <v>67</v>
      </c>
      <c r="C25">
        <v>60</v>
      </c>
      <c r="D25">
        <f t="shared" si="0"/>
        <v>3</v>
      </c>
      <c r="F25" t="s">
        <v>1253</v>
      </c>
      <c r="G25" cm="1">
        <f t="array" ref="G25">COUNT(IF(($A25=pokemon!$AC$2:$AC$412)*(pokemon!$AB$2:$AB$412 &lt;&gt; "Noble Form")*(ISBLANK(pokemon!$AJ$2:$AJ$412)), pokemon!$T$2:$T$412))</f>
        <v>1</v>
      </c>
      <c r="H25" cm="1">
        <f t="array" ref="H25">MIN(IF(($A25=pokemon!$AC$2:$AC$412)*(pokemon!$AB$2:$AB$412 &lt;&gt; "Noble Form")*(ISBLANK(pokemon!$AJ$2:$AJ$412)), pokemon!$T$2:$T$412))</f>
        <v>10</v>
      </c>
      <c r="I25" cm="1">
        <f t="array" ref="I25">MAX(IF(($A25=pokemon!$AC$2:$AC$412)*(pokemon!$AB$2:$AB$412 &lt;&gt; "Noble Form")*(ISBLANK(pokemon!$AJ$2:$AJ$412)), pokemon!$T$2:$T$412))</f>
        <v>10</v>
      </c>
      <c r="J25">
        <f t="shared" si="1"/>
        <v>0</v>
      </c>
    </row>
    <row r="26" spans="1:10" x14ac:dyDescent="0.25">
      <c r="A26" t="s">
        <v>478</v>
      </c>
      <c r="B26" s="23" t="s">
        <v>67</v>
      </c>
      <c r="C26">
        <v>90</v>
      </c>
      <c r="D26">
        <f t="shared" si="0"/>
        <v>4</v>
      </c>
      <c r="F26" t="s">
        <v>1085</v>
      </c>
      <c r="G26" cm="1">
        <f t="array" ref="G26">COUNT(IF(($A26=pokemon!$AC$2:$AC$412)*(pokemon!$AB$2:$AB$412 &lt;&gt; "Noble Form")*(ISBLANK(pokemon!$AJ$2:$AJ$412)), pokemon!$T$2:$T$412))</f>
        <v>1</v>
      </c>
      <c r="H26" cm="1">
        <f t="array" ref="H26">MIN(IF(($A26=pokemon!$AC$2:$AC$412)*(pokemon!$AB$2:$AB$412 &lt;&gt; "Noble Form")*(ISBLANK(pokemon!$AJ$2:$AJ$412)), pokemon!$T$2:$T$412))</f>
        <v>23</v>
      </c>
      <c r="I26" cm="1">
        <f t="array" ref="I26">MAX(IF(($A26=pokemon!$AC$2:$AC$412)*(pokemon!$AB$2:$AB$412 &lt;&gt; "Noble Form")*(ISBLANK(pokemon!$AJ$2:$AJ$412)), pokemon!$T$2:$T$412))</f>
        <v>23</v>
      </c>
      <c r="J26">
        <f t="shared" si="1"/>
        <v>0</v>
      </c>
    </row>
    <row r="27" spans="1:10" x14ac:dyDescent="0.25">
      <c r="A27" t="s">
        <v>775</v>
      </c>
      <c r="B27" s="23" t="s">
        <v>67</v>
      </c>
      <c r="C27">
        <v>80</v>
      </c>
      <c r="D27">
        <f t="shared" si="0"/>
        <v>4</v>
      </c>
      <c r="F27" t="s">
        <v>578</v>
      </c>
      <c r="G27" cm="1">
        <f t="array" ref="G27">COUNT(IF(($A27=pokemon!$AC$2:$AC$412)*(pokemon!$AB$2:$AB$412 &lt;&gt; "Noble Form")*(ISBLANK(pokemon!$AJ$2:$AJ$412)), pokemon!$T$2:$T$412))</f>
        <v>3</v>
      </c>
      <c r="H27" cm="1">
        <f t="array" ref="H27">MIN(IF(($A27=pokemon!$AC$2:$AC$412)*(pokemon!$AB$2:$AB$412 &lt;&gt; "Noble Form")*(ISBLANK(pokemon!$AJ$2:$AJ$412)), pokemon!$T$2:$T$412))</f>
        <v>16</v>
      </c>
      <c r="I27" cm="1">
        <f t="array" ref="I27">MAX(IF(($A27=pokemon!$AC$2:$AC$412)*(pokemon!$AB$2:$AB$412 &lt;&gt; "Noble Form")*(ISBLANK(pokemon!$AJ$2:$AJ$412)), pokemon!$T$2:$T$412))</f>
        <v>20</v>
      </c>
      <c r="J27">
        <f t="shared" si="1"/>
        <v>4</v>
      </c>
    </row>
    <row r="28" spans="1:10" x14ac:dyDescent="0.25">
      <c r="A28" t="s">
        <v>1167</v>
      </c>
      <c r="B28" s="23" t="s">
        <v>67</v>
      </c>
      <c r="C28">
        <v>100</v>
      </c>
      <c r="D28">
        <f t="shared" si="0"/>
        <v>5</v>
      </c>
      <c r="F28" t="s">
        <v>873</v>
      </c>
      <c r="G28" cm="1">
        <f t="array" ref="G28">COUNT(IF(($A28=pokemon!$AC$2:$AC$412)*(pokemon!$AB$2:$AB$412 &lt;&gt; "Noble Form")*(ISBLANK(pokemon!$AJ$2:$AJ$412)), pokemon!$T$2:$T$412))</f>
        <v>1</v>
      </c>
      <c r="H28" cm="1">
        <f t="array" ref="H28">MIN(IF(($A28=pokemon!$AC$2:$AC$412)*(pokemon!$AB$2:$AB$412 &lt;&gt; "Noble Form")*(ISBLANK(pokemon!$AJ$2:$AJ$412)), pokemon!$T$2:$T$412))</f>
        <v>20</v>
      </c>
      <c r="I28" cm="1">
        <f t="array" ref="I28">MAX(IF(($A28=pokemon!$AC$2:$AC$412)*(pokemon!$AB$2:$AB$412 &lt;&gt; "Noble Form")*(ISBLANK(pokemon!$AJ$2:$AJ$412)), pokemon!$T$2:$T$412))</f>
        <v>20</v>
      </c>
      <c r="J28">
        <f t="shared" si="1"/>
        <v>0</v>
      </c>
    </row>
    <row r="29" spans="1:10" x14ac:dyDescent="0.25">
      <c r="A29" t="s">
        <v>589</v>
      </c>
      <c r="B29" s="23" t="s">
        <v>67</v>
      </c>
      <c r="C29">
        <v>100</v>
      </c>
      <c r="D29">
        <f t="shared" si="0"/>
        <v>5</v>
      </c>
      <c r="F29" t="s">
        <v>1094</v>
      </c>
      <c r="G29" cm="1">
        <f t="array" ref="G29">COUNT(IF(($A29=pokemon!$AC$2:$AC$412)*(pokemon!$AB$2:$AB$412 &lt;&gt; "Noble Form")*(ISBLANK(pokemon!$AJ$2:$AJ$412)), pokemon!$T$2:$T$412))</f>
        <v>2</v>
      </c>
      <c r="H29" cm="1">
        <f t="array" ref="H29">MIN(IF(($A29=pokemon!$AC$2:$AC$412)*(pokemon!$AB$2:$AB$412 &lt;&gt; "Noble Form")*(ISBLANK(pokemon!$AJ$2:$AJ$412)), pokemon!$T$2:$T$412))</f>
        <v>20</v>
      </c>
      <c r="I29" cm="1">
        <f t="array" ref="I29">MAX(IF(($A29=pokemon!$AC$2:$AC$412)*(pokemon!$AB$2:$AB$412 &lt;&gt; "Noble Form")*(ISBLANK(pokemon!$AJ$2:$AJ$412)), pokemon!$T$2:$T$412))</f>
        <v>20</v>
      </c>
      <c r="J29">
        <f t="shared" si="1"/>
        <v>0</v>
      </c>
    </row>
    <row r="30" spans="1:10" x14ac:dyDescent="0.25">
      <c r="A30" t="s">
        <v>1189</v>
      </c>
      <c r="B30" s="23" t="s">
        <v>67</v>
      </c>
      <c r="C30">
        <v>100</v>
      </c>
      <c r="D30">
        <f t="shared" si="0"/>
        <v>5</v>
      </c>
      <c r="F30" t="s">
        <v>795</v>
      </c>
      <c r="G30" cm="1">
        <f t="array" ref="G30">COUNT(IF(($A30=pokemon!$AC$2:$AC$412)*(pokemon!$AB$2:$AB$412 &lt;&gt; "Noble Form")*(ISBLANK(pokemon!$AJ$2:$AJ$412)), pokemon!$T$2:$T$412))</f>
        <v>1</v>
      </c>
      <c r="H30" cm="1">
        <f t="array" ref="H30">MIN(IF(($A30=pokemon!$AC$2:$AC$412)*(pokemon!$AB$2:$AB$412 &lt;&gt; "Noble Form")*(ISBLANK(pokemon!$AJ$2:$AJ$412)), pokemon!$T$2:$T$412))</f>
        <v>24</v>
      </c>
      <c r="I30" cm="1">
        <f t="array" ref="I30">MAX(IF(($A30=pokemon!$AC$2:$AC$412)*(pokemon!$AB$2:$AB$412 &lt;&gt; "Noble Form")*(ISBLANK(pokemon!$AJ$2:$AJ$412)), pokemon!$T$2:$T$412))</f>
        <v>24</v>
      </c>
      <c r="J30">
        <f t="shared" si="1"/>
        <v>0</v>
      </c>
    </row>
    <row r="31" spans="1:10" x14ac:dyDescent="0.25">
      <c r="A31" t="s">
        <v>503</v>
      </c>
      <c r="B31" s="23" t="s">
        <v>67</v>
      </c>
      <c r="C31">
        <v>100</v>
      </c>
      <c r="D31">
        <f t="shared" si="0"/>
        <v>5</v>
      </c>
      <c r="F31" t="s">
        <v>1212</v>
      </c>
      <c r="G31" cm="1">
        <f t="array" ref="G31">COUNT(IF(($A31=pokemon!$AC$2:$AC$412)*(pokemon!$AB$2:$AB$412 &lt;&gt; "Noble Form")*(ISBLANK(pokemon!$AJ$2:$AJ$412)), pokemon!$T$2:$T$412))</f>
        <v>2</v>
      </c>
      <c r="H31" cm="1">
        <f t="array" ref="H31">MIN(IF(($A31=pokemon!$AC$2:$AC$412)*(pokemon!$AB$2:$AB$412 &lt;&gt; "Noble Form")*(ISBLANK(pokemon!$AJ$2:$AJ$412)), pokemon!$T$2:$T$412))</f>
        <v>19</v>
      </c>
      <c r="I31" cm="1">
        <f t="array" ref="I31">MAX(IF(($A31=pokemon!$AC$2:$AC$412)*(pokemon!$AB$2:$AB$412 &lt;&gt; "Noble Form")*(ISBLANK(pokemon!$AJ$2:$AJ$412)), pokemon!$T$2:$T$412))</f>
        <v>20</v>
      </c>
      <c r="J31">
        <f t="shared" si="1"/>
        <v>1</v>
      </c>
    </row>
    <row r="32" spans="1:10" x14ac:dyDescent="0.25">
      <c r="A32" t="s">
        <v>504</v>
      </c>
      <c r="B32" s="23" t="s">
        <v>67</v>
      </c>
      <c r="C32">
        <v>120</v>
      </c>
      <c r="D32">
        <f t="shared" si="0"/>
        <v>6</v>
      </c>
      <c r="E32" s="1" t="s">
        <v>1438</v>
      </c>
      <c r="F32" t="s">
        <v>1441</v>
      </c>
      <c r="G32" cm="1">
        <f t="array" ref="G32">COUNT(IF(($A32=pokemon!$AC$2:$AC$412)*(pokemon!$AB$2:$AB$412 &lt;&gt; "Noble Form")*(ISBLANK(pokemon!$AJ$2:$AJ$412)), pokemon!$T$2:$T$412))</f>
        <v>1</v>
      </c>
      <c r="H32" cm="1">
        <f t="array" ref="H32">MIN(IF(($A32=pokemon!$AC$2:$AC$412)*(pokemon!$AB$2:$AB$412 &lt;&gt; "Noble Form")*(ISBLANK(pokemon!$AJ$2:$AJ$412)), pokemon!$T$2:$T$412))</f>
        <v>23</v>
      </c>
      <c r="I32" cm="1">
        <f t="array" ref="I32">MAX(IF(($A32=pokemon!$AC$2:$AC$412)*(pokemon!$AB$2:$AB$412 &lt;&gt; "Noble Form")*(ISBLANK(pokemon!$AJ$2:$AJ$412)), pokemon!$T$2:$T$412))</f>
        <v>23</v>
      </c>
      <c r="J32">
        <f t="shared" si="1"/>
        <v>0</v>
      </c>
    </row>
    <row r="33" spans="1:10" x14ac:dyDescent="0.25">
      <c r="A33" t="s">
        <v>1368</v>
      </c>
      <c r="B33" s="23" t="s">
        <v>67</v>
      </c>
      <c r="C33">
        <v>80</v>
      </c>
      <c r="D33">
        <f t="shared" si="0"/>
        <v>4</v>
      </c>
      <c r="F33" t="s">
        <v>1252</v>
      </c>
      <c r="G33" cm="1">
        <f t="array" ref="G33">COUNT(IF(($A33=pokemon!$AC$2:$AC$412)*(pokemon!$AB$2:$AB$412 &lt;&gt; "Noble Form")*(ISBLANK(pokemon!$AJ$2:$AJ$412)), pokemon!$T$2:$T$412))</f>
        <v>1</v>
      </c>
      <c r="H33" cm="1">
        <f t="array" ref="H33">MIN(IF(($A33=pokemon!$AC$2:$AC$412)*(pokemon!$AB$2:$AB$412 &lt;&gt; "Noble Form")*(ISBLANK(pokemon!$AJ$2:$AJ$412)), pokemon!$T$2:$T$412))</f>
        <v>21</v>
      </c>
      <c r="I33" cm="1">
        <f t="array" ref="I33">MAX(IF(($A33=pokemon!$AC$2:$AC$412)*(pokemon!$AB$2:$AB$412 &lt;&gt; "Noble Form")*(ISBLANK(pokemon!$AJ$2:$AJ$412)), pokemon!$T$2:$T$412))</f>
        <v>21</v>
      </c>
      <c r="J33">
        <f t="shared" ref="J33:J34" si="3">I33-H33</f>
        <v>0</v>
      </c>
    </row>
    <row r="34" spans="1:10" x14ac:dyDescent="0.25">
      <c r="A34" t="s">
        <v>1380</v>
      </c>
      <c r="B34" s="23" t="s">
        <v>67</v>
      </c>
      <c r="C34">
        <v>60</v>
      </c>
      <c r="D34">
        <f t="shared" si="0"/>
        <v>3</v>
      </c>
      <c r="E34" s="1" t="s">
        <v>1450</v>
      </c>
      <c r="F34" t="s">
        <v>1414</v>
      </c>
      <c r="G34" cm="1">
        <f t="array" ref="G34">COUNT(IF(($A34=pokemon!$AC$2:$AC$412)*(pokemon!$AB$2:$AB$412 &lt;&gt; "Noble Form")*(ISBLANK(pokemon!$AJ$2:$AJ$412)), pokemon!$T$2:$T$412))</f>
        <v>1</v>
      </c>
      <c r="H34" cm="1">
        <f t="array" ref="H34">MIN(IF(($A34=pokemon!$AC$2:$AC$412)*(pokemon!$AB$2:$AB$412 &lt;&gt; "Noble Form")*(ISBLANK(pokemon!$AJ$2:$AJ$412)), pokemon!$T$2:$T$412))</f>
        <v>20</v>
      </c>
      <c r="I34" cm="1">
        <f t="array" ref="I34">MAX(IF(($A34=pokemon!$AC$2:$AC$412)*(pokemon!$AB$2:$AB$412 &lt;&gt; "Noble Form")*(ISBLANK(pokemon!$AJ$2:$AJ$412)), pokemon!$T$2:$T$412))</f>
        <v>20</v>
      </c>
      <c r="J34">
        <f t="shared" si="3"/>
        <v>0</v>
      </c>
    </row>
    <row r="35" spans="1:10" x14ac:dyDescent="0.25">
      <c r="A35" t="s">
        <v>633</v>
      </c>
      <c r="B35" s="13" t="s">
        <v>11</v>
      </c>
      <c r="C35">
        <v>20</v>
      </c>
      <c r="D35">
        <f t="shared" si="0"/>
        <v>1</v>
      </c>
      <c r="E35" s="1" t="s">
        <v>1436</v>
      </c>
      <c r="F35" t="s">
        <v>785</v>
      </c>
      <c r="G35" cm="1">
        <f t="array" ref="G35">COUNT(IF(($A35=pokemon!$AC$2:$AC$412)*(pokemon!$AB$2:$AB$412 &lt;&gt; "Noble Form")*(ISBLANK(pokemon!$AJ$2:$AJ$412)), pokemon!$T$2:$T$412))</f>
        <v>2</v>
      </c>
      <c r="H35" cm="1">
        <f t="array" ref="H35">MIN(IF(($A35=pokemon!$AC$2:$AC$412)*(pokemon!$AB$2:$AB$412 &lt;&gt; "Noble Form")*(ISBLANK(pokemon!$AJ$2:$AJ$412)), pokemon!$T$2:$T$412))</f>
        <v>10</v>
      </c>
      <c r="I35" cm="1">
        <f t="array" ref="I35">MAX(IF(($A35=pokemon!$AC$2:$AC$412)*(pokemon!$AB$2:$AB$412 &lt;&gt; "Noble Form")*(ISBLANK(pokemon!$AJ$2:$AJ$412)), pokemon!$T$2:$T$412))</f>
        <v>14</v>
      </c>
      <c r="J35">
        <f t="shared" si="1"/>
        <v>4</v>
      </c>
    </row>
    <row r="36" spans="1:10" x14ac:dyDescent="0.25">
      <c r="A36" t="s">
        <v>846</v>
      </c>
      <c r="B36" s="13" t="s">
        <v>11</v>
      </c>
      <c r="C36">
        <v>40</v>
      </c>
      <c r="D36">
        <f t="shared" si="0"/>
        <v>2</v>
      </c>
      <c r="F36" t="s">
        <v>1459</v>
      </c>
      <c r="G36" cm="1">
        <f t="array" ref="G36">COUNT(IF(($A36=pokemon!$AC$2:$AC$412)*(pokemon!$AB$2:$AB$412 &lt;&gt; "Noble Form")*(ISBLANK(pokemon!$AJ$2:$AJ$412)), pokemon!$T$2:$T$412))</f>
        <v>1</v>
      </c>
      <c r="H36" cm="1">
        <f t="array" ref="H36">MIN(IF(($A36=pokemon!$AC$2:$AC$412)*(pokemon!$AB$2:$AB$412 &lt;&gt; "Noble Form")*(ISBLANK(pokemon!$AJ$2:$AJ$412)), pokemon!$T$2:$T$412))</f>
        <v>17</v>
      </c>
      <c r="I36" cm="1">
        <f t="array" ref="I36">MAX(IF(($A36=pokemon!$AC$2:$AC$412)*(pokemon!$AB$2:$AB$412 &lt;&gt; "Noble Form")*(ISBLANK(pokemon!$AJ$2:$AJ$412)), pokemon!$T$2:$T$412))</f>
        <v>17</v>
      </c>
      <c r="J36">
        <f t="shared" si="1"/>
        <v>0</v>
      </c>
    </row>
    <row r="37" spans="1:10" x14ac:dyDescent="0.25">
      <c r="A37" t="s">
        <v>569</v>
      </c>
      <c r="B37" s="13" t="s">
        <v>11</v>
      </c>
      <c r="C37">
        <v>40</v>
      </c>
      <c r="D37">
        <f t="shared" si="0"/>
        <v>2</v>
      </c>
      <c r="F37" t="s">
        <v>785</v>
      </c>
      <c r="G37" cm="1">
        <f t="array" ref="G37">COUNT(IF(($A37=pokemon!$AC$2:$AC$412)*(pokemon!$AB$2:$AB$412 &lt;&gt; "Noble Form")*(ISBLANK(pokemon!$AJ$2:$AJ$412)), pokemon!$T$2:$T$412))</f>
        <v>2</v>
      </c>
      <c r="H37" cm="1">
        <f t="array" ref="H37">MIN(IF(($A37=pokemon!$AC$2:$AC$412)*(pokemon!$AB$2:$AB$412 &lt;&gt; "Noble Form")*(ISBLANK(pokemon!$AJ$2:$AJ$412)), pokemon!$T$2:$T$412))</f>
        <v>12</v>
      </c>
      <c r="I37" cm="1">
        <f t="array" ref="I37">MAX(IF(($A37=pokemon!$AC$2:$AC$412)*(pokemon!$AB$2:$AB$412 &lt;&gt; "Noble Form")*(ISBLANK(pokemon!$AJ$2:$AJ$412)), pokemon!$T$2:$T$412))</f>
        <v>13</v>
      </c>
      <c r="J37">
        <f t="shared" si="1"/>
        <v>1</v>
      </c>
    </row>
    <row r="38" spans="1:10" x14ac:dyDescent="0.25">
      <c r="A38" t="s">
        <v>845</v>
      </c>
      <c r="B38" s="13" t="s">
        <v>11</v>
      </c>
      <c r="C38">
        <v>50</v>
      </c>
      <c r="D38">
        <f t="shared" si="0"/>
        <v>2</v>
      </c>
      <c r="F38" t="s">
        <v>1087</v>
      </c>
      <c r="G38" cm="1">
        <f t="array" ref="G38">COUNT(IF(($A38=pokemon!$AC$2:$AC$412)*(pokemon!$AB$2:$AB$412 &lt;&gt; "Noble Form")*(ISBLANK(pokemon!$AJ$2:$AJ$412)), pokemon!$T$2:$T$412))</f>
        <v>1</v>
      </c>
      <c r="H38" cm="1">
        <f t="array" ref="H38">MIN(IF(($A38=pokemon!$AC$2:$AC$412)*(pokemon!$AB$2:$AB$412 &lt;&gt; "Noble Form")*(ISBLANK(pokemon!$AJ$2:$AJ$412)), pokemon!$T$2:$T$412))</f>
        <v>10</v>
      </c>
      <c r="I38" cm="1">
        <f t="array" ref="I38">MAX(IF(($A38=pokemon!$AC$2:$AC$412)*(pokemon!$AB$2:$AB$412 &lt;&gt; "Noble Form")*(ISBLANK(pokemon!$AJ$2:$AJ$412)), pokemon!$T$2:$T$412))</f>
        <v>10</v>
      </c>
      <c r="J38">
        <f t="shared" si="1"/>
        <v>0</v>
      </c>
    </row>
    <row r="39" spans="1:10" x14ac:dyDescent="0.25">
      <c r="A39" t="s">
        <v>1125</v>
      </c>
      <c r="B39" s="13" t="s">
        <v>11</v>
      </c>
      <c r="C39">
        <v>60</v>
      </c>
      <c r="D39">
        <f t="shared" si="0"/>
        <v>3</v>
      </c>
      <c r="E39" s="1" t="s">
        <v>1435</v>
      </c>
      <c r="F39" t="s">
        <v>785</v>
      </c>
      <c r="G39" cm="1">
        <f t="array" ref="G39">COUNT(IF(($A39=pokemon!$AC$2:$AC$412)*(pokemon!$AB$2:$AB$412 &lt;&gt; "Noble Form")*(ISBLANK(pokemon!$AJ$2:$AJ$412)), pokemon!$T$2:$T$412))</f>
        <v>1</v>
      </c>
      <c r="H39" cm="1">
        <f t="array" ref="H39">MIN(IF(($A39=pokemon!$AC$2:$AC$412)*(pokemon!$AB$2:$AB$412 &lt;&gt; "Noble Form")*(ISBLANK(pokemon!$AJ$2:$AJ$412)), pokemon!$T$2:$T$412))</f>
        <v>15</v>
      </c>
      <c r="I39" cm="1">
        <f t="array" ref="I39">MAX(IF(($A39=pokemon!$AC$2:$AC$412)*(pokemon!$AB$2:$AB$412 &lt;&gt; "Noble Form")*(ISBLANK(pokemon!$AJ$2:$AJ$412)), pokemon!$T$2:$T$412))</f>
        <v>15</v>
      </c>
      <c r="J39">
        <f t="shared" si="1"/>
        <v>0</v>
      </c>
    </row>
    <row r="40" spans="1:10" x14ac:dyDescent="0.25">
      <c r="A40" t="s">
        <v>482</v>
      </c>
      <c r="B40" s="13" t="s">
        <v>11</v>
      </c>
      <c r="C40">
        <v>70</v>
      </c>
      <c r="D40">
        <f t="shared" si="0"/>
        <v>3</v>
      </c>
      <c r="E40" s="1" t="s">
        <v>1448</v>
      </c>
      <c r="F40" t="s">
        <v>1097</v>
      </c>
      <c r="G40" cm="1">
        <f t="array" ref="G40">COUNT(IF(($A40=pokemon!$AC$2:$AC$412)*(pokemon!$AB$2:$AB$412 &lt;&gt; "Noble Form")*(ISBLANK(pokemon!$AJ$2:$AJ$412)), pokemon!$T$2:$T$412))</f>
        <v>1</v>
      </c>
      <c r="H40" cm="1">
        <f t="array" ref="H40">MIN(IF(($A40=pokemon!$AC$2:$AC$412)*(pokemon!$AB$2:$AB$412 &lt;&gt; "Noble Form")*(ISBLANK(pokemon!$AJ$2:$AJ$412)), pokemon!$T$2:$T$412))</f>
        <v>10</v>
      </c>
      <c r="I40" cm="1">
        <f t="array" ref="I40">MAX(IF(($A40=pokemon!$AC$2:$AC$412)*(pokemon!$AB$2:$AB$412 &lt;&gt; "Noble Form")*(ISBLANK(pokemon!$AJ$2:$AJ$412)), pokemon!$T$2:$T$412))</f>
        <v>10</v>
      </c>
      <c r="J40">
        <f t="shared" si="1"/>
        <v>0</v>
      </c>
    </row>
    <row r="41" spans="1:10" x14ac:dyDescent="0.25">
      <c r="A41" t="s">
        <v>713</v>
      </c>
      <c r="B41" s="13" t="s">
        <v>11</v>
      </c>
      <c r="C41">
        <v>60</v>
      </c>
      <c r="D41">
        <f t="shared" si="0"/>
        <v>3</v>
      </c>
      <c r="E41" s="1" t="s">
        <v>1450</v>
      </c>
      <c r="F41" t="s">
        <v>1415</v>
      </c>
      <c r="G41" cm="1">
        <f t="array" ref="G41">COUNT(IF(($A41=pokemon!$AC$2:$AC$412)*(pokemon!$AB$2:$AB$412 &lt;&gt; "Noble Form")*(ISBLANK(pokemon!$AJ$2:$AJ$412)), pokemon!$T$2:$T$412))</f>
        <v>1</v>
      </c>
      <c r="H41" cm="1">
        <f t="array" ref="H41">MIN(IF(($A41=pokemon!$AC$2:$AC$412)*(pokemon!$AB$2:$AB$412 &lt;&gt; "Noble Form")*(ISBLANK(pokemon!$AJ$2:$AJ$412)), pokemon!$T$2:$T$412))</f>
        <v>28</v>
      </c>
      <c r="I41" cm="1">
        <f t="array" ref="I41">MAX(IF(($A41=pokemon!$AC$2:$AC$412)*(pokemon!$AB$2:$AB$412 &lt;&gt; "Noble Form")*(ISBLANK(pokemon!$AJ$2:$AJ$412)), pokemon!$T$2:$T$412))</f>
        <v>28</v>
      </c>
      <c r="J41">
        <f t="shared" si="1"/>
        <v>0</v>
      </c>
    </row>
    <row r="42" spans="1:10" x14ac:dyDescent="0.25">
      <c r="A42" t="s">
        <v>570</v>
      </c>
      <c r="B42" s="13" t="s">
        <v>11</v>
      </c>
      <c r="C42">
        <v>80</v>
      </c>
      <c r="D42">
        <f t="shared" si="0"/>
        <v>4</v>
      </c>
      <c r="F42" t="s">
        <v>1254</v>
      </c>
      <c r="G42" cm="1">
        <f t="array" ref="G42">COUNT(IF(($A42=pokemon!$AC$2:$AC$412)*(pokemon!$AB$2:$AB$412 &lt;&gt; "Noble Form")*(ISBLANK(pokemon!$AJ$2:$AJ$412)), pokemon!$T$2:$T$412))</f>
        <v>1</v>
      </c>
      <c r="H42" cm="1">
        <f t="array" ref="H42">MIN(IF(($A42=pokemon!$AC$2:$AC$412)*(pokemon!$AB$2:$AB$412 &lt;&gt; "Noble Form")*(ISBLANK(pokemon!$AJ$2:$AJ$412)), pokemon!$T$2:$T$412))</f>
        <v>20</v>
      </c>
      <c r="I42" cm="1">
        <f t="array" ref="I42">MAX(IF(($A42=pokemon!$AC$2:$AC$412)*(pokemon!$AB$2:$AB$412 &lt;&gt; "Noble Form")*(ISBLANK(pokemon!$AJ$2:$AJ$412)), pokemon!$T$2:$T$412))</f>
        <v>20</v>
      </c>
      <c r="J42">
        <f t="shared" si="1"/>
        <v>0</v>
      </c>
    </row>
    <row r="43" spans="1:10" x14ac:dyDescent="0.25">
      <c r="A43" t="s">
        <v>486</v>
      </c>
      <c r="B43" s="13" t="s">
        <v>11</v>
      </c>
      <c r="C43">
        <v>80</v>
      </c>
      <c r="D43">
        <f t="shared" si="0"/>
        <v>4</v>
      </c>
      <c r="F43" t="s">
        <v>1252</v>
      </c>
      <c r="G43" cm="1">
        <f t="array" ref="G43">COUNT(IF(($A43=pokemon!$AC$2:$AC$412)*(pokemon!$AB$2:$AB$412 &lt;&gt; "Noble Form")*(ISBLANK(pokemon!$AJ$2:$AJ$412)), pokemon!$T$2:$T$412))</f>
        <v>1</v>
      </c>
      <c r="H43" cm="1">
        <f t="array" ref="H43">MIN(IF(($A43=pokemon!$AC$2:$AC$412)*(pokemon!$AB$2:$AB$412 &lt;&gt; "Noble Form")*(ISBLANK(pokemon!$AJ$2:$AJ$412)), pokemon!$T$2:$T$412))</f>
        <v>17</v>
      </c>
      <c r="I43" cm="1">
        <f t="array" ref="I43">MAX(IF(($A43=pokemon!$AC$2:$AC$412)*(pokemon!$AB$2:$AB$412 &lt;&gt; "Noble Form")*(ISBLANK(pokemon!$AJ$2:$AJ$412)), pokemon!$T$2:$T$412))</f>
        <v>17</v>
      </c>
      <c r="J43">
        <f t="shared" si="1"/>
        <v>0</v>
      </c>
    </row>
    <row r="44" spans="1:10" x14ac:dyDescent="0.25">
      <c r="A44" t="s">
        <v>672</v>
      </c>
      <c r="B44" s="13" t="s">
        <v>11</v>
      </c>
      <c r="C44">
        <v>85</v>
      </c>
      <c r="D44">
        <f t="shared" si="0"/>
        <v>4</v>
      </c>
      <c r="F44" t="s">
        <v>875</v>
      </c>
      <c r="G44" cm="1">
        <f t="array" ref="G44">COUNT(IF(($A44=pokemon!$AC$2:$AC$412)*(pokemon!$AB$2:$AB$412 &lt;&gt; "Noble Form")*(ISBLANK(pokemon!$AJ$2:$AJ$412)), pokemon!$T$2:$T$412))</f>
        <v>2</v>
      </c>
      <c r="H44" cm="1">
        <f t="array" ref="H44">MIN(IF(($A44=pokemon!$AC$2:$AC$412)*(pokemon!$AB$2:$AB$412 &lt;&gt; "Noble Form")*(ISBLANK(pokemon!$AJ$2:$AJ$412)), pokemon!$T$2:$T$412))</f>
        <v>18</v>
      </c>
      <c r="I44" cm="1">
        <f t="array" ref="I44">MAX(IF(($A44=pokemon!$AC$2:$AC$412)*(pokemon!$AB$2:$AB$412 &lt;&gt; "Noble Form")*(ISBLANK(pokemon!$AJ$2:$AJ$412)), pokemon!$T$2:$T$412))</f>
        <v>19</v>
      </c>
      <c r="J44">
        <f t="shared" si="1"/>
        <v>1</v>
      </c>
    </row>
    <row r="45" spans="1:10" x14ac:dyDescent="0.25">
      <c r="A45" t="s">
        <v>1214</v>
      </c>
      <c r="B45" s="13" t="s">
        <v>11</v>
      </c>
      <c r="C45">
        <v>100</v>
      </c>
      <c r="D45">
        <f t="shared" si="0"/>
        <v>5</v>
      </c>
      <c r="F45" t="s">
        <v>1277</v>
      </c>
      <c r="G45" cm="1">
        <f t="array" ref="G45">COUNT(IF(($A45=pokemon!$AC$2:$AC$412)*(pokemon!$AB$2:$AB$412 &lt;&gt; "Noble Form")*(ISBLANK(pokemon!$AJ$2:$AJ$412)), pokemon!$T$2:$T$412))</f>
        <v>1</v>
      </c>
      <c r="H45" cm="1">
        <f t="array" ref="H45">MIN(IF(($A45=pokemon!$AC$2:$AC$412)*(pokemon!$AB$2:$AB$412 &lt;&gt; "Noble Form")*(ISBLANK(pokemon!$AJ$2:$AJ$412)), pokemon!$T$2:$T$412))</f>
        <v>20</v>
      </c>
      <c r="I45" cm="1">
        <f t="array" ref="I45">MAX(IF(($A45=pokemon!$AC$2:$AC$412)*(pokemon!$AB$2:$AB$412 &lt;&gt; "Noble Form")*(ISBLANK(pokemon!$AJ$2:$AJ$412)), pokemon!$T$2:$T$412))</f>
        <v>20</v>
      </c>
      <c r="J45">
        <f t="shared" si="1"/>
        <v>0</v>
      </c>
    </row>
    <row r="46" spans="1:10" x14ac:dyDescent="0.25">
      <c r="A46" t="s">
        <v>487</v>
      </c>
      <c r="B46" s="13" t="s">
        <v>11</v>
      </c>
      <c r="C46">
        <v>100</v>
      </c>
      <c r="D46">
        <f t="shared" si="0"/>
        <v>5</v>
      </c>
      <c r="F46" t="s">
        <v>1094</v>
      </c>
      <c r="G46" cm="1">
        <f t="array" ref="G46">COUNT(IF(($A46=pokemon!$AC$2:$AC$412)*(pokemon!$AB$2:$AB$412 &lt;&gt; "Noble Form")*(ISBLANK(pokemon!$AJ$2:$AJ$412)), pokemon!$T$2:$T$412))</f>
        <v>2</v>
      </c>
      <c r="H46" cm="1">
        <f t="array" ref="H46">MIN(IF(($A46=pokemon!$AC$2:$AC$412)*(pokemon!$AB$2:$AB$412 &lt;&gt; "Noble Form")*(ISBLANK(pokemon!$AJ$2:$AJ$412)), pokemon!$T$2:$T$412))</f>
        <v>18</v>
      </c>
      <c r="I46" cm="1">
        <f t="array" ref="I46">MAX(IF(($A46=pokemon!$AC$2:$AC$412)*(pokemon!$AB$2:$AB$412 &lt;&gt; "Noble Form")*(ISBLANK(pokemon!$AJ$2:$AJ$412)), pokemon!$T$2:$T$412))</f>
        <v>18</v>
      </c>
      <c r="J46">
        <f t="shared" si="1"/>
        <v>0</v>
      </c>
    </row>
    <row r="47" spans="1:10" x14ac:dyDescent="0.25">
      <c r="A47" t="s">
        <v>573</v>
      </c>
      <c r="B47" s="13" t="s">
        <v>11</v>
      </c>
      <c r="C47">
        <v>110</v>
      </c>
      <c r="D47">
        <f t="shared" si="0"/>
        <v>5</v>
      </c>
      <c r="F47" t="s">
        <v>1155</v>
      </c>
      <c r="G47" cm="1">
        <f t="array" ref="G47">COUNT(IF(($A47=pokemon!$AC$2:$AC$412)*(pokemon!$AB$2:$AB$412 &lt;&gt; "Noble Form")*(ISBLANK(pokemon!$AJ$2:$AJ$412)), pokemon!$T$2:$T$412))</f>
        <v>1</v>
      </c>
      <c r="H47" cm="1">
        <f t="array" ref="H47">MIN(IF(($A47=pokemon!$AC$2:$AC$412)*(pokemon!$AB$2:$AB$412 &lt;&gt; "Noble Form")*(ISBLANK(pokemon!$AJ$2:$AJ$412)), pokemon!$T$2:$T$412))</f>
        <v>17</v>
      </c>
      <c r="I47" cm="1">
        <f t="array" ref="I47">MAX(IF(($A47=pokemon!$AC$2:$AC$412)*(pokemon!$AB$2:$AB$412 &lt;&gt; "Noble Form")*(ISBLANK(pokemon!$AJ$2:$AJ$412)), pokemon!$T$2:$T$412))</f>
        <v>17</v>
      </c>
      <c r="J47">
        <f t="shared" si="1"/>
        <v>0</v>
      </c>
    </row>
    <row r="48" spans="1:10" x14ac:dyDescent="0.25">
      <c r="A48" t="s">
        <v>656</v>
      </c>
      <c r="B48" s="13" t="s">
        <v>11</v>
      </c>
      <c r="C48" t="s">
        <v>513</v>
      </c>
      <c r="D48" t="str">
        <f t="shared" si="0"/>
        <v>?</v>
      </c>
      <c r="F48" t="s">
        <v>834</v>
      </c>
      <c r="G48" cm="1">
        <f t="array" ref="G48">COUNT(IF(($A48=pokemon!$AC$2:$AC$412)*(pokemon!$AB$2:$AB$412 &lt;&gt; "Noble Form")*(ISBLANK(pokemon!$AJ$2:$AJ$412)), pokemon!$T$2:$T$412))</f>
        <v>1</v>
      </c>
      <c r="H48" cm="1">
        <f t="array" ref="H48">MIN(IF(($A48=pokemon!$AC$2:$AC$412)*(pokemon!$AB$2:$AB$412 &lt;&gt; "Noble Form")*(ISBLANK(pokemon!$AJ$2:$AJ$412)), pokemon!$T$2:$T$412))</f>
        <v>12</v>
      </c>
      <c r="I48" cm="1">
        <f t="array" ref="I48">MAX(IF(($A48=pokemon!$AC$2:$AC$412)*(pokemon!$AB$2:$AB$412 &lt;&gt; "Noble Form")*(ISBLANK(pokemon!$AJ$2:$AJ$412)), pokemon!$T$2:$T$412))</f>
        <v>12</v>
      </c>
      <c r="J48">
        <f t="shared" si="1"/>
        <v>0</v>
      </c>
    </row>
    <row r="49" spans="1:10" x14ac:dyDescent="0.25">
      <c r="A49" t="s">
        <v>1379</v>
      </c>
      <c r="B49" s="13" t="s">
        <v>11</v>
      </c>
      <c r="C49">
        <v>60</v>
      </c>
      <c r="D49">
        <f t="shared" si="0"/>
        <v>3</v>
      </c>
      <c r="E49" s="1" t="s">
        <v>1450</v>
      </c>
      <c r="F49" t="s">
        <v>1416</v>
      </c>
      <c r="G49" cm="1">
        <f t="array" ref="G49">COUNT(IF(($A49=pokemon!$AC$2:$AC$412)*(pokemon!$AB$2:$AB$412 &lt;&gt; "Noble Form")*(ISBLANK(pokemon!$AJ$2:$AJ$412)), pokemon!$T$2:$T$412))</f>
        <v>1</v>
      </c>
      <c r="H49" cm="1">
        <f t="array" ref="H49">MIN(IF(($A49=pokemon!$AC$2:$AC$412)*(pokemon!$AB$2:$AB$412 &lt;&gt; "Noble Form")*(ISBLANK(pokemon!$AJ$2:$AJ$412)), pokemon!$T$2:$T$412))</f>
        <v>20</v>
      </c>
      <c r="I49" cm="1">
        <f t="array" ref="I49">MAX(IF(($A49=pokemon!$AC$2:$AC$412)*(pokemon!$AB$2:$AB$412 &lt;&gt; "Noble Form")*(ISBLANK(pokemon!$AJ$2:$AJ$412)), pokemon!$T$2:$T$412))</f>
        <v>20</v>
      </c>
      <c r="J49">
        <f t="shared" si="1"/>
        <v>0</v>
      </c>
    </row>
    <row r="50" spans="1:10" x14ac:dyDescent="0.25">
      <c r="A50" t="s">
        <v>862</v>
      </c>
      <c r="B50" s="26" t="s">
        <v>16</v>
      </c>
      <c r="C50">
        <v>20</v>
      </c>
      <c r="D50">
        <v>1</v>
      </c>
      <c r="E50" s="1" t="s">
        <v>1436</v>
      </c>
      <c r="F50" t="s">
        <v>634</v>
      </c>
      <c r="G50" cm="1">
        <f t="array" ref="G50">COUNT(IF(($A50=pokemon!$AC$2:$AC$412)*(pokemon!$AB$2:$AB$412 &lt;&gt; "Noble Form")*(ISBLANK(pokemon!$AJ$2:$AJ$412)), pokemon!$T$2:$T$412))</f>
        <v>1</v>
      </c>
      <c r="H50" cm="1">
        <f t="array" ref="H50">MIN(IF(($A50=pokemon!$AC$2:$AC$412)*(pokemon!$AB$2:$AB$412 &lt;&gt; "Noble Form")*(ISBLANK(pokemon!$AJ$2:$AJ$412)), pokemon!$T$2:$T$412))</f>
        <v>8</v>
      </c>
      <c r="I50" cm="1">
        <f t="array" ref="I50">MAX(IF(($A50=pokemon!$AC$2:$AC$412)*(pokemon!$AB$2:$AB$412 &lt;&gt; "Noble Form")*(ISBLANK(pokemon!$AJ$2:$AJ$412)), pokemon!$T$2:$T$412))</f>
        <v>8</v>
      </c>
      <c r="J50">
        <f t="shared" si="1"/>
        <v>0</v>
      </c>
    </row>
    <row r="51" spans="1:10" x14ac:dyDescent="0.25">
      <c r="A51" t="s">
        <v>1111</v>
      </c>
      <c r="B51" s="26" t="s">
        <v>16</v>
      </c>
      <c r="C51">
        <v>50</v>
      </c>
      <c r="D51">
        <f t="shared" ref="D51:D115" si="4">IF(NOT(ISBLANK(C51)), IF(ISNUMBER(C51), ROUND((C51 - 5)/20, 0), C51), "")</f>
        <v>2</v>
      </c>
      <c r="F51" t="s">
        <v>1221</v>
      </c>
      <c r="G51" cm="1">
        <f t="array" ref="G51">COUNT(IF(($A51=pokemon!$AC$2:$AC$412)*(pokemon!$AB$2:$AB$412 &lt;&gt; "Noble Form")*(ISBLANK(pokemon!$AJ$2:$AJ$412)), pokemon!$T$2:$T$412))</f>
        <v>1</v>
      </c>
      <c r="H51" cm="1">
        <f t="array" ref="H51">MIN(IF(($A51=pokemon!$AC$2:$AC$412)*(pokemon!$AB$2:$AB$412 &lt;&gt; "Noble Form")*(ISBLANK(pokemon!$AJ$2:$AJ$412)), pokemon!$T$2:$T$412))</f>
        <v>10</v>
      </c>
      <c r="I51" cm="1">
        <f t="array" ref="I51">MAX(IF(($A51=pokemon!$AC$2:$AC$412)*(pokemon!$AB$2:$AB$412 &lt;&gt; "Noble Form")*(ISBLANK(pokemon!$AJ$2:$AJ$412)), pokemon!$T$2:$T$412))</f>
        <v>10</v>
      </c>
      <c r="J51">
        <f t="shared" si="1"/>
        <v>0</v>
      </c>
    </row>
    <row r="52" spans="1:10" x14ac:dyDescent="0.25">
      <c r="A52" t="s">
        <v>856</v>
      </c>
      <c r="B52" s="26" t="s">
        <v>16</v>
      </c>
      <c r="C52">
        <v>40</v>
      </c>
      <c r="D52">
        <f t="shared" si="4"/>
        <v>2</v>
      </c>
      <c r="E52" s="1" t="s">
        <v>1450</v>
      </c>
      <c r="F52" t="s">
        <v>1417</v>
      </c>
      <c r="G52" cm="1">
        <f t="array" ref="G52">COUNT(IF(($A52=pokemon!$AC$2:$AC$412)*(pokemon!$AB$2:$AB$412 &lt;&gt; "Noble Form")*(ISBLANK(pokemon!$AJ$2:$AJ$412)), pokemon!$T$2:$T$412))</f>
        <v>1</v>
      </c>
      <c r="H52" cm="1">
        <f t="array" ref="H52">MIN(IF(($A52=pokemon!$AC$2:$AC$412)*(pokemon!$AB$2:$AB$412 &lt;&gt; "Noble Form")*(ISBLANK(pokemon!$AJ$2:$AJ$412)), pokemon!$T$2:$T$412))</f>
        <v>14</v>
      </c>
      <c r="I52" cm="1">
        <f t="array" ref="I52">MAX(IF(($A52=pokemon!$AC$2:$AC$412)*(pokemon!$AB$2:$AB$412 &lt;&gt; "Noble Form")*(ISBLANK(pokemon!$AJ$2:$AJ$412)), pokemon!$T$2:$T$412))</f>
        <v>14</v>
      </c>
      <c r="J52">
        <f t="shared" si="1"/>
        <v>0</v>
      </c>
    </row>
    <row r="53" spans="1:10" x14ac:dyDescent="0.25">
      <c r="A53" t="s">
        <v>861</v>
      </c>
      <c r="B53" s="26" t="s">
        <v>16</v>
      </c>
      <c r="C53">
        <v>40</v>
      </c>
      <c r="D53">
        <f t="shared" si="4"/>
        <v>2</v>
      </c>
      <c r="F53" t="s">
        <v>1088</v>
      </c>
      <c r="G53" cm="1">
        <f t="array" ref="G53">COUNT(IF(($A53=pokemon!$AC$2:$AC$412)*(pokemon!$AB$2:$AB$412 &lt;&gt; "Noble Form")*(ISBLANK(pokemon!$AJ$2:$AJ$412)), pokemon!$T$2:$T$412))</f>
        <v>1</v>
      </c>
      <c r="H53" cm="1">
        <f t="array" ref="H53">MIN(IF(($A53=pokemon!$AC$2:$AC$412)*(pokemon!$AB$2:$AB$412 &lt;&gt; "Noble Form")*(ISBLANK(pokemon!$AJ$2:$AJ$412)), pokemon!$T$2:$T$412))</f>
        <v>10</v>
      </c>
      <c r="I53" cm="1">
        <f t="array" ref="I53">MAX(IF(($A53=pokemon!$AC$2:$AC$412)*(pokemon!$AB$2:$AB$412 &lt;&gt; "Noble Form")*(ISBLANK(pokemon!$AJ$2:$AJ$412)), pokemon!$T$2:$T$412))</f>
        <v>10</v>
      </c>
      <c r="J53">
        <f t="shared" si="1"/>
        <v>0</v>
      </c>
    </row>
    <row r="54" spans="1:10" x14ac:dyDescent="0.25">
      <c r="A54" t="s">
        <v>1211</v>
      </c>
      <c r="B54" s="26" t="s">
        <v>16</v>
      </c>
      <c r="C54">
        <v>60</v>
      </c>
      <c r="D54">
        <f t="shared" si="4"/>
        <v>3</v>
      </c>
      <c r="E54" s="1" t="s">
        <v>1437</v>
      </c>
      <c r="F54" t="s">
        <v>726</v>
      </c>
      <c r="G54" cm="1">
        <f t="array" ref="G54">COUNT(IF(($A54=pokemon!$AC$2:$AC$412)*(pokemon!$AB$2:$AB$412 &lt;&gt; "Noble Form")*(ISBLANK(pokemon!$AJ$2:$AJ$412)), pokemon!$T$2:$T$412))</f>
        <v>1</v>
      </c>
      <c r="H54" cm="1">
        <f t="array" ref="H54">MIN(IF(($A54=pokemon!$AC$2:$AC$412)*(pokemon!$AB$2:$AB$412 &lt;&gt; "Noble Form")*(ISBLANK(pokemon!$AJ$2:$AJ$412)), pokemon!$T$2:$T$412))</f>
        <v>16</v>
      </c>
      <c r="I54" cm="1">
        <f t="array" ref="I54">MAX(IF(($A54=pokemon!$AC$2:$AC$412)*(pokemon!$AB$2:$AB$412 &lt;&gt; "Noble Form")*(ISBLANK(pokemon!$AJ$2:$AJ$412)), pokemon!$T$2:$T$412))</f>
        <v>16</v>
      </c>
      <c r="J54">
        <f t="shared" si="1"/>
        <v>0</v>
      </c>
    </row>
    <row r="55" spans="1:10" x14ac:dyDescent="0.25">
      <c r="A55" t="s">
        <v>509</v>
      </c>
      <c r="B55" s="26" t="s">
        <v>16</v>
      </c>
      <c r="C55">
        <v>70</v>
      </c>
      <c r="D55">
        <f t="shared" si="4"/>
        <v>3</v>
      </c>
      <c r="F55" t="s">
        <v>1097</v>
      </c>
      <c r="G55" cm="1">
        <f t="array" ref="G55">COUNT(IF(($A55=pokemon!$AC$2:$AC$412)*(pokemon!$AB$2:$AB$412 &lt;&gt; "Noble Form")*(ISBLANK(pokemon!$AJ$2:$AJ$412)), pokemon!$T$2:$T$412))</f>
        <v>3</v>
      </c>
      <c r="H55" cm="1">
        <f t="array" ref="H55">MIN(IF(($A55=pokemon!$AC$2:$AC$412)*(pokemon!$AB$2:$AB$412 &lt;&gt; "Noble Form")*(ISBLANK(pokemon!$AJ$2:$AJ$412)), pokemon!$T$2:$T$412))</f>
        <v>10</v>
      </c>
      <c r="I55" cm="1">
        <f t="array" ref="I55">MAX(IF(($A55=pokemon!$AC$2:$AC$412)*(pokemon!$AB$2:$AB$412 &lt;&gt; "Noble Form")*(ISBLANK(pokemon!$AJ$2:$AJ$412)), pokemon!$T$2:$T$412))</f>
        <v>11</v>
      </c>
      <c r="J55">
        <f t="shared" si="1"/>
        <v>1</v>
      </c>
    </row>
    <row r="56" spans="1:10" x14ac:dyDescent="0.25">
      <c r="A56" t="s">
        <v>719</v>
      </c>
      <c r="B56" s="26" t="s">
        <v>16</v>
      </c>
      <c r="C56">
        <v>75</v>
      </c>
      <c r="D56">
        <f t="shared" si="4"/>
        <v>4</v>
      </c>
      <c r="F56" t="s">
        <v>664</v>
      </c>
      <c r="G56" cm="1">
        <f t="array" ref="G56">COUNT(IF(($A56=pokemon!$AC$2:$AC$412)*(pokemon!$AB$2:$AB$412 &lt;&gt; "Noble Form")*(ISBLANK(pokemon!$AJ$2:$AJ$412)), pokemon!$T$2:$T$412))</f>
        <v>1</v>
      </c>
      <c r="H56" cm="1">
        <f t="array" ref="H56">MIN(IF(($A56=pokemon!$AC$2:$AC$412)*(pokemon!$AB$2:$AB$412 &lt;&gt; "Noble Form")*(ISBLANK(pokemon!$AJ$2:$AJ$412)), pokemon!$T$2:$T$412))</f>
        <v>14</v>
      </c>
      <c r="I56" cm="1">
        <f t="array" ref="I56">MAX(IF(($A56=pokemon!$AC$2:$AC$412)*(pokemon!$AB$2:$AB$412 &lt;&gt; "Noble Form")*(ISBLANK(pokemon!$AJ$2:$AJ$412)), pokemon!$T$2:$T$412))</f>
        <v>14</v>
      </c>
      <c r="J56">
        <f t="shared" si="1"/>
        <v>0</v>
      </c>
    </row>
    <row r="57" spans="1:10" x14ac:dyDescent="0.25">
      <c r="A57" t="s">
        <v>536</v>
      </c>
      <c r="B57" s="26" t="s">
        <v>16</v>
      </c>
      <c r="C57">
        <v>100</v>
      </c>
      <c r="D57">
        <f t="shared" si="4"/>
        <v>5</v>
      </c>
      <c r="F57" t="s">
        <v>1092</v>
      </c>
      <c r="G57" cm="1">
        <f t="array" ref="G57">COUNT(IF(($A57=pokemon!$AC$2:$AC$412)*(pokemon!$AB$2:$AB$412 &lt;&gt; "Noble Form")*(ISBLANK(pokemon!$AJ$2:$AJ$412)), pokemon!$T$2:$T$412))</f>
        <v>3</v>
      </c>
      <c r="H57" cm="1">
        <f t="array" ref="H57">MIN(IF(($A57=pokemon!$AC$2:$AC$412)*(pokemon!$AB$2:$AB$412 &lt;&gt; "Noble Form")*(ISBLANK(pokemon!$AJ$2:$AJ$412)), pokemon!$T$2:$T$412))</f>
        <v>17</v>
      </c>
      <c r="I57" cm="1">
        <f t="array" ref="I57">MAX(IF(($A57=pokemon!$AC$2:$AC$412)*(pokemon!$AB$2:$AB$412 &lt;&gt; "Noble Form")*(ISBLANK(pokemon!$AJ$2:$AJ$412)), pokemon!$T$2:$T$412))</f>
        <v>18</v>
      </c>
      <c r="J57">
        <f t="shared" si="1"/>
        <v>1</v>
      </c>
    </row>
    <row r="58" spans="1:10" x14ac:dyDescent="0.25">
      <c r="A58" t="s">
        <v>1360</v>
      </c>
      <c r="B58" s="26" t="s">
        <v>16</v>
      </c>
      <c r="C58">
        <v>80</v>
      </c>
      <c r="D58">
        <f t="shared" si="4"/>
        <v>4</v>
      </c>
      <c r="F58" t="s">
        <v>1412</v>
      </c>
      <c r="G58" cm="1">
        <f t="array" ref="G58">COUNT(IF(($A58=pokemon!$AC$2:$AC$412)*(pokemon!$AB$2:$AB$412 &lt;&gt; "Noble Form")*(ISBLANK(pokemon!$AJ$2:$AJ$412)), pokemon!$T$2:$T$412))</f>
        <v>1</v>
      </c>
      <c r="H58" cm="1">
        <f t="array" ref="H58">MIN(IF(($A58=pokemon!$AC$2:$AC$412)*(pokemon!$AB$2:$AB$412 &lt;&gt; "Noble Form")*(ISBLANK(pokemon!$AJ$2:$AJ$412)), pokemon!$T$2:$T$412))</f>
        <v>21</v>
      </c>
      <c r="I58" cm="1">
        <f t="array" ref="I58">MAX(IF(($A58=pokemon!$AC$2:$AC$412)*(pokemon!$AB$2:$AB$412 &lt;&gt; "Noble Form")*(ISBLANK(pokemon!$AJ$2:$AJ$412)), pokemon!$T$2:$T$412))</f>
        <v>21</v>
      </c>
      <c r="J58">
        <f t="shared" si="1"/>
        <v>0</v>
      </c>
    </row>
    <row r="59" spans="1:10" x14ac:dyDescent="0.25">
      <c r="A59" t="s">
        <v>730</v>
      </c>
      <c r="B59" s="9" t="s">
        <v>22</v>
      </c>
      <c r="C59">
        <v>40</v>
      </c>
      <c r="D59">
        <f t="shared" si="4"/>
        <v>2</v>
      </c>
      <c r="E59" s="1" t="s">
        <v>1436</v>
      </c>
      <c r="F59" t="s">
        <v>578</v>
      </c>
      <c r="G59" cm="1">
        <f t="array" ref="G59">COUNT(IF(($A59=pokemon!$AC$2:$AC$412)*(pokemon!$AB$2:$AB$412 &lt;&gt; "Noble Form")*(ISBLANK(pokemon!$AJ$2:$AJ$412)), pokemon!$T$2:$T$412))</f>
        <v>1</v>
      </c>
      <c r="H59" cm="1">
        <f t="array" ref="H59">MIN(IF(($A59=pokemon!$AC$2:$AC$412)*(pokemon!$AB$2:$AB$412 &lt;&gt; "Noble Form")*(ISBLANK(pokemon!$AJ$2:$AJ$412)), pokemon!$T$2:$T$412))</f>
        <v>14</v>
      </c>
      <c r="I59" cm="1">
        <f t="array" ref="I59">MAX(IF(($A59=pokemon!$AC$2:$AC$412)*(pokemon!$AB$2:$AB$412 &lt;&gt; "Noble Form")*(ISBLANK(pokemon!$AJ$2:$AJ$412)), pokemon!$T$2:$T$412))</f>
        <v>14</v>
      </c>
      <c r="J59">
        <f t="shared" si="1"/>
        <v>0</v>
      </c>
    </row>
    <row r="60" spans="1:10" x14ac:dyDescent="0.25">
      <c r="A60" t="s">
        <v>529</v>
      </c>
      <c r="B60" s="9" t="s">
        <v>22</v>
      </c>
      <c r="C60">
        <v>50</v>
      </c>
      <c r="D60">
        <f t="shared" si="4"/>
        <v>2</v>
      </c>
      <c r="F60" t="s">
        <v>789</v>
      </c>
      <c r="G60" cm="1">
        <f t="array" ref="G60">COUNT(IF(($A60=pokemon!$AC$2:$AC$412)*(pokemon!$AB$2:$AB$412 &lt;&gt; "Noble Form")*(ISBLANK(pokemon!$AJ$2:$AJ$412)), pokemon!$T$2:$T$412))</f>
        <v>1</v>
      </c>
      <c r="H60" cm="1">
        <f t="array" ref="H60">MIN(IF(($A60=pokemon!$AC$2:$AC$412)*(pokemon!$AB$2:$AB$412 &lt;&gt; "Noble Form")*(ISBLANK(pokemon!$AJ$2:$AJ$412)), pokemon!$T$2:$T$412))</f>
        <v>10</v>
      </c>
      <c r="I60" cm="1">
        <f t="array" ref="I60">MAX(IF(($A60=pokemon!$AC$2:$AC$412)*(pokemon!$AB$2:$AB$412 &lt;&gt; "Noble Form")*(ISBLANK(pokemon!$AJ$2:$AJ$412)), pokemon!$T$2:$T$412))</f>
        <v>10</v>
      </c>
      <c r="J60">
        <f t="shared" si="1"/>
        <v>0</v>
      </c>
    </row>
    <row r="61" spans="1:10" x14ac:dyDescent="0.25">
      <c r="A61" t="s">
        <v>1082</v>
      </c>
      <c r="B61" s="9" t="s">
        <v>22</v>
      </c>
      <c r="C61">
        <v>40</v>
      </c>
      <c r="D61">
        <f t="shared" si="4"/>
        <v>2</v>
      </c>
      <c r="E61" s="1" t="s">
        <v>1450</v>
      </c>
      <c r="F61" t="s">
        <v>1418</v>
      </c>
      <c r="G61" cm="1">
        <f t="array" ref="G61">COUNT(IF(($A61=pokemon!$AC$2:$AC$412)*(pokemon!$AB$2:$AB$412 &lt;&gt; "Noble Form")*(ISBLANK(pokemon!$AJ$2:$AJ$412)), pokemon!$T$2:$T$412))</f>
        <v>1</v>
      </c>
      <c r="H61" cm="1">
        <f t="array" ref="H61">MIN(IF(($A61=pokemon!$AC$2:$AC$412)*(pokemon!$AB$2:$AB$412 &lt;&gt; "Noble Form")*(ISBLANK(pokemon!$AJ$2:$AJ$412)), pokemon!$T$2:$T$412))</f>
        <v>10</v>
      </c>
      <c r="I61" cm="1">
        <f t="array" ref="I61">MAX(IF(($A61=pokemon!$AC$2:$AC$412)*(pokemon!$AB$2:$AB$412 &lt;&gt; "Noble Form")*(ISBLANK(pokemon!$AJ$2:$AJ$412)), pokemon!$T$2:$T$412))</f>
        <v>10</v>
      </c>
      <c r="J61">
        <f t="shared" si="1"/>
        <v>0</v>
      </c>
    </row>
    <row r="62" spans="1:10" x14ac:dyDescent="0.25">
      <c r="A62" t="s">
        <v>581</v>
      </c>
      <c r="B62" s="9" t="s">
        <v>22</v>
      </c>
      <c r="C62">
        <v>60</v>
      </c>
      <c r="D62">
        <f t="shared" si="4"/>
        <v>3</v>
      </c>
      <c r="F62" t="s">
        <v>1207</v>
      </c>
      <c r="G62" cm="1">
        <f t="array" ref="G62">COUNT(IF(($A62=pokemon!$AC$2:$AC$412)*(pokemon!$AB$2:$AB$412 &lt;&gt; "Noble Form")*(ISBLANK(pokemon!$AJ$2:$AJ$412)), pokemon!$T$2:$T$412))</f>
        <v>1</v>
      </c>
      <c r="H62" cm="1">
        <f t="array" ref="H62">MIN(IF(($A62=pokemon!$AC$2:$AC$412)*(pokemon!$AB$2:$AB$412 &lt;&gt; "Noble Form")*(ISBLANK(pokemon!$AJ$2:$AJ$412)), pokemon!$T$2:$T$412))</f>
        <v>17</v>
      </c>
      <c r="I62" cm="1">
        <f t="array" ref="I62">MAX(IF(($A62=pokemon!$AC$2:$AC$412)*(pokemon!$AB$2:$AB$412 &lt;&gt; "Noble Form")*(ISBLANK(pokemon!$AJ$2:$AJ$412)), pokemon!$T$2:$T$412))</f>
        <v>17</v>
      </c>
      <c r="J62">
        <f t="shared" si="1"/>
        <v>0</v>
      </c>
    </row>
    <row r="63" spans="1:10" x14ac:dyDescent="0.25">
      <c r="A63" t="s">
        <v>566</v>
      </c>
      <c r="B63" s="9" t="s">
        <v>22</v>
      </c>
      <c r="C63">
        <v>60</v>
      </c>
      <c r="D63">
        <f t="shared" si="4"/>
        <v>3</v>
      </c>
      <c r="F63" t="s">
        <v>761</v>
      </c>
      <c r="G63" cm="1">
        <f t="array" ref="G63">COUNT(IF(($A63=pokemon!$AC$2:$AC$412)*(pokemon!$AB$2:$AB$412 &lt;&gt; "Noble Form")*(ISBLANK(pokemon!$AJ$2:$AJ$412)), pokemon!$T$2:$T$412))</f>
        <v>1</v>
      </c>
      <c r="H63" cm="1">
        <f t="array" ref="H63">MIN(IF(($A63=pokemon!$AC$2:$AC$412)*(pokemon!$AB$2:$AB$412 &lt;&gt; "Noble Form")*(ISBLANK(pokemon!$AJ$2:$AJ$412)), pokemon!$T$2:$T$412))</f>
        <v>16</v>
      </c>
      <c r="I63" cm="1">
        <f t="array" ref="I63">MAX(IF(($A63=pokemon!$AC$2:$AC$412)*(pokemon!$AB$2:$AB$412 &lt;&gt; "Noble Form")*(ISBLANK(pokemon!$AJ$2:$AJ$412)), pokemon!$T$2:$T$412))</f>
        <v>16</v>
      </c>
      <c r="J63">
        <f t="shared" si="1"/>
        <v>0</v>
      </c>
    </row>
    <row r="64" spans="1:10" x14ac:dyDescent="0.25">
      <c r="A64" t="s">
        <v>712</v>
      </c>
      <c r="B64" s="9" t="s">
        <v>22</v>
      </c>
      <c r="C64">
        <v>75</v>
      </c>
      <c r="D64">
        <f t="shared" si="4"/>
        <v>4</v>
      </c>
      <c r="F64" t="s">
        <v>1220</v>
      </c>
      <c r="G64" cm="1">
        <f t="array" ref="G64">COUNT(IF(($A64=pokemon!$AC$2:$AC$412)*(pokemon!$AB$2:$AB$412 &lt;&gt; "Noble Form")*(ISBLANK(pokemon!$AJ$2:$AJ$412)), pokemon!$T$2:$T$412))</f>
        <v>1</v>
      </c>
      <c r="H64" cm="1">
        <f t="array" ref="H64">MIN(IF(($A64=pokemon!$AC$2:$AC$412)*(pokemon!$AB$2:$AB$412 &lt;&gt; "Noble Form")*(ISBLANK(pokemon!$AJ$2:$AJ$412)), pokemon!$T$2:$T$412))</f>
        <v>28</v>
      </c>
      <c r="I64" cm="1">
        <f t="array" ref="I64">MAX(IF(($A64=pokemon!$AC$2:$AC$412)*(pokemon!$AB$2:$AB$412 &lt;&gt; "Noble Form")*(ISBLANK(pokemon!$AJ$2:$AJ$412)), pokemon!$T$2:$T$412))</f>
        <v>28</v>
      </c>
      <c r="J64">
        <f t="shared" si="1"/>
        <v>0</v>
      </c>
    </row>
    <row r="65" spans="1:10" x14ac:dyDescent="0.25">
      <c r="A65" t="s">
        <v>492</v>
      </c>
      <c r="B65" s="9" t="s">
        <v>22</v>
      </c>
      <c r="C65">
        <v>80</v>
      </c>
      <c r="D65">
        <f t="shared" si="4"/>
        <v>4</v>
      </c>
      <c r="F65" t="s">
        <v>578</v>
      </c>
      <c r="G65" cm="1">
        <f t="array" ref="G65">COUNT(IF(($A65=pokemon!$AC$2:$AC$412)*(pokemon!$AB$2:$AB$412 &lt;&gt; "Noble Form")*(ISBLANK(pokemon!$AJ$2:$AJ$412)), pokemon!$T$2:$T$412))</f>
        <v>1</v>
      </c>
      <c r="H65" cm="1">
        <f t="array" ref="H65">MIN(IF(($A65=pokemon!$AC$2:$AC$412)*(pokemon!$AB$2:$AB$412 &lt;&gt; "Noble Form")*(ISBLANK(pokemon!$AJ$2:$AJ$412)), pokemon!$T$2:$T$412))</f>
        <v>18</v>
      </c>
      <c r="I65" cm="1">
        <f t="array" ref="I65">MAX(IF(($A65=pokemon!$AC$2:$AC$412)*(pokemon!$AB$2:$AB$412 &lt;&gt; "Noble Form")*(ISBLANK(pokemon!$AJ$2:$AJ$412)), pokemon!$T$2:$T$412))</f>
        <v>18</v>
      </c>
      <c r="J65">
        <f t="shared" si="1"/>
        <v>0</v>
      </c>
    </row>
    <row r="66" spans="1:10" x14ac:dyDescent="0.25">
      <c r="A66" t="s">
        <v>1028</v>
      </c>
      <c r="B66" s="9" t="s">
        <v>22</v>
      </c>
      <c r="C66">
        <v>90</v>
      </c>
      <c r="D66">
        <f t="shared" si="4"/>
        <v>4</v>
      </c>
      <c r="F66" t="s">
        <v>1084</v>
      </c>
      <c r="G66" cm="1">
        <f t="array" ref="G66">COUNT(IF(($A66=pokemon!$AC$2:$AC$412)*(pokemon!$AB$2:$AB$412 &lt;&gt; "Noble Form")*(ISBLANK(pokemon!$AJ$2:$AJ$412)), pokemon!$T$2:$T$412))</f>
        <v>1</v>
      </c>
      <c r="H66" cm="1">
        <f t="array" ref="H66">MIN(IF(($A66=pokemon!$AC$2:$AC$412)*(pokemon!$AB$2:$AB$412 &lt;&gt; "Noble Form")*(ISBLANK(pokemon!$AJ$2:$AJ$412)), pokemon!$T$2:$T$412))</f>
        <v>15</v>
      </c>
      <c r="I66" cm="1">
        <f t="array" ref="I66">MAX(IF(($A66=pokemon!$AC$2:$AC$412)*(pokemon!$AB$2:$AB$412 &lt;&gt; "Noble Form")*(ISBLANK(pokemon!$AJ$2:$AJ$412)), pokemon!$T$2:$T$412))</f>
        <v>15</v>
      </c>
      <c r="J66">
        <f t="shared" si="1"/>
        <v>0</v>
      </c>
    </row>
    <row r="67" spans="1:10" x14ac:dyDescent="0.25">
      <c r="A67" t="s">
        <v>565</v>
      </c>
      <c r="B67" s="9" t="s">
        <v>22</v>
      </c>
      <c r="C67">
        <v>100</v>
      </c>
      <c r="D67">
        <f t="shared" si="4"/>
        <v>5</v>
      </c>
      <c r="F67" t="s">
        <v>1204</v>
      </c>
      <c r="G67" cm="1">
        <f t="array" ref="G67">COUNT(IF(($A67=pokemon!$AC$2:$AC$412)*(pokemon!$AB$2:$AB$412 &lt;&gt; "Noble Form")*(ISBLANK(pokemon!$AJ$2:$AJ$412)), pokemon!$T$2:$T$412))</f>
        <v>2</v>
      </c>
      <c r="H67" cm="1">
        <f t="array" ref="H67">MIN(IF(($A67=pokemon!$AC$2:$AC$412)*(pokemon!$AB$2:$AB$412 &lt;&gt; "Noble Form")*(ISBLANK(pokemon!$AJ$2:$AJ$412)), pokemon!$T$2:$T$412))</f>
        <v>16</v>
      </c>
      <c r="I67" cm="1">
        <f t="array" ref="I67">MAX(IF(($A67=pokemon!$AC$2:$AC$412)*(pokemon!$AB$2:$AB$412 &lt;&gt; "Noble Form")*(ISBLANK(pokemon!$AJ$2:$AJ$412)), pokemon!$T$2:$T$412))</f>
        <v>17</v>
      </c>
      <c r="J67">
        <f t="shared" si="1"/>
        <v>1</v>
      </c>
    </row>
    <row r="68" spans="1:10" x14ac:dyDescent="0.25">
      <c r="A68" t="s">
        <v>493</v>
      </c>
      <c r="B68" s="9" t="s">
        <v>22</v>
      </c>
      <c r="C68">
        <v>100</v>
      </c>
      <c r="D68">
        <f t="shared" si="4"/>
        <v>5</v>
      </c>
      <c r="F68" t="s">
        <v>873</v>
      </c>
      <c r="G68" cm="1">
        <f t="array" ref="G68">COUNT(IF(($A68=pokemon!$AC$2:$AC$412)*(pokemon!$AB$2:$AB$412 &lt;&gt; "Noble Form")*(ISBLANK(pokemon!$AJ$2:$AJ$412)), pokemon!$T$2:$T$412))</f>
        <v>2</v>
      </c>
      <c r="H68" cm="1">
        <f t="array" ref="H68">MIN(IF(($A68=pokemon!$AC$2:$AC$412)*(pokemon!$AB$2:$AB$412 &lt;&gt; "Noble Form")*(ISBLANK(pokemon!$AJ$2:$AJ$412)), pokemon!$T$2:$T$412))</f>
        <v>18</v>
      </c>
      <c r="I68" cm="1">
        <f t="array" ref="I68">MAX(IF(($A68=pokemon!$AC$2:$AC$412)*(pokemon!$AB$2:$AB$412 &lt;&gt; "Noble Form")*(ISBLANK(pokemon!$AJ$2:$AJ$412)), pokemon!$T$2:$T$412))</f>
        <v>18</v>
      </c>
      <c r="J68">
        <f t="shared" si="1"/>
        <v>0</v>
      </c>
    </row>
    <row r="69" spans="1:10" x14ac:dyDescent="0.25">
      <c r="A69" t="s">
        <v>717</v>
      </c>
      <c r="B69" s="9" t="s">
        <v>22</v>
      </c>
      <c r="C69" t="s">
        <v>513</v>
      </c>
      <c r="D69" t="str">
        <f t="shared" si="4"/>
        <v>?</v>
      </c>
      <c r="F69" t="s">
        <v>1156</v>
      </c>
      <c r="G69" cm="1">
        <f t="array" ref="G69">COUNT(IF(($A69=pokemon!$AC$2:$AC$412)*(pokemon!$AB$2:$AB$412 &lt;&gt; "Noble Form")*(ISBLANK(pokemon!$AJ$2:$AJ$412)), pokemon!$T$2:$T$412))</f>
        <v>1</v>
      </c>
      <c r="H69" cm="1">
        <f t="array" ref="H69">MIN(IF(($A69=pokemon!$AC$2:$AC$412)*(pokemon!$AB$2:$AB$412 &lt;&gt; "Noble Form")*(ISBLANK(pokemon!$AJ$2:$AJ$412)), pokemon!$T$2:$T$412))</f>
        <v>19</v>
      </c>
      <c r="I69" cm="1">
        <f t="array" ref="I69">MAX(IF(($A69=pokemon!$AC$2:$AC$412)*(pokemon!$AB$2:$AB$412 &lt;&gt; "Noble Form")*(ISBLANK(pokemon!$AJ$2:$AJ$412)), pokemon!$T$2:$T$412))</f>
        <v>19</v>
      </c>
      <c r="J69">
        <f t="shared" si="1"/>
        <v>0</v>
      </c>
    </row>
    <row r="70" spans="1:10" x14ac:dyDescent="0.25">
      <c r="A70" t="s">
        <v>737</v>
      </c>
      <c r="B70" s="11" t="s">
        <v>4</v>
      </c>
      <c r="C70">
        <v>20</v>
      </c>
      <c r="D70">
        <f t="shared" si="4"/>
        <v>1</v>
      </c>
      <c r="E70" s="1" t="s">
        <v>1436</v>
      </c>
      <c r="F70" t="s">
        <v>673</v>
      </c>
      <c r="G70" cm="1">
        <f t="array" ref="G70">COUNT(IF(($A70=pokemon!$AC$2:$AC$412)*(pokemon!$AB$2:$AB$412 &lt;&gt; "Noble Form")*(ISBLANK(pokemon!$AJ$2:$AJ$412)), pokemon!$T$2:$T$412))</f>
        <v>1</v>
      </c>
      <c r="H70" cm="1">
        <f t="array" ref="H70">MIN(IF(($A70=pokemon!$AC$2:$AC$412)*(pokemon!$AB$2:$AB$412 &lt;&gt; "Noble Form")*(ISBLANK(pokemon!$AJ$2:$AJ$412)), pokemon!$T$2:$T$412))</f>
        <v>10</v>
      </c>
      <c r="I70" cm="1">
        <f t="array" ref="I70">MAX(IF(($A70=pokemon!$AC$2:$AC$412)*(pokemon!$AB$2:$AB$412 &lt;&gt; "Noble Form")*(ISBLANK(pokemon!$AJ$2:$AJ$412)), pokemon!$T$2:$T$412))</f>
        <v>10</v>
      </c>
      <c r="J70">
        <f t="shared" si="1"/>
        <v>0</v>
      </c>
    </row>
    <row r="71" spans="1:10" x14ac:dyDescent="0.25">
      <c r="A71" t="s">
        <v>1138</v>
      </c>
      <c r="B71" s="11" t="s">
        <v>4</v>
      </c>
      <c r="C71">
        <v>40</v>
      </c>
      <c r="D71">
        <f t="shared" si="4"/>
        <v>2</v>
      </c>
      <c r="F71" t="s">
        <v>1460</v>
      </c>
      <c r="G71" cm="1">
        <f t="array" ref="G71">COUNT(IF(($A71=pokemon!$AC$2:$AC$412)*(pokemon!$AB$2:$AB$412 &lt;&gt; "Noble Form")*(ISBLANK(pokemon!$AJ$2:$AJ$412)), pokemon!$T$2:$T$412))</f>
        <v>1</v>
      </c>
      <c r="H71" cm="1">
        <f t="array" ref="H71">MIN(IF(($A71=pokemon!$AC$2:$AC$412)*(pokemon!$AB$2:$AB$412 &lt;&gt; "Noble Form")*(ISBLANK(pokemon!$AJ$2:$AJ$412)), pokemon!$T$2:$T$412))</f>
        <v>17</v>
      </c>
      <c r="I71" cm="1">
        <f t="array" ref="I71">MAX(IF(($A71=pokemon!$AC$2:$AC$412)*(pokemon!$AB$2:$AB$412 &lt;&gt; "Noble Form")*(ISBLANK(pokemon!$AJ$2:$AJ$412)), pokemon!$T$2:$T$412))</f>
        <v>17</v>
      </c>
      <c r="J71">
        <f t="shared" si="1"/>
        <v>0</v>
      </c>
    </row>
    <row r="72" spans="1:10" x14ac:dyDescent="0.25">
      <c r="A72" t="s">
        <v>824</v>
      </c>
      <c r="B72" s="11" t="s">
        <v>4</v>
      </c>
      <c r="C72">
        <v>40</v>
      </c>
      <c r="D72">
        <f t="shared" si="4"/>
        <v>2</v>
      </c>
      <c r="F72" t="s">
        <v>673</v>
      </c>
      <c r="G72" cm="1">
        <f t="array" ref="G72">COUNT(IF(($A72=pokemon!$AC$2:$AC$412)*(pokemon!$AB$2:$AB$412 &lt;&gt; "Noble Form")*(ISBLANK(pokemon!$AJ$2:$AJ$412)), pokemon!$T$2:$T$412))</f>
        <v>3</v>
      </c>
      <c r="H72" cm="1">
        <f t="array" ref="H72">MIN(IF(($A72=pokemon!$AC$2:$AC$412)*(pokemon!$AB$2:$AB$412 &lt;&gt; "Noble Form")*(ISBLANK(pokemon!$AJ$2:$AJ$412)), pokemon!$T$2:$T$412))</f>
        <v>10</v>
      </c>
      <c r="I72" cm="1">
        <f t="array" ref="I72">MAX(IF(($A72=pokemon!$AC$2:$AC$412)*(pokemon!$AB$2:$AB$412 &lt;&gt; "Noble Form")*(ISBLANK(pokemon!$AJ$2:$AJ$412)), pokemon!$T$2:$T$412))</f>
        <v>13</v>
      </c>
      <c r="J72">
        <f t="shared" ref="J72:J138" si="5">I72-H72</f>
        <v>3</v>
      </c>
    </row>
    <row r="73" spans="1:10" x14ac:dyDescent="0.25">
      <c r="A73" t="s">
        <v>688</v>
      </c>
      <c r="B73" s="11" t="s">
        <v>4</v>
      </c>
      <c r="C73">
        <v>40</v>
      </c>
      <c r="D73">
        <f t="shared" si="4"/>
        <v>2</v>
      </c>
      <c r="F73" t="s">
        <v>1089</v>
      </c>
      <c r="G73" cm="1">
        <f t="array" ref="G73">COUNT(IF(($A73=pokemon!$AC$2:$AC$412)*(pokemon!$AB$2:$AB$412 &lt;&gt; "Noble Form")*(ISBLANK(pokemon!$AJ$2:$AJ$412)), pokemon!$T$2:$T$412))</f>
        <v>1</v>
      </c>
      <c r="H73" cm="1">
        <f t="array" ref="H73">MIN(IF(($A73=pokemon!$AC$2:$AC$412)*(pokemon!$AB$2:$AB$412 &lt;&gt; "Noble Form")*(ISBLANK(pokemon!$AJ$2:$AJ$412)), pokemon!$T$2:$T$412))</f>
        <v>16</v>
      </c>
      <c r="I73" cm="1">
        <f t="array" ref="I73">MAX(IF(($A73=pokemon!$AC$2:$AC$412)*(pokemon!$AB$2:$AB$412 &lt;&gt; "Noble Form")*(ISBLANK(pokemon!$AJ$2:$AJ$412)), pokemon!$T$2:$T$412))</f>
        <v>16</v>
      </c>
      <c r="J73">
        <f t="shared" si="5"/>
        <v>0</v>
      </c>
    </row>
    <row r="74" spans="1:10" x14ac:dyDescent="0.25">
      <c r="A74" t="s">
        <v>682</v>
      </c>
      <c r="B74" s="11" t="s">
        <v>4</v>
      </c>
      <c r="C74">
        <v>65</v>
      </c>
      <c r="D74">
        <f t="shared" si="4"/>
        <v>3</v>
      </c>
      <c r="F74" t="s">
        <v>1253</v>
      </c>
      <c r="G74" cm="1">
        <f t="array" ref="G74">COUNT(IF(($A74=pokemon!$AC$2:$AC$412)*(pokemon!$AB$2:$AB$412 &lt;&gt; "Noble Form")*(ISBLANK(pokemon!$AJ$2:$AJ$412)), pokemon!$T$2:$T$412))</f>
        <v>1</v>
      </c>
      <c r="H74" cm="1">
        <f t="array" ref="H74">MIN(IF(($A74=pokemon!$AC$2:$AC$412)*(pokemon!$AB$2:$AB$412 &lt;&gt; "Noble Form")*(ISBLANK(pokemon!$AJ$2:$AJ$412)), pokemon!$T$2:$T$412))</f>
        <v>12</v>
      </c>
      <c r="I74" cm="1">
        <f t="array" ref="I74">MAX(IF(($A74=pokemon!$AC$2:$AC$412)*(pokemon!$AB$2:$AB$412 &lt;&gt; "Noble Form")*(ISBLANK(pokemon!$AJ$2:$AJ$412)), pokemon!$T$2:$T$412))</f>
        <v>12</v>
      </c>
      <c r="J74">
        <f t="shared" si="5"/>
        <v>0</v>
      </c>
    </row>
    <row r="75" spans="1:10" x14ac:dyDescent="0.25">
      <c r="A75" t="s">
        <v>735</v>
      </c>
      <c r="B75" s="11" t="s">
        <v>4</v>
      </c>
      <c r="C75">
        <v>60</v>
      </c>
      <c r="D75">
        <f t="shared" si="4"/>
        <v>3</v>
      </c>
      <c r="E75" s="1" t="s">
        <v>1448</v>
      </c>
      <c r="F75" t="s">
        <v>1097</v>
      </c>
      <c r="G75" cm="1">
        <f t="array" ref="G75">COUNT(IF(($A75=pokemon!$AC$2:$AC$412)*(pokemon!$AB$2:$AB$412 &lt;&gt; "Noble Form")*(ISBLANK(pokemon!$AJ$2:$AJ$412)), pokemon!$T$2:$T$412))</f>
        <v>1</v>
      </c>
      <c r="H75" cm="1">
        <f t="array" ref="H75">MIN(IF(($A75=pokemon!$AC$2:$AC$412)*(pokemon!$AB$2:$AB$412 &lt;&gt; "Noble Form")*(ISBLANK(pokemon!$AJ$2:$AJ$412)), pokemon!$T$2:$T$412))</f>
        <v>10</v>
      </c>
      <c r="I75" cm="1">
        <f t="array" ref="I75">MAX(IF(($A75=pokemon!$AC$2:$AC$412)*(pokemon!$AB$2:$AB$412 &lt;&gt; "Noble Form")*(ISBLANK(pokemon!$AJ$2:$AJ$412)), pokemon!$T$2:$T$412))</f>
        <v>10</v>
      </c>
      <c r="J75">
        <f t="shared" si="5"/>
        <v>0</v>
      </c>
    </row>
    <row r="76" spans="1:10" x14ac:dyDescent="0.25">
      <c r="A76" t="s">
        <v>585</v>
      </c>
      <c r="B76" s="11" t="s">
        <v>4</v>
      </c>
      <c r="C76">
        <v>70</v>
      </c>
      <c r="D76">
        <f t="shared" si="4"/>
        <v>3</v>
      </c>
      <c r="F76" t="s">
        <v>818</v>
      </c>
      <c r="G76" cm="1">
        <f t="array" ref="G76">COUNT(IF(($A76=pokemon!$AC$2:$AC$412)*(pokemon!$AB$2:$AB$412 &lt;&gt; "Noble Form")*(ISBLANK(pokemon!$AJ$2:$AJ$412)), pokemon!$T$2:$T$412))</f>
        <v>1</v>
      </c>
      <c r="H76" cm="1">
        <f t="array" ref="H76">MIN(IF(($A76=pokemon!$AC$2:$AC$412)*(pokemon!$AB$2:$AB$412 &lt;&gt; "Noble Form")*(ISBLANK(pokemon!$AJ$2:$AJ$412)), pokemon!$T$2:$T$412))</f>
        <v>17</v>
      </c>
      <c r="I76" cm="1">
        <f t="array" ref="I76">MAX(IF(($A76=pokemon!$AC$2:$AC$412)*(pokemon!$AB$2:$AB$412 &lt;&gt; "Noble Form")*(ISBLANK(pokemon!$AJ$2:$AJ$412)), pokemon!$T$2:$T$412))</f>
        <v>17</v>
      </c>
      <c r="J76">
        <f t="shared" si="5"/>
        <v>0</v>
      </c>
    </row>
    <row r="77" spans="1:10" x14ac:dyDescent="0.25">
      <c r="A77" t="s">
        <v>473</v>
      </c>
      <c r="B77" s="11" t="s">
        <v>4</v>
      </c>
      <c r="C77">
        <v>80</v>
      </c>
      <c r="D77">
        <f t="shared" si="4"/>
        <v>4</v>
      </c>
      <c r="F77" t="s">
        <v>1255</v>
      </c>
      <c r="G77" cm="1">
        <f t="array" ref="G77">COUNT(IF(($A77=pokemon!$AC$2:$AC$412)*(pokemon!$AB$2:$AB$412 &lt;&gt; "Noble Form")*(ISBLANK(pokemon!$AJ$2:$AJ$412)), pokemon!$T$2:$T$412))</f>
        <v>1</v>
      </c>
      <c r="H77" cm="1">
        <f t="array" ref="H77">MIN(IF(($A77=pokemon!$AC$2:$AC$412)*(pokemon!$AB$2:$AB$412 &lt;&gt; "Noble Form")*(ISBLANK(pokemon!$AJ$2:$AJ$412)), pokemon!$T$2:$T$412))</f>
        <v>20</v>
      </c>
      <c r="I77" cm="1">
        <f t="array" ref="I77">MAX(IF(($A77=pokemon!$AC$2:$AC$412)*(pokemon!$AB$2:$AB$412 &lt;&gt; "Noble Form")*(ISBLANK(pokemon!$AJ$2:$AJ$412)), pokemon!$T$2:$T$412))</f>
        <v>20</v>
      </c>
      <c r="J77">
        <f t="shared" si="5"/>
        <v>0</v>
      </c>
    </row>
    <row r="78" spans="1:10" x14ac:dyDescent="0.25">
      <c r="A78" t="s">
        <v>481</v>
      </c>
      <c r="B78" s="11" t="s">
        <v>4</v>
      </c>
      <c r="C78">
        <v>80</v>
      </c>
      <c r="D78">
        <f t="shared" si="4"/>
        <v>4</v>
      </c>
      <c r="F78" t="s">
        <v>1253</v>
      </c>
      <c r="G78" cm="1">
        <f t="array" ref="G78">COUNT(IF(($A78=pokemon!$AC$2:$AC$412)*(pokemon!$AB$2:$AB$412 &lt;&gt; "Noble Form")*(ISBLANK(pokemon!$AJ$2:$AJ$412)), pokemon!$T$2:$T$412))</f>
        <v>2</v>
      </c>
      <c r="H78" cm="1">
        <f t="array" ref="H78">MIN(IF(($A78=pokemon!$AC$2:$AC$412)*(pokemon!$AB$2:$AB$412 &lt;&gt; "Noble Form")*(ISBLANK(pokemon!$AJ$2:$AJ$412)), pokemon!$T$2:$T$412))</f>
        <v>17</v>
      </c>
      <c r="I78" cm="1">
        <f t="array" ref="I78">MAX(IF(($A78=pokemon!$AC$2:$AC$412)*(pokemon!$AB$2:$AB$412 &lt;&gt; "Noble Form")*(ISBLANK(pokemon!$AJ$2:$AJ$412)), pokemon!$T$2:$T$412))</f>
        <v>17</v>
      </c>
      <c r="J78">
        <f t="shared" si="5"/>
        <v>0</v>
      </c>
    </row>
    <row r="79" spans="1:10" x14ac:dyDescent="0.25">
      <c r="A79" t="s">
        <v>825</v>
      </c>
      <c r="B79" s="11" t="s">
        <v>4</v>
      </c>
      <c r="C79">
        <v>80</v>
      </c>
      <c r="D79">
        <f t="shared" si="4"/>
        <v>4</v>
      </c>
      <c r="F79" t="s">
        <v>876</v>
      </c>
      <c r="G79" cm="1">
        <f t="array" ref="G79">COUNT(IF(($A79=pokemon!$AC$2:$AC$412)*(pokemon!$AB$2:$AB$412 &lt;&gt; "Noble Form")*(ISBLANK(pokemon!$AJ$2:$AJ$412)), pokemon!$T$2:$T$412))</f>
        <v>1</v>
      </c>
      <c r="H79" cm="1">
        <f t="array" ref="H79">MIN(IF(($A79=pokemon!$AC$2:$AC$412)*(pokemon!$AB$2:$AB$412 &lt;&gt; "Noble Form")*(ISBLANK(pokemon!$AJ$2:$AJ$412)), pokemon!$T$2:$T$412))</f>
        <v>19</v>
      </c>
      <c r="I79" cm="1">
        <f t="array" ref="I79">MAX(IF(($A79=pokemon!$AC$2:$AC$412)*(pokemon!$AB$2:$AB$412 &lt;&gt; "Noble Form")*(ISBLANK(pokemon!$AJ$2:$AJ$412)), pokemon!$T$2:$T$412))</f>
        <v>19</v>
      </c>
      <c r="J79">
        <f t="shared" si="5"/>
        <v>0</v>
      </c>
    </row>
    <row r="80" spans="1:10" x14ac:dyDescent="0.25">
      <c r="A80" t="s">
        <v>537</v>
      </c>
      <c r="B80" s="11" t="s">
        <v>4</v>
      </c>
      <c r="C80">
        <v>90</v>
      </c>
      <c r="D80">
        <f t="shared" si="4"/>
        <v>4</v>
      </c>
      <c r="E80" s="1" t="s">
        <v>1437</v>
      </c>
      <c r="F80" t="s">
        <v>673</v>
      </c>
      <c r="G80" cm="1">
        <f t="array" ref="G80">COUNT(IF(($A80=pokemon!$AC$2:$AC$412)*(pokemon!$AB$2:$AB$412 &lt;&gt; "Noble Form")*(ISBLANK(pokemon!$AJ$2:$AJ$412)), pokemon!$T$2:$T$412))</f>
        <v>1</v>
      </c>
      <c r="H80" cm="1">
        <f t="array" ref="H80">MIN(IF(($A80=pokemon!$AC$2:$AC$412)*(pokemon!$AB$2:$AB$412 &lt;&gt; "Noble Form")*(ISBLANK(pokemon!$AJ$2:$AJ$412)), pokemon!$T$2:$T$412))</f>
        <v>20</v>
      </c>
      <c r="I80" cm="1">
        <f t="array" ref="I80">MAX(IF(($A80=pokemon!$AC$2:$AC$412)*(pokemon!$AB$2:$AB$412 &lt;&gt; "Noble Form")*(ISBLANK(pokemon!$AJ$2:$AJ$412)), pokemon!$T$2:$T$412))</f>
        <v>20</v>
      </c>
      <c r="J80">
        <f t="shared" si="5"/>
        <v>0</v>
      </c>
    </row>
    <row r="81" spans="1:10" x14ac:dyDescent="0.25">
      <c r="A81" t="s">
        <v>1200</v>
      </c>
      <c r="B81" s="11" t="s">
        <v>4</v>
      </c>
      <c r="C81">
        <v>80</v>
      </c>
      <c r="D81">
        <f t="shared" si="4"/>
        <v>4</v>
      </c>
      <c r="E81" s="1" t="s">
        <v>1450</v>
      </c>
      <c r="F81" t="s">
        <v>1419</v>
      </c>
      <c r="G81" cm="1">
        <f t="array" ref="G81">COUNT(IF(($A81=pokemon!$AC$2:$AC$412)*(pokemon!$AB$2:$AB$412 &lt;&gt; "Noble Form")*(ISBLANK(pokemon!$AJ$2:$AJ$412)), pokemon!$T$2:$T$412))</f>
        <v>1</v>
      </c>
      <c r="H81" cm="1">
        <f t="array" ref="H81">MIN(IF(($A81=pokemon!$AC$2:$AC$412)*(pokemon!$AB$2:$AB$412 &lt;&gt; "Noble Form")*(ISBLANK(pokemon!$AJ$2:$AJ$412)), pokemon!$T$2:$T$412))</f>
        <v>20</v>
      </c>
      <c r="I81" cm="1">
        <f t="array" ref="I81">MAX(IF(($A81=pokemon!$AC$2:$AC$412)*(pokemon!$AB$2:$AB$412 &lt;&gt; "Noble Form")*(ISBLANK(pokemon!$AJ$2:$AJ$412)), pokemon!$T$2:$T$412))</f>
        <v>20</v>
      </c>
      <c r="J81">
        <f t="shared" si="5"/>
        <v>0</v>
      </c>
    </row>
    <row r="82" spans="1:10" x14ac:dyDescent="0.25">
      <c r="A82" t="s">
        <v>683</v>
      </c>
      <c r="B82" s="11" t="s">
        <v>4</v>
      </c>
      <c r="C82">
        <v>100</v>
      </c>
      <c r="D82">
        <f t="shared" si="4"/>
        <v>5</v>
      </c>
      <c r="F82" t="s">
        <v>877</v>
      </c>
      <c r="G82" cm="1">
        <f t="array" ref="G82">COUNT(IF(($A82=pokemon!$AC$2:$AC$412)*(pokemon!$AB$2:$AB$412 &lt;&gt; "Noble Form")*(ISBLANK(pokemon!$AJ$2:$AJ$412)), pokemon!$T$2:$T$412))</f>
        <v>1</v>
      </c>
      <c r="H82" cm="1">
        <f t="array" ref="H82">MIN(IF(($A82=pokemon!$AC$2:$AC$412)*(pokemon!$AB$2:$AB$412 &lt;&gt; "Noble Form")*(ISBLANK(pokemon!$AJ$2:$AJ$412)), pokemon!$T$2:$T$412))</f>
        <v>17</v>
      </c>
      <c r="I82" cm="1">
        <f t="array" ref="I82">MAX(IF(($A82=pokemon!$AC$2:$AC$412)*(pokemon!$AB$2:$AB$412 &lt;&gt; "Noble Form")*(ISBLANK(pokemon!$AJ$2:$AJ$412)), pokemon!$T$2:$T$412))</f>
        <v>17</v>
      </c>
      <c r="J82">
        <f t="shared" si="5"/>
        <v>0</v>
      </c>
    </row>
    <row r="83" spans="1:10" x14ac:dyDescent="0.25">
      <c r="A83" t="s">
        <v>1010</v>
      </c>
      <c r="B83" s="11" t="s">
        <v>4</v>
      </c>
      <c r="C83">
        <v>100</v>
      </c>
      <c r="D83">
        <f t="shared" si="4"/>
        <v>5</v>
      </c>
      <c r="F83" t="s">
        <v>873</v>
      </c>
      <c r="G83" cm="1">
        <f t="array" ref="G83">COUNT(IF(($A83=pokemon!$AC$2:$AC$412)*(pokemon!$AB$2:$AB$412 &lt;&gt; "Noble Form")*(ISBLANK(pokemon!$AJ$2:$AJ$412)), pokemon!$T$2:$T$412))</f>
        <v>1</v>
      </c>
      <c r="H83" cm="1">
        <f t="array" ref="H83">MIN(IF(($A83=pokemon!$AC$2:$AC$412)*(pokemon!$AB$2:$AB$412 &lt;&gt; "Noble Form")*(ISBLANK(pokemon!$AJ$2:$AJ$412)), pokemon!$T$2:$T$412))</f>
        <v>20</v>
      </c>
      <c r="I83" cm="1">
        <f t="array" ref="I83">MAX(IF(($A83=pokemon!$AC$2:$AC$412)*(pokemon!$AB$2:$AB$412 &lt;&gt; "Noble Form")*(ISBLANK(pokemon!$AJ$2:$AJ$412)), pokemon!$T$2:$T$412))</f>
        <v>20</v>
      </c>
      <c r="J83">
        <f t="shared" si="5"/>
        <v>0</v>
      </c>
    </row>
    <row r="84" spans="1:10" x14ac:dyDescent="0.25">
      <c r="A84" t="s">
        <v>1215</v>
      </c>
      <c r="B84" s="11" t="s">
        <v>4</v>
      </c>
      <c r="C84">
        <v>100</v>
      </c>
      <c r="D84">
        <f t="shared" si="4"/>
        <v>5</v>
      </c>
      <c r="F84" t="s">
        <v>1277</v>
      </c>
      <c r="G84" cm="1">
        <f t="array" ref="G84">COUNT(IF(($A84=pokemon!$AC$2:$AC$412)*(pokemon!$AB$2:$AB$412 &lt;&gt; "Noble Form")*(ISBLANK(pokemon!$AJ$2:$AJ$412)), pokemon!$T$2:$T$412))</f>
        <v>1</v>
      </c>
      <c r="H84" cm="1">
        <f t="array" ref="H84">MIN(IF(($A84=pokemon!$AC$2:$AC$412)*(pokemon!$AB$2:$AB$412 &lt;&gt; "Noble Form")*(ISBLANK(pokemon!$AJ$2:$AJ$412)), pokemon!$T$2:$T$412))</f>
        <v>20</v>
      </c>
      <c r="I84" cm="1">
        <f t="array" ref="I84">MAX(IF(($A84=pokemon!$AC$2:$AC$412)*(pokemon!$AB$2:$AB$412 &lt;&gt; "Noble Form")*(ISBLANK(pokemon!$AJ$2:$AJ$412)), pokemon!$T$2:$T$412))</f>
        <v>20</v>
      </c>
      <c r="J84">
        <f t="shared" si="5"/>
        <v>0</v>
      </c>
    </row>
    <row r="85" spans="1:10" x14ac:dyDescent="0.25">
      <c r="A85" t="s">
        <v>479</v>
      </c>
      <c r="B85" s="11" t="s">
        <v>4</v>
      </c>
      <c r="C85">
        <v>100</v>
      </c>
      <c r="D85">
        <f t="shared" si="4"/>
        <v>5</v>
      </c>
      <c r="F85" t="s">
        <v>1091</v>
      </c>
      <c r="G85" cm="1">
        <f t="array" ref="G85">COUNT(IF(($A85=pokemon!$AC$2:$AC$412)*(pokemon!$AB$2:$AB$412 &lt;&gt; "Noble Form")*(ISBLANK(pokemon!$AJ$2:$AJ$412)), pokemon!$T$2:$T$412))</f>
        <v>2</v>
      </c>
      <c r="H85" cm="1">
        <f t="array" ref="H85">MIN(IF(($A85=pokemon!$AC$2:$AC$412)*(pokemon!$AB$2:$AB$412 &lt;&gt; "Noble Form")*(ISBLANK(pokemon!$AJ$2:$AJ$412)), pokemon!$T$2:$T$412))</f>
        <v>17</v>
      </c>
      <c r="I85" cm="1">
        <f t="array" ref="I85">MAX(IF(($A85=pokemon!$AC$2:$AC$412)*(pokemon!$AB$2:$AB$412 &lt;&gt; "Noble Form")*(ISBLANK(pokemon!$AJ$2:$AJ$412)), pokemon!$T$2:$T$412))</f>
        <v>18</v>
      </c>
      <c r="J85">
        <f t="shared" si="5"/>
        <v>1</v>
      </c>
    </row>
    <row r="86" spans="1:10" x14ac:dyDescent="0.25">
      <c r="A86" t="s">
        <v>738</v>
      </c>
      <c r="B86" s="11" t="s">
        <v>4</v>
      </c>
      <c r="C86">
        <v>110</v>
      </c>
      <c r="D86">
        <f t="shared" si="4"/>
        <v>5</v>
      </c>
      <c r="F86" t="s">
        <v>1154</v>
      </c>
      <c r="G86" cm="1">
        <f t="array" ref="G86">COUNT(IF(($A86=pokemon!$AC$2:$AC$412)*(pokemon!$AB$2:$AB$412 &lt;&gt; "Noble Form")*(ISBLANK(pokemon!$AJ$2:$AJ$412)), pokemon!$T$2:$T$412))</f>
        <v>1</v>
      </c>
      <c r="H86" cm="1">
        <f t="array" ref="H86">MIN(IF(($A86=pokemon!$AC$2:$AC$412)*(pokemon!$AB$2:$AB$412 &lt;&gt; "Noble Form")*(ISBLANK(pokemon!$AJ$2:$AJ$412)), pokemon!$T$2:$T$412))</f>
        <v>18</v>
      </c>
      <c r="I86" cm="1">
        <f t="array" ref="I86">MAX(IF(($A86=pokemon!$AC$2:$AC$412)*(pokemon!$AB$2:$AB$412 &lt;&gt; "Noble Form")*(ISBLANK(pokemon!$AJ$2:$AJ$412)), pokemon!$T$2:$T$412))</f>
        <v>18</v>
      </c>
      <c r="J86">
        <f t="shared" si="5"/>
        <v>0</v>
      </c>
    </row>
    <row r="87" spans="1:10" x14ac:dyDescent="0.25">
      <c r="A87" t="s">
        <v>784</v>
      </c>
      <c r="B87" s="11" t="s">
        <v>4</v>
      </c>
      <c r="C87">
        <v>100</v>
      </c>
      <c r="D87">
        <f t="shared" si="4"/>
        <v>5</v>
      </c>
      <c r="F87" t="s">
        <v>1212</v>
      </c>
      <c r="G87" cm="1">
        <f t="array" ref="G87">COUNT(IF(($A87=pokemon!$AC$2:$AC$412)*(pokemon!$AB$2:$AB$412 &lt;&gt; "Noble Form")*(ISBLANK(pokemon!$AJ$2:$AJ$412)), pokemon!$T$2:$T$412))</f>
        <v>1</v>
      </c>
      <c r="H87" cm="1">
        <f t="array" ref="H87">MIN(IF(($A87=pokemon!$AC$2:$AC$412)*(pokemon!$AB$2:$AB$412 &lt;&gt; "Noble Form")*(ISBLANK(pokemon!$AJ$2:$AJ$412)), pokemon!$T$2:$T$412))</f>
        <v>18</v>
      </c>
      <c r="I87" cm="1">
        <f t="array" ref="I87">MAX(IF(($A87=pokemon!$AC$2:$AC$412)*(pokemon!$AB$2:$AB$412 &lt;&gt; "Noble Form")*(ISBLANK(pokemon!$AJ$2:$AJ$412)), pokemon!$T$2:$T$412))</f>
        <v>18</v>
      </c>
      <c r="J87">
        <f t="shared" si="5"/>
        <v>0</v>
      </c>
    </row>
    <row r="88" spans="1:10" x14ac:dyDescent="0.25">
      <c r="A88" t="s">
        <v>711</v>
      </c>
      <c r="B88" s="11" t="s">
        <v>4</v>
      </c>
      <c r="C88">
        <v>180</v>
      </c>
      <c r="D88">
        <f t="shared" si="4"/>
        <v>9</v>
      </c>
      <c r="E88" s="1" t="s">
        <v>1438</v>
      </c>
      <c r="F88" t="s">
        <v>1476</v>
      </c>
      <c r="G88" cm="1">
        <f t="array" ref="G88">COUNT(IF(($A88=pokemon!$AC$2:$AC$412)*(pokemon!$AB$2:$AB$412 &lt;&gt; "Noble Form")*(ISBLANK(pokemon!$AJ$2:$AJ$412)), pokemon!$T$2:$T$412))</f>
        <v>1</v>
      </c>
      <c r="H88" cm="1">
        <f t="array" ref="H88">MIN(IF(($A88=pokemon!$AC$2:$AC$412)*(pokemon!$AB$2:$AB$412 &lt;&gt; "Noble Form")*(ISBLANK(pokemon!$AJ$2:$AJ$412)), pokemon!$T$2:$T$412))</f>
        <v>28</v>
      </c>
      <c r="I88" cm="1">
        <f t="array" ref="I88">MAX(IF(($A88=pokemon!$AC$2:$AC$412)*(pokemon!$AB$2:$AB$412 &lt;&gt; "Noble Form")*(ISBLANK(pokemon!$AJ$2:$AJ$412)), pokemon!$T$2:$T$412))</f>
        <v>28</v>
      </c>
      <c r="J88">
        <f t="shared" si="5"/>
        <v>0</v>
      </c>
    </row>
    <row r="89" spans="1:10" x14ac:dyDescent="0.25">
      <c r="A89" t="s">
        <v>1105</v>
      </c>
      <c r="B89" s="11" t="s">
        <v>4</v>
      </c>
      <c r="C89">
        <v>120</v>
      </c>
      <c r="D89">
        <f t="shared" si="4"/>
        <v>6</v>
      </c>
      <c r="E89" s="1" t="s">
        <v>1435</v>
      </c>
      <c r="F89" t="s">
        <v>1420</v>
      </c>
      <c r="G89" cm="1">
        <f t="array" ref="G89">COUNT(IF(($A89=pokemon!$AC$2:$AC$412)*(pokemon!$AB$2:$AB$412 &lt;&gt; "Noble Form")*(ISBLANK(pokemon!$AJ$2:$AJ$412)), pokemon!$T$2:$T$412))</f>
        <v>1</v>
      </c>
      <c r="H89" cm="1">
        <f t="array" ref="H89">MIN(IF(($A89=pokemon!$AC$2:$AC$412)*(pokemon!$AB$2:$AB$412 &lt;&gt; "Noble Form")*(ISBLANK(pokemon!$AJ$2:$AJ$412)), pokemon!$T$2:$T$412))</f>
        <v>19</v>
      </c>
      <c r="I89" cm="1">
        <f t="array" ref="I89">MAX(IF(($A89=pokemon!$AC$2:$AC$412)*(pokemon!$AB$2:$AB$412 &lt;&gt; "Noble Form")*(ISBLANK(pokemon!$AJ$2:$AJ$412)), pokemon!$T$2:$T$412))</f>
        <v>19</v>
      </c>
      <c r="J89">
        <f t="shared" si="5"/>
        <v>0</v>
      </c>
    </row>
    <row r="90" spans="1:10" x14ac:dyDescent="0.25">
      <c r="A90" t="s">
        <v>740</v>
      </c>
      <c r="B90" s="11" t="s">
        <v>4</v>
      </c>
      <c r="C90" t="s">
        <v>513</v>
      </c>
      <c r="D90" t="str">
        <f t="shared" si="4"/>
        <v>?</v>
      </c>
      <c r="F90" t="s">
        <v>871</v>
      </c>
      <c r="G90" cm="1">
        <f t="array" ref="G90">COUNT(IF(($A90=pokemon!$AC$2:$AC$412)*(pokemon!$AB$2:$AB$412 &lt;&gt; "Noble Form")*(ISBLANK(pokemon!$AJ$2:$AJ$412)), pokemon!$T$2:$T$412))</f>
        <v>1</v>
      </c>
      <c r="H90" cm="1">
        <f t="array" ref="H90">MIN(IF(($A90=pokemon!$AC$2:$AC$412)*(pokemon!$AB$2:$AB$412 &lt;&gt; "Noble Form")*(ISBLANK(pokemon!$AJ$2:$AJ$412)), pokemon!$T$2:$T$412))</f>
        <v>18</v>
      </c>
      <c r="I90" cm="1">
        <f t="array" ref="I90">MAX(IF(($A90=pokemon!$AC$2:$AC$412)*(pokemon!$AB$2:$AB$412 &lt;&gt; "Noble Form")*(ISBLANK(pokemon!$AJ$2:$AJ$412)), pokemon!$T$2:$T$412))</f>
        <v>18</v>
      </c>
      <c r="J90">
        <f t="shared" si="5"/>
        <v>0</v>
      </c>
    </row>
    <row r="91" spans="1:10" x14ac:dyDescent="0.25">
      <c r="A91" t="s">
        <v>743</v>
      </c>
      <c r="B91" s="18" t="s">
        <v>5</v>
      </c>
      <c r="C91">
        <v>35</v>
      </c>
      <c r="D91">
        <f t="shared" si="4"/>
        <v>2</v>
      </c>
      <c r="F91" t="s">
        <v>1087</v>
      </c>
      <c r="G91" cm="1">
        <f t="array" ref="G91">COUNT(IF(($A91=pokemon!$AC$2:$AC$412)*(pokemon!$AB$2:$AB$412 &lt;&gt; "Noble Form")*(ISBLANK(pokemon!$AJ$2:$AJ$412)), pokemon!$T$2:$T$412))</f>
        <v>1</v>
      </c>
      <c r="H91" cm="1">
        <f t="array" ref="H91">MIN(IF(($A91=pokemon!$AC$2:$AC$412)*(pokemon!$AB$2:$AB$412 &lt;&gt; "Noble Form")*(ISBLANK(pokemon!$AJ$2:$AJ$412)), pokemon!$T$2:$T$412))</f>
        <v>10</v>
      </c>
      <c r="I91" cm="1">
        <f t="array" ref="I91">MAX(IF(($A91=pokemon!$AC$2:$AC$412)*(pokemon!$AB$2:$AB$412 &lt;&gt; "Noble Form")*(ISBLANK(pokemon!$AJ$2:$AJ$412)), pokemon!$T$2:$T$412))</f>
        <v>10</v>
      </c>
      <c r="J91">
        <f t="shared" si="5"/>
        <v>0</v>
      </c>
    </row>
    <row r="92" spans="1:10" x14ac:dyDescent="0.25">
      <c r="A92" t="s">
        <v>525</v>
      </c>
      <c r="B92" s="18" t="s">
        <v>5</v>
      </c>
      <c r="C92">
        <v>65</v>
      </c>
      <c r="D92">
        <f t="shared" si="4"/>
        <v>3</v>
      </c>
      <c r="F92" t="s">
        <v>1143</v>
      </c>
      <c r="G92" cm="1">
        <f t="array" ref="G92">COUNT(IF(($A92=pokemon!$AC$2:$AC$412)*(pokemon!$AB$2:$AB$412 &lt;&gt; "Noble Form")*(ISBLANK(pokemon!$AJ$2:$AJ$412)), pokemon!$T$2:$T$412))</f>
        <v>1</v>
      </c>
      <c r="H92" cm="1">
        <f t="array" ref="H92">MIN(IF(($A92=pokemon!$AC$2:$AC$412)*(pokemon!$AB$2:$AB$412 &lt;&gt; "Noble Form")*(ISBLANK(pokemon!$AJ$2:$AJ$412)), pokemon!$T$2:$T$412))</f>
        <v>15</v>
      </c>
      <c r="I92" cm="1">
        <f t="array" ref="I92">MAX(IF(($A92=pokemon!$AC$2:$AC$412)*(pokemon!$AB$2:$AB$412 &lt;&gt; "Noble Form")*(ISBLANK(pokemon!$AJ$2:$AJ$412)), pokemon!$T$2:$T$412))</f>
        <v>15</v>
      </c>
      <c r="J92">
        <f t="shared" si="5"/>
        <v>0</v>
      </c>
    </row>
    <row r="93" spans="1:10" x14ac:dyDescent="0.25">
      <c r="A93" t="s">
        <v>583</v>
      </c>
      <c r="B93" s="18" t="s">
        <v>5</v>
      </c>
      <c r="C93">
        <v>55</v>
      </c>
      <c r="D93">
        <f t="shared" si="4"/>
        <v>3</v>
      </c>
      <c r="E93" s="1" t="s">
        <v>1448</v>
      </c>
      <c r="F93" t="s">
        <v>1475</v>
      </c>
      <c r="G93" cm="1">
        <f t="array" ref="G93">COUNT(IF(($A93=pokemon!$AC$2:$AC$412)*(pokemon!$AB$2:$AB$412 &lt;&gt; "Noble Form")*(ISBLANK(pokemon!$AJ$2:$AJ$412)), pokemon!$T$2:$T$412))</f>
        <v>1</v>
      </c>
      <c r="H93" cm="1">
        <f t="array" ref="H93">MIN(IF(($A93=pokemon!$AC$2:$AC$412)*(pokemon!$AB$2:$AB$412 &lt;&gt; "Noble Form")*(ISBLANK(pokemon!$AJ$2:$AJ$412)), pokemon!$T$2:$T$412))</f>
        <v>16</v>
      </c>
      <c r="I93" cm="1">
        <f t="array" ref="I93">MAX(IF(($A93=pokemon!$AC$2:$AC$412)*(pokemon!$AB$2:$AB$412 &lt;&gt; "Noble Form")*(ISBLANK(pokemon!$AJ$2:$AJ$412)), pokemon!$T$2:$T$412))</f>
        <v>16</v>
      </c>
      <c r="J93">
        <f t="shared" si="5"/>
        <v>0</v>
      </c>
    </row>
    <row r="94" spans="1:10" x14ac:dyDescent="0.25">
      <c r="A94" t="s">
        <v>1206</v>
      </c>
      <c r="B94" s="18" t="s">
        <v>5</v>
      </c>
      <c r="C94">
        <v>60</v>
      </c>
      <c r="D94">
        <f t="shared" si="4"/>
        <v>3</v>
      </c>
      <c r="F94" t="s">
        <v>1087</v>
      </c>
      <c r="G94" cm="1">
        <f t="array" ref="G94">COUNT(IF(($A94=pokemon!$AC$2:$AC$412)*(pokemon!$AB$2:$AB$412 &lt;&gt; "Noble Form")*(ISBLANK(pokemon!$AJ$2:$AJ$412)), pokemon!$T$2:$T$412))</f>
        <v>1</v>
      </c>
      <c r="H94" cm="1">
        <f t="array" ref="H94">MIN(IF(($A94=pokemon!$AC$2:$AC$412)*(pokemon!$AB$2:$AB$412 &lt;&gt; "Noble Form")*(ISBLANK(pokemon!$AJ$2:$AJ$412)), pokemon!$T$2:$T$412))</f>
        <v>16</v>
      </c>
      <c r="I94" cm="1">
        <f t="array" ref="I94">MAX(IF(($A94=pokemon!$AC$2:$AC$412)*(pokemon!$AB$2:$AB$412 &lt;&gt; "Noble Form")*(ISBLANK(pokemon!$AJ$2:$AJ$412)), pokemon!$T$2:$T$412))</f>
        <v>16</v>
      </c>
      <c r="J94">
        <f t="shared" si="5"/>
        <v>0</v>
      </c>
    </row>
    <row r="95" spans="1:10" x14ac:dyDescent="0.25">
      <c r="A95" t="s">
        <v>495</v>
      </c>
      <c r="B95" s="18" t="s">
        <v>5</v>
      </c>
      <c r="C95">
        <v>60</v>
      </c>
      <c r="D95">
        <f t="shared" si="4"/>
        <v>3</v>
      </c>
      <c r="F95" t="s">
        <v>1097</v>
      </c>
      <c r="G95" cm="1">
        <f t="array" ref="G95">COUNT(IF(($A95=pokemon!$AC$2:$AC$412)*(pokemon!$AB$2:$AB$412 &lt;&gt; "Noble Form")*(ISBLANK(pokemon!$AJ$2:$AJ$412)), pokemon!$T$2:$T$412))</f>
        <v>4</v>
      </c>
      <c r="H95" cm="1">
        <f t="array" ref="H95">MIN(IF(($A95=pokemon!$AC$2:$AC$412)*(pokemon!$AB$2:$AB$412 &lt;&gt; "Noble Form")*(ISBLANK(pokemon!$AJ$2:$AJ$412)), pokemon!$T$2:$T$412))</f>
        <v>10</v>
      </c>
      <c r="I95" cm="1">
        <f t="array" ref="I95">MAX(IF(($A95=pokemon!$AC$2:$AC$412)*(pokemon!$AB$2:$AB$412 &lt;&gt; "Noble Form")*(ISBLANK(pokemon!$AJ$2:$AJ$412)), pokemon!$T$2:$T$412))</f>
        <v>14</v>
      </c>
      <c r="J95">
        <f t="shared" si="5"/>
        <v>4</v>
      </c>
    </row>
    <row r="96" spans="1:10" x14ac:dyDescent="0.25">
      <c r="A96" t="s">
        <v>516</v>
      </c>
      <c r="B96" s="18" t="s">
        <v>5</v>
      </c>
      <c r="C96">
        <v>75</v>
      </c>
      <c r="D96">
        <f t="shared" si="4"/>
        <v>4</v>
      </c>
      <c r="F96" t="s">
        <v>577</v>
      </c>
      <c r="G96" cm="1">
        <f t="array" ref="G96">COUNT(IF(($A96=pokemon!$AC$2:$AC$412)*(pokemon!$AB$2:$AB$412 &lt;&gt; "Noble Form")*(ISBLANK(pokemon!$AJ$2:$AJ$412)), pokemon!$T$2:$T$412))</f>
        <v>3</v>
      </c>
      <c r="H96" cm="1">
        <f t="array" ref="H96">MIN(IF(($A96=pokemon!$AC$2:$AC$412)*(pokemon!$AB$2:$AB$412 &lt;&gt; "Noble Form")*(ISBLANK(pokemon!$AJ$2:$AJ$412)), pokemon!$T$2:$T$412))</f>
        <v>16</v>
      </c>
      <c r="I96" cm="1">
        <f t="array" ref="I96">MAX(IF(($A96=pokemon!$AC$2:$AC$412)*(pokemon!$AB$2:$AB$412 &lt;&gt; "Noble Form")*(ISBLANK(pokemon!$AJ$2:$AJ$412)), pokemon!$T$2:$T$412))</f>
        <v>20</v>
      </c>
      <c r="J96">
        <f t="shared" si="5"/>
        <v>4</v>
      </c>
    </row>
    <row r="97" spans="1:10" x14ac:dyDescent="0.25">
      <c r="A97" t="s">
        <v>1454</v>
      </c>
      <c r="B97" s="18" t="s">
        <v>5</v>
      </c>
      <c r="C97">
        <v>100</v>
      </c>
      <c r="D97">
        <f t="shared" ref="D97" si="6">IF(NOT(ISBLANK(C97)), IF(ISNUMBER(C97), ROUND((C97 - 5)/20, 0), C97), "")</f>
        <v>5</v>
      </c>
      <c r="F97" t="s">
        <v>577</v>
      </c>
      <c r="G97" cm="1">
        <f t="array" ref="G97">COUNT(IF(($A97=pokemon!$AC$2:$AC$412)*(pokemon!$AB$2:$AB$412 &lt;&gt; "Noble Form")*(ISBLANK(pokemon!$AJ$2:$AJ$412)), pokemon!$T$2:$T$412))</f>
        <v>1</v>
      </c>
      <c r="H97" cm="1">
        <f t="array" ref="H97">MIN(IF(($A97=pokemon!$AC$2:$AC$412)*(pokemon!$AB$2:$AB$412 &lt;&gt; "Noble Form")*(ISBLANK(pokemon!$AJ$2:$AJ$412)), pokemon!$T$2:$T$412))</f>
        <v>20</v>
      </c>
      <c r="I97" cm="1">
        <f t="array" ref="I97">MAX(IF(($A97=pokemon!$AC$2:$AC$412)*(pokemon!$AB$2:$AB$412 &lt;&gt; "Noble Form")*(ISBLANK(pokemon!$AJ$2:$AJ$412)), pokemon!$T$2:$T$412))</f>
        <v>20</v>
      </c>
      <c r="J97">
        <f t="shared" ref="J97" si="7">I97-H97</f>
        <v>0</v>
      </c>
    </row>
    <row r="98" spans="1:10" x14ac:dyDescent="0.25">
      <c r="A98" t="s">
        <v>669</v>
      </c>
      <c r="B98" s="18" t="s">
        <v>5</v>
      </c>
      <c r="C98">
        <v>100</v>
      </c>
      <c r="D98">
        <f t="shared" si="4"/>
        <v>5</v>
      </c>
      <c r="F98" t="s">
        <v>877</v>
      </c>
      <c r="G98" cm="1">
        <f t="array" ref="G98">COUNT(IF(($A98=pokemon!$AC$2:$AC$412)*(pokemon!$AB$2:$AB$412 &lt;&gt; "Noble Form")*(ISBLANK(pokemon!$AJ$2:$AJ$412)), pokemon!$T$2:$T$412))</f>
        <v>1</v>
      </c>
      <c r="H98" cm="1">
        <f t="array" ref="H98">MIN(IF(($A98=pokemon!$AC$2:$AC$412)*(pokemon!$AB$2:$AB$412 &lt;&gt; "Noble Form")*(ISBLANK(pokemon!$AJ$2:$AJ$412)), pokemon!$T$2:$T$412))</f>
        <v>19</v>
      </c>
      <c r="I98" cm="1">
        <f t="array" ref="I98">MAX(IF(($A98=pokemon!$AC$2:$AC$412)*(pokemon!$AB$2:$AB$412 &lt;&gt; "Noble Form")*(ISBLANK(pokemon!$AJ$2:$AJ$412)), pokemon!$T$2:$T$412))</f>
        <v>19</v>
      </c>
      <c r="J98">
        <f t="shared" si="5"/>
        <v>0</v>
      </c>
    </row>
    <row r="99" spans="1:10" x14ac:dyDescent="0.25">
      <c r="A99" t="s">
        <v>572</v>
      </c>
      <c r="B99" s="18" t="s">
        <v>5</v>
      </c>
      <c r="C99">
        <v>100</v>
      </c>
      <c r="D99">
        <f t="shared" si="4"/>
        <v>5</v>
      </c>
      <c r="E99" s="1" t="s">
        <v>1438</v>
      </c>
      <c r="F99" t="s">
        <v>577</v>
      </c>
      <c r="G99" cm="1">
        <f t="array" ref="G99">COUNT(IF(($A99=pokemon!$AC$2:$AC$412)*(pokemon!$AB$2:$AB$412 &lt;&gt; "Noble Form")*(ISBLANK(pokemon!$AJ$2:$AJ$412)), pokemon!$T$2:$T$412))</f>
        <v>1</v>
      </c>
      <c r="H99" cm="1">
        <f t="array" ref="H99">MIN(IF(($A99=pokemon!$AC$2:$AC$412)*(pokemon!$AB$2:$AB$412 &lt;&gt; "Noble Form")*(ISBLANK(pokemon!$AJ$2:$AJ$412)), pokemon!$T$2:$T$412))</f>
        <v>16</v>
      </c>
      <c r="I99" cm="1">
        <f t="array" ref="I99">MAX(IF(($A99=pokemon!$AC$2:$AC$412)*(pokemon!$AB$2:$AB$412 &lt;&gt; "Noble Form")*(ISBLANK(pokemon!$AJ$2:$AJ$412)), pokemon!$T$2:$T$412))</f>
        <v>16</v>
      </c>
      <c r="J99">
        <f t="shared" si="5"/>
        <v>0</v>
      </c>
    </row>
    <row r="100" spans="1:10" x14ac:dyDescent="0.25">
      <c r="A100" t="s">
        <v>1363</v>
      </c>
      <c r="B100" s="18" t="s">
        <v>5</v>
      </c>
      <c r="C100">
        <v>40</v>
      </c>
      <c r="D100">
        <f t="shared" si="4"/>
        <v>2</v>
      </c>
      <c r="F100" t="s">
        <v>817</v>
      </c>
      <c r="G100" cm="1">
        <f t="array" ref="G100">COUNT(IF(($A100=pokemon!$AC$2:$AC$412)*(pokemon!$AB$2:$AB$412 &lt;&gt; "Noble Form")*(ISBLANK(pokemon!$AJ$2:$AJ$412)), pokemon!$T$2:$T$412))</f>
        <v>1</v>
      </c>
      <c r="H100" cm="1">
        <f t="array" ref="H100">MIN(IF(($A100=pokemon!$AC$2:$AC$412)*(pokemon!$AB$2:$AB$412 &lt;&gt; "Noble Form")*(ISBLANK(pokemon!$AJ$2:$AJ$412)), pokemon!$T$2:$T$412))</f>
        <v>21</v>
      </c>
      <c r="I100" cm="1">
        <f t="array" ref="I100">MAX(IF(($A100=pokemon!$AC$2:$AC$412)*(pokemon!$AB$2:$AB$412 &lt;&gt; "Noble Form")*(ISBLANK(pokemon!$AJ$2:$AJ$412)), pokemon!$T$2:$T$412))</f>
        <v>21</v>
      </c>
      <c r="J100">
        <f t="shared" ref="J100" si="8">I100-H100</f>
        <v>0</v>
      </c>
    </row>
    <row r="101" spans="1:10" x14ac:dyDescent="0.25">
      <c r="A101" t="s">
        <v>1223</v>
      </c>
      <c r="B101" s="22" t="s">
        <v>42</v>
      </c>
      <c r="C101">
        <v>20</v>
      </c>
      <c r="D101">
        <f t="shared" si="4"/>
        <v>1</v>
      </c>
      <c r="F101" t="s">
        <v>1471</v>
      </c>
      <c r="G101" cm="1">
        <f t="array" ref="G101">COUNT(IF(($A101=pokemon!$AC$2:$AC$412)*(pokemon!$AB$2:$AB$412 &lt;&gt; "Noble Form")*(ISBLANK(pokemon!$AJ$2:$AJ$412)), pokemon!$T$2:$T$412))</f>
        <v>1</v>
      </c>
      <c r="H101" cm="1">
        <f t="array" ref="H101">MIN(IF(($A101=pokemon!$AC$2:$AC$412)*(pokemon!$AB$2:$AB$412 &lt;&gt; "Noble Form")*(ISBLANK(pokemon!$AJ$2:$AJ$412)), pokemon!$T$2:$T$412))</f>
        <v>16</v>
      </c>
      <c r="I101" cm="1">
        <f t="array" ref="I101">MAX(IF(($A101=pokemon!$AC$2:$AC$412)*(pokemon!$AB$2:$AB$412 &lt;&gt; "Noble Form")*(ISBLANK(pokemon!$AJ$2:$AJ$412)), pokemon!$T$2:$T$412))</f>
        <v>16</v>
      </c>
      <c r="J101">
        <f t="shared" si="5"/>
        <v>0</v>
      </c>
    </row>
    <row r="102" spans="1:10" x14ac:dyDescent="0.25">
      <c r="A102" t="s">
        <v>549</v>
      </c>
      <c r="B102" s="22" t="s">
        <v>42</v>
      </c>
      <c r="C102">
        <v>20</v>
      </c>
      <c r="D102">
        <f t="shared" si="4"/>
        <v>1</v>
      </c>
      <c r="E102" s="1" t="s">
        <v>1436</v>
      </c>
      <c r="F102" t="s">
        <v>634</v>
      </c>
      <c r="G102" cm="1">
        <f t="array" ref="G102">COUNT(IF(($A102=pokemon!$AC$2:$AC$412)*(pokemon!$AB$2:$AB$412 &lt;&gt; "Noble Form")*(ISBLANK(pokemon!$AJ$2:$AJ$412)), pokemon!$T$2:$T$412))</f>
        <v>1</v>
      </c>
      <c r="H102" cm="1">
        <f t="array" ref="H102">MIN(IF(($A102=pokemon!$AC$2:$AC$412)*(pokemon!$AB$2:$AB$412 &lt;&gt; "Noble Form")*(ISBLANK(pokemon!$AJ$2:$AJ$412)), pokemon!$T$2:$T$412))</f>
        <v>10</v>
      </c>
      <c r="I102" cm="1">
        <f t="array" ref="I102">MAX(IF(($A102=pokemon!$AC$2:$AC$412)*(pokemon!$AB$2:$AB$412 &lt;&gt; "Noble Form")*(ISBLANK(pokemon!$AJ$2:$AJ$412)), pokemon!$T$2:$T$412))</f>
        <v>10</v>
      </c>
      <c r="J102">
        <f t="shared" si="5"/>
        <v>0</v>
      </c>
    </row>
    <row r="103" spans="1:10" x14ac:dyDescent="0.25">
      <c r="A103" t="s">
        <v>832</v>
      </c>
      <c r="B103" s="22" t="s">
        <v>42</v>
      </c>
      <c r="C103">
        <v>40</v>
      </c>
      <c r="D103">
        <f t="shared" si="4"/>
        <v>2</v>
      </c>
      <c r="E103" s="1" t="s">
        <v>1436</v>
      </c>
      <c r="F103" t="s">
        <v>578</v>
      </c>
      <c r="G103" cm="1">
        <f t="array" ref="G103">COUNT(IF(($A103=pokemon!$AC$2:$AC$412)*(pokemon!$AB$2:$AB$412 &lt;&gt; "Noble Form")*(ISBLANK(pokemon!$AJ$2:$AJ$412)), pokemon!$T$2:$T$412))</f>
        <v>2</v>
      </c>
      <c r="H103" cm="1">
        <f t="array" ref="H103">MIN(IF(($A103=pokemon!$AC$2:$AC$412)*(pokemon!$AB$2:$AB$412 &lt;&gt; "Noble Form")*(ISBLANK(pokemon!$AJ$2:$AJ$412)), pokemon!$T$2:$T$412))</f>
        <v>11</v>
      </c>
      <c r="I103" cm="1">
        <f t="array" ref="I103">MAX(IF(($A103=pokemon!$AC$2:$AC$412)*(pokemon!$AB$2:$AB$412 &lt;&gt; "Noble Form")*(ISBLANK(pokemon!$AJ$2:$AJ$412)), pokemon!$T$2:$T$412))</f>
        <v>15</v>
      </c>
      <c r="J103">
        <f t="shared" si="5"/>
        <v>4</v>
      </c>
    </row>
    <row r="104" spans="1:10" x14ac:dyDescent="0.25">
      <c r="A104" t="s">
        <v>967</v>
      </c>
      <c r="B104" s="22" t="s">
        <v>42</v>
      </c>
      <c r="C104">
        <v>40</v>
      </c>
      <c r="D104">
        <f t="shared" si="4"/>
        <v>2</v>
      </c>
      <c r="F104" t="s">
        <v>785</v>
      </c>
      <c r="G104" cm="1">
        <f t="array" ref="G104">COUNT(IF(($A104=pokemon!$AC$2:$AC$412)*(pokemon!$AB$2:$AB$412 &lt;&gt; "Noble Form")*(ISBLANK(pokemon!$AJ$2:$AJ$412)), pokemon!$T$2:$T$412))</f>
        <v>1</v>
      </c>
      <c r="H104" cm="1">
        <f t="array" ref="H104">MIN(IF(($A104=pokemon!$AC$2:$AC$412)*(pokemon!$AB$2:$AB$412 &lt;&gt; "Noble Form")*(ISBLANK(pokemon!$AJ$2:$AJ$412)), pokemon!$T$2:$T$412))</f>
        <v>12</v>
      </c>
      <c r="I104" cm="1">
        <f t="array" ref="I104">MAX(IF(($A104=pokemon!$AC$2:$AC$412)*(pokemon!$AB$2:$AB$412 &lt;&gt; "Noble Form")*(ISBLANK(pokemon!$AJ$2:$AJ$412)), pokemon!$T$2:$T$412))</f>
        <v>12</v>
      </c>
      <c r="J104">
        <f t="shared" si="5"/>
        <v>0</v>
      </c>
    </row>
    <row r="105" spans="1:10" x14ac:dyDescent="0.25">
      <c r="A105" t="s">
        <v>681</v>
      </c>
      <c r="B105" s="22" t="s">
        <v>42</v>
      </c>
      <c r="C105">
        <v>40</v>
      </c>
      <c r="D105">
        <f t="shared" si="4"/>
        <v>2</v>
      </c>
      <c r="E105" s="1" t="s">
        <v>1450</v>
      </c>
      <c r="F105" t="s">
        <v>1421</v>
      </c>
      <c r="G105" cm="1">
        <f t="array" ref="G105">COUNT(IF(($A105=pokemon!$AC$2:$AC$412)*(pokemon!$AB$2:$AB$412 &lt;&gt; "Noble Form")*(ISBLANK(pokemon!$AJ$2:$AJ$412)), pokemon!$T$2:$T$412))</f>
        <v>1</v>
      </c>
      <c r="H105" cm="1">
        <f t="array" ref="H105">MIN(IF(($A105=pokemon!$AC$2:$AC$412)*(pokemon!$AB$2:$AB$412 &lt;&gt; "Noble Form")*(ISBLANK(pokemon!$AJ$2:$AJ$412)), pokemon!$T$2:$T$412))</f>
        <v>12</v>
      </c>
      <c r="I105" cm="1">
        <f t="array" ref="I105">MAX(IF(($A105=pokemon!$AC$2:$AC$412)*(pokemon!$AB$2:$AB$412 &lt;&gt; "Noble Form")*(ISBLANK(pokemon!$AJ$2:$AJ$412)), pokemon!$T$2:$T$412))</f>
        <v>12</v>
      </c>
      <c r="J105">
        <f t="shared" si="5"/>
        <v>0</v>
      </c>
    </row>
    <row r="106" spans="1:10" x14ac:dyDescent="0.25">
      <c r="A106" t="s">
        <v>502</v>
      </c>
      <c r="B106" s="22" t="s">
        <v>42</v>
      </c>
      <c r="C106">
        <v>65</v>
      </c>
      <c r="D106">
        <f t="shared" si="4"/>
        <v>3</v>
      </c>
      <c r="F106" t="s">
        <v>1453</v>
      </c>
      <c r="G106" cm="1">
        <f t="array" ref="G106">COUNT(IF(($A106=pokemon!$AC$2:$AC$412)*(pokemon!$AB$2:$AB$412 &lt;&gt; "Noble Form")*(ISBLANK(pokemon!$AJ$2:$AJ$412)), pokemon!$T$2:$T$412))</f>
        <v>3</v>
      </c>
      <c r="H106" cm="1">
        <f t="array" ref="H106">MIN(IF(($A106=pokemon!$AC$2:$AC$412)*(pokemon!$AB$2:$AB$412 &lt;&gt; "Noble Form")*(ISBLANK(pokemon!$AJ$2:$AJ$412)), pokemon!$T$2:$T$412))</f>
        <v>14</v>
      </c>
      <c r="I106" cm="1">
        <f t="array" ref="I106">MAX(IF(($A106=pokemon!$AC$2:$AC$412)*(pokemon!$AB$2:$AB$412 &lt;&gt; "Noble Form")*(ISBLANK(pokemon!$AJ$2:$AJ$412)), pokemon!$T$2:$T$412))</f>
        <v>15</v>
      </c>
      <c r="J106">
        <f t="shared" si="5"/>
        <v>1</v>
      </c>
    </row>
    <row r="107" spans="1:10" x14ac:dyDescent="0.25">
      <c r="A107" t="s">
        <v>1390</v>
      </c>
      <c r="B107" s="22" t="s">
        <v>42</v>
      </c>
      <c r="C107">
        <v>80</v>
      </c>
      <c r="D107">
        <f t="shared" si="4"/>
        <v>4</v>
      </c>
      <c r="E107" s="1" t="s">
        <v>1438</v>
      </c>
      <c r="F107" t="s">
        <v>1439</v>
      </c>
      <c r="G107" cm="1">
        <f t="array" ref="G107">COUNT(IF(($A107=pokemon!$AC$2:$AC$412)*(pokemon!$AB$2:$AB$412 &lt;&gt; "Noble Form")*(ISBLANK(pokemon!$AJ$2:$AJ$412)), pokemon!$T$2:$T$412))</f>
        <v>1</v>
      </c>
      <c r="H107" cm="1">
        <f t="array" ref="H107">MIN(IF(($A107=pokemon!$AC$2:$AC$412)*(pokemon!$AB$2:$AB$412 &lt;&gt; "Noble Form")*(ISBLANK(pokemon!$AJ$2:$AJ$412)), pokemon!$T$2:$T$412))</f>
        <v>17</v>
      </c>
      <c r="I107" cm="1">
        <f t="array" ref="I107">MAX(IF(($A107=pokemon!$AC$2:$AC$412)*(pokemon!$AB$2:$AB$412 &lt;&gt; "Noble Form")*(ISBLANK(pokemon!$AJ$2:$AJ$412)), pokemon!$T$2:$T$412))</f>
        <v>17</v>
      </c>
      <c r="J107">
        <f t="shared" si="5"/>
        <v>0</v>
      </c>
    </row>
    <row r="108" spans="1:10" x14ac:dyDescent="0.25">
      <c r="A108" t="s">
        <v>548</v>
      </c>
      <c r="B108" s="22" t="s">
        <v>42</v>
      </c>
      <c r="C108">
        <v>60</v>
      </c>
      <c r="D108">
        <f t="shared" si="4"/>
        <v>3</v>
      </c>
      <c r="E108" s="1" t="s">
        <v>1435</v>
      </c>
      <c r="F108" t="s">
        <v>1456</v>
      </c>
      <c r="G108" cm="1">
        <f t="array" ref="G108">COUNT(IF(($A108=pokemon!$AC$2:$AC$412)*(pokemon!$AB$2:$AB$412 &lt;&gt; "Noble Form")*(ISBLANK(pokemon!$AJ$2:$AJ$412)), pokemon!$T$2:$T$412))</f>
        <v>1</v>
      </c>
      <c r="H108" cm="1">
        <f t="array" ref="H108">MIN(IF(($A108=pokemon!$AC$2:$AC$412)*(pokemon!$AB$2:$AB$412 &lt;&gt; "Noble Form")*(ISBLANK(pokemon!$AJ$2:$AJ$412)), pokemon!$T$2:$T$412))</f>
        <v>20</v>
      </c>
      <c r="I108" cm="1">
        <f t="array" ref="I108">MAX(IF(($A108=pokemon!$AC$2:$AC$412)*(pokemon!$AB$2:$AB$412 &lt;&gt; "Noble Form")*(ISBLANK(pokemon!$AJ$2:$AJ$412)), pokemon!$T$2:$T$412))</f>
        <v>20</v>
      </c>
      <c r="J108">
        <f t="shared" si="5"/>
        <v>0</v>
      </c>
    </row>
    <row r="109" spans="1:10" x14ac:dyDescent="0.25">
      <c r="A109" t="s">
        <v>748</v>
      </c>
      <c r="B109" s="22" t="s">
        <v>42</v>
      </c>
      <c r="C109">
        <v>80</v>
      </c>
      <c r="D109">
        <f t="shared" si="4"/>
        <v>4</v>
      </c>
      <c r="E109" s="1" t="s">
        <v>1437</v>
      </c>
      <c r="F109" t="s">
        <v>1422</v>
      </c>
      <c r="G109" cm="1">
        <f t="array" ref="G109">COUNT(IF(($A109=pokemon!$AC$2:$AC$412)*(pokemon!$AB$2:$AB$412 &lt;&gt; "Noble Form")*(ISBLANK(pokemon!$AJ$2:$AJ$412)), pokemon!$T$2:$T$412))</f>
        <v>1</v>
      </c>
      <c r="H109" cm="1">
        <f t="array" ref="H109">MIN(IF(($A109=pokemon!$AC$2:$AC$412)*(pokemon!$AB$2:$AB$412 &lt;&gt; "Noble Form")*(ISBLANK(pokemon!$AJ$2:$AJ$412)), pokemon!$T$2:$T$412))</f>
        <v>18</v>
      </c>
      <c r="I109" cm="1">
        <f t="array" ref="I109">MAX(IF(($A109=pokemon!$AC$2:$AC$412)*(pokemon!$AB$2:$AB$412 &lt;&gt; "Noble Form")*(ISBLANK(pokemon!$AJ$2:$AJ$412)), pokemon!$T$2:$T$412))</f>
        <v>18</v>
      </c>
      <c r="J109">
        <f t="shared" si="5"/>
        <v>0</v>
      </c>
    </row>
    <row r="110" spans="1:10" x14ac:dyDescent="0.25">
      <c r="A110" t="s">
        <v>523</v>
      </c>
      <c r="B110" s="22" t="s">
        <v>42</v>
      </c>
      <c r="C110">
        <v>100</v>
      </c>
      <c r="D110">
        <f t="shared" si="4"/>
        <v>5</v>
      </c>
      <c r="F110" t="s">
        <v>1384</v>
      </c>
      <c r="G110" cm="1">
        <f t="array" ref="G110">COUNT(IF(($A110=pokemon!$AC$2:$AC$412)*(pokemon!$AB$2:$AB$412 &lt;&gt; "Noble Form")*(ISBLANK(pokemon!$AJ$2:$AJ$412)), pokemon!$T$2:$T$412))</f>
        <v>1</v>
      </c>
      <c r="H110" cm="1">
        <f t="array" ref="H110">MIN(IF(($A110=pokemon!$AC$2:$AC$412)*(pokemon!$AB$2:$AB$412 &lt;&gt; "Noble Form")*(ISBLANK(pokemon!$AJ$2:$AJ$412)), pokemon!$T$2:$T$412))</f>
        <v>23</v>
      </c>
      <c r="I110" cm="1">
        <f t="array" ref="I110">MAX(IF(($A110=pokemon!$AC$2:$AC$412)*(pokemon!$AB$2:$AB$412 &lt;&gt; "Noble Form")*(ISBLANK(pokemon!$AJ$2:$AJ$412)), pokemon!$T$2:$T$412))</f>
        <v>23</v>
      </c>
      <c r="J110">
        <f t="shared" si="5"/>
        <v>0</v>
      </c>
    </row>
    <row r="111" spans="1:10" x14ac:dyDescent="0.25">
      <c r="A111" t="s">
        <v>815</v>
      </c>
      <c r="B111" s="22" t="s">
        <v>42</v>
      </c>
      <c r="C111">
        <v>120</v>
      </c>
      <c r="D111">
        <f t="shared" si="4"/>
        <v>6</v>
      </c>
      <c r="F111" t="s">
        <v>817</v>
      </c>
      <c r="G111" cm="1">
        <f t="array" ref="G111">COUNT(IF(($A111=pokemon!$AC$2:$AC$412)*(pokemon!$AB$2:$AB$412 &lt;&gt; "Noble Form")*(ISBLANK(pokemon!$AJ$2:$AJ$412)), pokemon!$T$2:$T$412))</f>
        <v>1</v>
      </c>
      <c r="H111" cm="1">
        <f t="array" ref="H111">MIN(IF(($A111=pokemon!$AC$2:$AC$412)*(pokemon!$AB$2:$AB$412 &lt;&gt; "Noble Form")*(ISBLANK(pokemon!$AJ$2:$AJ$412)), pokemon!$T$2:$T$412))</f>
        <v>42</v>
      </c>
      <c r="I111" cm="1">
        <f t="array" ref="I111">MAX(IF(($A111=pokemon!$AC$2:$AC$412)*(pokemon!$AB$2:$AB$412 &lt;&gt; "Noble Form")*(ISBLANK(pokemon!$AJ$2:$AJ$412)), pokemon!$T$2:$T$412))</f>
        <v>42</v>
      </c>
      <c r="J111">
        <f t="shared" si="5"/>
        <v>0</v>
      </c>
    </row>
    <row r="112" spans="1:10" x14ac:dyDescent="0.25">
      <c r="A112" t="s">
        <v>521</v>
      </c>
      <c r="B112" s="14" t="s">
        <v>2</v>
      </c>
      <c r="C112">
        <v>20</v>
      </c>
      <c r="D112">
        <f t="shared" si="4"/>
        <v>1</v>
      </c>
      <c r="E112" s="1" t="s">
        <v>1436</v>
      </c>
      <c r="F112" t="s">
        <v>726</v>
      </c>
      <c r="G112" cm="1">
        <f t="array" ref="G112">COUNT(IF(($A112=pokemon!$AC$2:$AC$412)*(pokemon!$AB$2:$AB$412 &lt;&gt; "Noble Form")*(ISBLANK(pokemon!$AJ$2:$AJ$412)), pokemon!$T$2:$T$412))</f>
        <v>1</v>
      </c>
      <c r="H112" cm="1">
        <f t="array" ref="H112">MIN(IF(($A112=pokemon!$AC$2:$AC$412)*(pokemon!$AB$2:$AB$412 &lt;&gt; "Noble Form")*(ISBLANK(pokemon!$AJ$2:$AJ$412)), pokemon!$T$2:$T$412))</f>
        <v>10</v>
      </c>
      <c r="I112" cm="1">
        <f t="array" ref="I112">MAX(IF(($A112=pokemon!$AC$2:$AC$412)*(pokemon!$AB$2:$AB$412 &lt;&gt; "Noble Form")*(ISBLANK(pokemon!$AJ$2:$AJ$412)), pokemon!$T$2:$T$412))</f>
        <v>10</v>
      </c>
      <c r="J112">
        <f t="shared" si="5"/>
        <v>0</v>
      </c>
    </row>
    <row r="113" spans="1:10" x14ac:dyDescent="0.25">
      <c r="A113" t="s">
        <v>782</v>
      </c>
      <c r="B113" s="14" t="s">
        <v>2</v>
      </c>
      <c r="C113">
        <v>20</v>
      </c>
      <c r="D113">
        <f t="shared" si="4"/>
        <v>1</v>
      </c>
      <c r="E113" s="1" t="s">
        <v>1436</v>
      </c>
      <c r="F113" t="s">
        <v>785</v>
      </c>
      <c r="G113" cm="1">
        <f t="array" ref="G113">COUNT(IF(($A113=pokemon!$AC$2:$AC$412)*(pokemon!$AB$2:$AB$412 &lt;&gt; "Noble Form")*(ISBLANK(pokemon!$AJ$2:$AJ$412)), pokemon!$T$2:$T$412))</f>
        <v>1</v>
      </c>
      <c r="H113" cm="1">
        <f t="array" ref="H113">MIN(IF(($A113=pokemon!$AC$2:$AC$412)*(pokemon!$AB$2:$AB$412 &lt;&gt; "Noble Form")*(ISBLANK(pokemon!$AJ$2:$AJ$412)), pokemon!$T$2:$T$412))</f>
        <v>10</v>
      </c>
      <c r="I113" cm="1">
        <f t="array" ref="I113">MAX(IF(($A113=pokemon!$AC$2:$AC$412)*(pokemon!$AB$2:$AB$412 &lt;&gt; "Noble Form")*(ISBLANK(pokemon!$AJ$2:$AJ$412)), pokemon!$T$2:$T$412))</f>
        <v>10</v>
      </c>
      <c r="J113">
        <f t="shared" si="5"/>
        <v>0</v>
      </c>
    </row>
    <row r="114" spans="1:10" x14ac:dyDescent="0.25">
      <c r="A114" t="s">
        <v>1056</v>
      </c>
      <c r="B114" s="14" t="s">
        <v>2</v>
      </c>
      <c r="C114">
        <v>40</v>
      </c>
      <c r="D114">
        <f t="shared" si="4"/>
        <v>2</v>
      </c>
      <c r="E114" s="1" t="s">
        <v>1435</v>
      </c>
      <c r="F114" t="s">
        <v>1423</v>
      </c>
      <c r="G114" cm="1">
        <f t="array" ref="G114">COUNT(IF(($A114=pokemon!$AC$2:$AC$412)*(pokemon!$AB$2:$AB$412 &lt;&gt; "Noble Form")*(ISBLANK(pokemon!$AJ$2:$AJ$412)), pokemon!$T$2:$T$412))</f>
        <v>1</v>
      </c>
      <c r="H114" cm="1">
        <f t="array" ref="H114">MIN(IF(($A114=pokemon!$AC$2:$AC$412)*(pokemon!$AB$2:$AB$412 &lt;&gt; "Noble Form")*(ISBLANK(pokemon!$AJ$2:$AJ$412)), pokemon!$T$2:$T$412))</f>
        <v>15</v>
      </c>
      <c r="I114" cm="1">
        <f t="array" ref="I114">MAX(IF(($A114=pokemon!$AC$2:$AC$412)*(pokemon!$AB$2:$AB$412 &lt;&gt; "Noble Form")*(ISBLANK(pokemon!$AJ$2:$AJ$412)), pokemon!$T$2:$T$412))</f>
        <v>15</v>
      </c>
      <c r="J114">
        <f t="shared" si="5"/>
        <v>0</v>
      </c>
    </row>
    <row r="115" spans="1:10" x14ac:dyDescent="0.25">
      <c r="A115" t="s">
        <v>769</v>
      </c>
      <c r="B115" s="14" t="s">
        <v>2</v>
      </c>
      <c r="C115">
        <v>40</v>
      </c>
      <c r="D115">
        <f t="shared" si="4"/>
        <v>2</v>
      </c>
      <c r="F115" t="s">
        <v>726</v>
      </c>
      <c r="G115" cm="1">
        <f t="array" ref="G115">COUNT(IF(($A115=pokemon!$AC$2:$AC$412)*(pokemon!$AB$2:$AB$412 &lt;&gt; "Noble Form")*(ISBLANK(pokemon!$AJ$2:$AJ$412)), pokemon!$T$2:$T$412))</f>
        <v>2</v>
      </c>
      <c r="H115" cm="1">
        <f t="array" ref="H115">MIN(IF(($A115=pokemon!$AC$2:$AC$412)*(pokemon!$AB$2:$AB$412 &lt;&gt; "Noble Form")*(ISBLANK(pokemon!$AJ$2:$AJ$412)), pokemon!$T$2:$T$412))</f>
        <v>10</v>
      </c>
      <c r="I115" cm="1">
        <f t="array" ref="I115">MAX(IF(($A115=pokemon!$AC$2:$AC$412)*(pokemon!$AB$2:$AB$412 &lt;&gt; "Noble Form")*(ISBLANK(pokemon!$AJ$2:$AJ$412)), pokemon!$T$2:$T$412))</f>
        <v>10</v>
      </c>
      <c r="J115">
        <f t="shared" si="5"/>
        <v>0</v>
      </c>
    </row>
    <row r="116" spans="1:10" x14ac:dyDescent="0.25">
      <c r="A116" t="s">
        <v>601</v>
      </c>
      <c r="B116" s="14" t="s">
        <v>2</v>
      </c>
      <c r="C116">
        <v>55</v>
      </c>
      <c r="D116">
        <f t="shared" ref="D116:D179" si="9">IF(NOT(ISBLANK(C116)), IF(ISNUMBER(C116), ROUND((C116 - 5)/20, 0), C116), "")</f>
        <v>3</v>
      </c>
      <c r="F116" t="s">
        <v>577</v>
      </c>
      <c r="G116" cm="1">
        <f t="array" ref="G116">COUNT(IF(($A116=pokemon!$AC$2:$AC$412)*(pokemon!$AB$2:$AB$412 &lt;&gt; "Noble Form")*(ISBLANK(pokemon!$AJ$2:$AJ$412)), pokemon!$T$2:$T$412))</f>
        <v>1</v>
      </c>
      <c r="H116" cm="1">
        <f t="array" ref="H116">MIN(IF(($A116=pokemon!$AC$2:$AC$412)*(pokemon!$AB$2:$AB$412 &lt;&gt; "Noble Form")*(ISBLANK(pokemon!$AJ$2:$AJ$412)), pokemon!$T$2:$T$412))</f>
        <v>10</v>
      </c>
      <c r="I116" cm="1">
        <f t="array" ref="I116">MAX(IF(($A116=pokemon!$AC$2:$AC$412)*(pokemon!$AB$2:$AB$412 &lt;&gt; "Noble Form")*(ISBLANK(pokemon!$AJ$2:$AJ$412)), pokemon!$T$2:$T$412))</f>
        <v>10</v>
      </c>
      <c r="J116">
        <f t="shared" si="5"/>
        <v>0</v>
      </c>
    </row>
    <row r="117" spans="1:10" x14ac:dyDescent="0.25">
      <c r="A117" t="s">
        <v>744</v>
      </c>
      <c r="B117" s="14" t="s">
        <v>2</v>
      </c>
      <c r="C117">
        <v>85</v>
      </c>
      <c r="D117">
        <f t="shared" si="9"/>
        <v>4</v>
      </c>
      <c r="F117" t="s">
        <v>577</v>
      </c>
      <c r="G117" cm="1">
        <f t="array" ref="G117">COUNT(IF(($A117=pokemon!$AC$2:$AC$412)*(pokemon!$AB$2:$AB$412 &lt;&gt; "Noble Form")*(ISBLANK(pokemon!$AJ$2:$AJ$412)), pokemon!$T$2:$T$412))</f>
        <v>2</v>
      </c>
      <c r="H117" cm="1">
        <f t="array" ref="H117">MIN(IF(($A117=pokemon!$AC$2:$AC$412)*(pokemon!$AB$2:$AB$412 &lt;&gt; "Noble Form")*(ISBLANK(pokemon!$AJ$2:$AJ$412)), pokemon!$T$2:$T$412))</f>
        <v>14</v>
      </c>
      <c r="I117" cm="1">
        <f t="array" ref="I117">MAX(IF(($A117=pokemon!$AC$2:$AC$412)*(pokemon!$AB$2:$AB$412 &lt;&gt; "Noble Form")*(ISBLANK(pokemon!$AJ$2:$AJ$412)), pokemon!$T$2:$T$412))</f>
        <v>18</v>
      </c>
      <c r="J117">
        <f t="shared" si="5"/>
        <v>4</v>
      </c>
    </row>
    <row r="118" spans="1:10" x14ac:dyDescent="0.25">
      <c r="A118" t="s">
        <v>865</v>
      </c>
      <c r="B118" s="14" t="s">
        <v>2</v>
      </c>
      <c r="C118">
        <v>80</v>
      </c>
      <c r="D118">
        <f t="shared" si="9"/>
        <v>4</v>
      </c>
      <c r="E118" s="1" t="s">
        <v>1437</v>
      </c>
      <c r="F118" t="s">
        <v>1424</v>
      </c>
      <c r="G118" cm="1">
        <f t="array" ref="G118">COUNT(IF(($A118=pokemon!$AC$2:$AC$412)*(pokemon!$AB$2:$AB$412 &lt;&gt; "Noble Form")*(ISBLANK(pokemon!$AJ$2:$AJ$412)), pokemon!$T$2:$T$412))</f>
        <v>1</v>
      </c>
      <c r="H118" cm="1">
        <f t="array" ref="H118">MIN(IF(($A118=pokemon!$AC$2:$AC$412)*(pokemon!$AB$2:$AB$412 &lt;&gt; "Noble Form")*(ISBLANK(pokemon!$AJ$2:$AJ$412)), pokemon!$T$2:$T$412))</f>
        <v>15</v>
      </c>
      <c r="I118" cm="1">
        <f t="array" ref="I118">MAX(IF(($A118=pokemon!$AC$2:$AC$412)*(pokemon!$AB$2:$AB$412 &lt;&gt; "Noble Form")*(ISBLANK(pokemon!$AJ$2:$AJ$412)), pokemon!$T$2:$T$412))</f>
        <v>15</v>
      </c>
      <c r="J118">
        <f t="shared" si="5"/>
        <v>0</v>
      </c>
    </row>
    <row r="119" spans="1:10" x14ac:dyDescent="0.25">
      <c r="A119" t="s">
        <v>488</v>
      </c>
      <c r="B119" s="14" t="s">
        <v>2</v>
      </c>
      <c r="C119">
        <v>75</v>
      </c>
      <c r="D119">
        <f t="shared" si="9"/>
        <v>4</v>
      </c>
      <c r="F119" t="s">
        <v>1469</v>
      </c>
      <c r="G119" cm="1">
        <f t="array" ref="G119">COUNT(IF(($A119=pokemon!$AC$2:$AC$412)*(pokemon!$AB$2:$AB$412 &lt;&gt; "Noble Form")*(ISBLANK(pokemon!$AJ$2:$AJ$412)), pokemon!$T$2:$T$412))</f>
        <v>1</v>
      </c>
      <c r="H119" cm="1">
        <f t="array" ref="H119">MIN(IF(($A119=pokemon!$AC$2:$AC$412)*(pokemon!$AB$2:$AB$412 &lt;&gt; "Noble Form")*(ISBLANK(pokemon!$AJ$2:$AJ$412)), pokemon!$T$2:$T$412))</f>
        <v>13</v>
      </c>
      <c r="I119" cm="1">
        <f t="array" ref="I119">MAX(IF(($A119=pokemon!$AC$2:$AC$412)*(pokemon!$AB$2:$AB$412 &lt;&gt; "Noble Form")*(ISBLANK(pokemon!$AJ$2:$AJ$412)), pokemon!$T$2:$T$412))</f>
        <v>13</v>
      </c>
      <c r="J119">
        <f t="shared" si="5"/>
        <v>0</v>
      </c>
    </row>
    <row r="120" spans="1:10" x14ac:dyDescent="0.25">
      <c r="A120" t="s">
        <v>1235</v>
      </c>
      <c r="B120" s="14" t="s">
        <v>2</v>
      </c>
      <c r="C120">
        <v>80</v>
      </c>
      <c r="D120">
        <f t="shared" si="9"/>
        <v>4</v>
      </c>
      <c r="F120" t="s">
        <v>1451</v>
      </c>
      <c r="G120" cm="1">
        <f t="array" ref="G120">COUNT(IF(($A120=pokemon!$AC$2:$AC$412)*(pokemon!$AB$2:$AB$412 &lt;&gt; "Noble Form")*(ISBLANK(pokemon!$AJ$2:$AJ$412)), pokemon!$T$2:$T$412))</f>
        <v>1</v>
      </c>
      <c r="H120" cm="1">
        <f t="array" ref="H120">MIN(IF(($A120=pokemon!$AC$2:$AC$412)*(pokemon!$AB$2:$AB$412 &lt;&gt; "Noble Form")*(ISBLANK(pokemon!$AJ$2:$AJ$412)), pokemon!$T$2:$T$412))</f>
        <v>20</v>
      </c>
      <c r="I120" cm="1">
        <f t="array" ref="I120">MAX(IF(($A120=pokemon!$AC$2:$AC$412)*(pokemon!$AB$2:$AB$412 &lt;&gt; "Noble Form")*(ISBLANK(pokemon!$AJ$2:$AJ$412)), pokemon!$T$2:$T$412))</f>
        <v>20</v>
      </c>
      <c r="J120">
        <f t="shared" si="5"/>
        <v>0</v>
      </c>
    </row>
    <row r="121" spans="1:10" x14ac:dyDescent="0.25">
      <c r="A121" t="s">
        <v>531</v>
      </c>
      <c r="B121" s="14" t="s">
        <v>2</v>
      </c>
      <c r="C121">
        <v>100</v>
      </c>
      <c r="D121">
        <f t="shared" si="9"/>
        <v>5</v>
      </c>
      <c r="F121" t="s">
        <v>877</v>
      </c>
      <c r="G121" cm="1">
        <f t="array" ref="G121">COUNT(IF(($A121=pokemon!$AC$2:$AC$412)*(pokemon!$AB$2:$AB$412 &lt;&gt; "Noble Form")*(ISBLANK(pokemon!$AJ$2:$AJ$412)), pokemon!$T$2:$T$412))</f>
        <v>1</v>
      </c>
      <c r="H121" cm="1">
        <f t="array" ref="H121">MIN(IF(($A121=pokemon!$AC$2:$AC$412)*(pokemon!$AB$2:$AB$412 &lt;&gt; "Noble Form")*(ISBLANK(pokemon!$AJ$2:$AJ$412)), pokemon!$T$2:$T$412))</f>
        <v>16</v>
      </c>
      <c r="I121" cm="1">
        <f t="array" ref="I121">MAX(IF(($A121=pokemon!$AC$2:$AC$412)*(pokemon!$AB$2:$AB$412 &lt;&gt; "Noble Form")*(ISBLANK(pokemon!$AJ$2:$AJ$412)), pokemon!$T$2:$T$412))</f>
        <v>16</v>
      </c>
      <c r="J121">
        <f t="shared" si="5"/>
        <v>0</v>
      </c>
    </row>
    <row r="122" spans="1:10" x14ac:dyDescent="0.25">
      <c r="A122" t="s">
        <v>598</v>
      </c>
      <c r="B122" s="14" t="s">
        <v>2</v>
      </c>
      <c r="C122">
        <v>100</v>
      </c>
      <c r="D122">
        <f t="shared" si="9"/>
        <v>5</v>
      </c>
      <c r="F122" t="s">
        <v>873</v>
      </c>
      <c r="G122" cm="1">
        <f t="array" ref="G122">COUNT(IF(($A122=pokemon!$AC$2:$AC$412)*(pokemon!$AB$2:$AB$412 &lt;&gt; "Noble Form")*(ISBLANK(pokemon!$AJ$2:$AJ$412)), pokemon!$T$2:$T$412))</f>
        <v>2</v>
      </c>
      <c r="H122" cm="1">
        <f t="array" ref="H122">MIN(IF(($A122=pokemon!$AC$2:$AC$412)*(pokemon!$AB$2:$AB$412 &lt;&gt; "Noble Form")*(ISBLANK(pokemon!$AJ$2:$AJ$412)), pokemon!$T$2:$T$412))</f>
        <v>17</v>
      </c>
      <c r="I122" cm="1">
        <f t="array" ref="I122">MAX(IF(($A122=pokemon!$AC$2:$AC$412)*(pokemon!$AB$2:$AB$412 &lt;&gt; "Noble Form")*(ISBLANK(pokemon!$AJ$2:$AJ$412)), pokemon!$T$2:$T$412))</f>
        <v>20</v>
      </c>
      <c r="J122">
        <f t="shared" si="5"/>
        <v>3</v>
      </c>
    </row>
    <row r="123" spans="1:10" x14ac:dyDescent="0.25">
      <c r="A123" t="s">
        <v>538</v>
      </c>
      <c r="B123" s="14" t="s">
        <v>2</v>
      </c>
      <c r="C123">
        <v>80</v>
      </c>
      <c r="D123">
        <f t="shared" si="9"/>
        <v>4</v>
      </c>
      <c r="E123" s="1" t="s">
        <v>1435</v>
      </c>
      <c r="F123" t="s">
        <v>1087</v>
      </c>
      <c r="G123" cm="1">
        <f t="array" ref="G123">COUNT(IF(($A123=pokemon!$AC$2:$AC$412)*(pokemon!$AB$2:$AB$412 &lt;&gt; "Noble Form")*(ISBLANK(pokemon!$AJ$2:$AJ$412)), pokemon!$T$2:$T$412))</f>
        <v>1</v>
      </c>
      <c r="H123" cm="1">
        <f t="array" ref="H123">MIN(IF(($A123=pokemon!$AC$2:$AC$412)*(pokemon!$AB$2:$AB$412 &lt;&gt; "Noble Form")*(ISBLANK(pokemon!$AJ$2:$AJ$412)), pokemon!$T$2:$T$412))</f>
        <v>20</v>
      </c>
      <c r="I123" cm="1">
        <f t="array" ref="I123">MAX(IF(($A123=pokemon!$AC$2:$AC$412)*(pokemon!$AB$2:$AB$412 &lt;&gt; "Noble Form")*(ISBLANK(pokemon!$AJ$2:$AJ$412)), pokemon!$T$2:$T$412))</f>
        <v>20</v>
      </c>
      <c r="J123">
        <f t="shared" si="5"/>
        <v>0</v>
      </c>
    </row>
    <row r="124" spans="1:10" x14ac:dyDescent="0.25">
      <c r="A124" t="s">
        <v>716</v>
      </c>
      <c r="B124" s="14" t="s">
        <v>2</v>
      </c>
      <c r="C124">
        <v>100</v>
      </c>
      <c r="D124">
        <f t="shared" si="9"/>
        <v>5</v>
      </c>
      <c r="F124" t="s">
        <v>795</v>
      </c>
      <c r="G124" cm="1">
        <f t="array" ref="G124">COUNT(IF(($A124=pokemon!$AC$2:$AC$412)*(pokemon!$AB$2:$AB$412 &lt;&gt; "Noble Form")*(ISBLANK(pokemon!$AJ$2:$AJ$412)), pokemon!$T$2:$T$412))</f>
        <v>1</v>
      </c>
      <c r="H124" cm="1">
        <f t="array" ref="H124">MIN(IF(($A124=pokemon!$AC$2:$AC$412)*(pokemon!$AB$2:$AB$412 &lt;&gt; "Noble Form")*(ISBLANK(pokemon!$AJ$2:$AJ$412)), pokemon!$T$2:$T$412))</f>
        <v>28</v>
      </c>
      <c r="I124" cm="1">
        <f t="array" ref="I124">MAX(IF(($A124=pokemon!$AC$2:$AC$412)*(pokemon!$AB$2:$AB$412 &lt;&gt; "Noble Form")*(ISBLANK(pokemon!$AJ$2:$AJ$412)), pokemon!$T$2:$T$412))</f>
        <v>28</v>
      </c>
      <c r="J124">
        <f t="shared" si="5"/>
        <v>0</v>
      </c>
    </row>
    <row r="125" spans="1:10" x14ac:dyDescent="0.25">
      <c r="A125" t="s">
        <v>1203</v>
      </c>
      <c r="B125" s="14" t="s">
        <v>2</v>
      </c>
      <c r="C125">
        <v>80</v>
      </c>
      <c r="D125">
        <f t="shared" si="9"/>
        <v>4</v>
      </c>
      <c r="E125" s="1" t="s">
        <v>1438</v>
      </c>
      <c r="F125" t="s">
        <v>1470</v>
      </c>
      <c r="G125" cm="1">
        <f t="array" ref="G125">COUNT(IF(($A125=pokemon!$AC$2:$AC$412)*(pokemon!$AB$2:$AB$412 &lt;&gt; "Noble Form")*(ISBLANK(pokemon!$AJ$2:$AJ$412)), pokemon!$T$2:$T$412))</f>
        <v>1</v>
      </c>
      <c r="H125" cm="1">
        <f t="array" ref="H125">MIN(IF(($A125=pokemon!$AC$2:$AC$412)*(pokemon!$AB$2:$AB$412 &lt;&gt; "Noble Form")*(ISBLANK(pokemon!$AJ$2:$AJ$412)), pokemon!$T$2:$T$412))</f>
        <v>19</v>
      </c>
      <c r="I125" cm="1">
        <f t="array" ref="I125">MAX(IF(($A125=pokemon!$AC$2:$AC$412)*(pokemon!$AB$2:$AB$412 &lt;&gt; "Noble Form")*(ISBLANK(pokemon!$AJ$2:$AJ$412)), pokemon!$T$2:$T$412))</f>
        <v>19</v>
      </c>
      <c r="J125">
        <f t="shared" si="5"/>
        <v>0</v>
      </c>
    </row>
    <row r="126" spans="1:10" x14ac:dyDescent="0.25">
      <c r="A126" t="s">
        <v>1205</v>
      </c>
      <c r="B126" s="14" t="s">
        <v>2</v>
      </c>
      <c r="C126">
        <v>100</v>
      </c>
      <c r="D126">
        <f t="shared" si="9"/>
        <v>5</v>
      </c>
      <c r="F126" t="s">
        <v>1212</v>
      </c>
      <c r="G126" cm="1">
        <f t="array" ref="G126">COUNT(IF(($A126=pokemon!$AC$2:$AC$412)*(pokemon!$AB$2:$AB$412 &lt;&gt; "Noble Form")*(ISBLANK(pokemon!$AJ$2:$AJ$412)), pokemon!$T$2:$T$412))</f>
        <v>1</v>
      </c>
      <c r="H126" cm="1">
        <f t="array" ref="H126">MIN(IF(($A126=pokemon!$AC$2:$AC$412)*(pokemon!$AB$2:$AB$412 &lt;&gt; "Noble Form")*(ISBLANK(pokemon!$AJ$2:$AJ$412)), pokemon!$T$2:$T$412))</f>
        <v>19</v>
      </c>
      <c r="I126" cm="1">
        <f t="array" ref="I126">MAX(IF(($A126=pokemon!$AC$2:$AC$412)*(pokemon!$AB$2:$AB$412 &lt;&gt; "Noble Form")*(ISBLANK(pokemon!$AJ$2:$AJ$412)), pokemon!$T$2:$T$412))</f>
        <v>19</v>
      </c>
      <c r="J126">
        <f t="shared" si="5"/>
        <v>0</v>
      </c>
    </row>
    <row r="127" spans="1:10" x14ac:dyDescent="0.25">
      <c r="A127" t="s">
        <v>860</v>
      </c>
      <c r="B127" s="14" t="s">
        <v>2</v>
      </c>
      <c r="C127">
        <v>120</v>
      </c>
      <c r="D127">
        <f t="shared" si="9"/>
        <v>6</v>
      </c>
      <c r="E127" s="1" t="s">
        <v>1438</v>
      </c>
      <c r="F127" t="s">
        <v>1441</v>
      </c>
      <c r="G127" cm="1">
        <f t="array" ref="G127">COUNT(IF(($A127=pokemon!$AC$2:$AC$412)*(pokemon!$AB$2:$AB$412 &lt;&gt; "Noble Form")*(ISBLANK(pokemon!$AJ$2:$AJ$412)), pokemon!$T$2:$T$412))</f>
        <v>1</v>
      </c>
      <c r="H127" cm="1">
        <f t="array" ref="H127">MIN(IF(($A127=pokemon!$AC$2:$AC$412)*(pokemon!$AB$2:$AB$412 &lt;&gt; "Noble Form")*(ISBLANK(pokemon!$AJ$2:$AJ$412)), pokemon!$T$2:$T$412))</f>
        <v>15</v>
      </c>
      <c r="I127" cm="1">
        <f t="array" ref="I127">MAX(IF(($A127=pokemon!$AC$2:$AC$412)*(pokemon!$AB$2:$AB$412 &lt;&gt; "Noble Form")*(ISBLANK(pokemon!$AJ$2:$AJ$412)), pokemon!$T$2:$T$412))</f>
        <v>15</v>
      </c>
      <c r="J127">
        <f t="shared" si="5"/>
        <v>0</v>
      </c>
    </row>
    <row r="128" spans="1:10" x14ac:dyDescent="0.25">
      <c r="A128" t="s">
        <v>1364</v>
      </c>
      <c r="B128" s="14" t="s">
        <v>2</v>
      </c>
      <c r="C128">
        <v>85</v>
      </c>
      <c r="D128">
        <f t="shared" si="9"/>
        <v>4</v>
      </c>
      <c r="F128" t="s">
        <v>1366</v>
      </c>
      <c r="G128" cm="1">
        <f t="array" ref="G128">COUNT(IF(($A128=pokemon!$AC$2:$AC$412)*(pokemon!$AB$2:$AB$412 &lt;&gt; "Noble Form")*(ISBLANK(pokemon!$AJ$2:$AJ$412)), pokemon!$T$2:$T$412))</f>
        <v>1</v>
      </c>
      <c r="H128" cm="1">
        <f t="array" ref="H128">MIN(IF(($A128=pokemon!$AC$2:$AC$412)*(pokemon!$AB$2:$AB$412 &lt;&gt; "Noble Form")*(ISBLANK(pokemon!$AJ$2:$AJ$412)), pokemon!$T$2:$T$412))</f>
        <v>21</v>
      </c>
      <c r="I128" cm="1">
        <f t="array" ref="I128">MAX(IF(($A128=pokemon!$AC$2:$AC$412)*(pokemon!$AB$2:$AB$412 &lt;&gt; "Noble Form")*(ISBLANK(pokemon!$AJ$2:$AJ$412)), pokemon!$T$2:$T$412))</f>
        <v>21</v>
      </c>
      <c r="J128">
        <f t="shared" si="5"/>
        <v>0</v>
      </c>
    </row>
    <row r="129" spans="1:10" x14ac:dyDescent="0.25">
      <c r="A129" t="s">
        <v>526</v>
      </c>
      <c r="B129" s="17" t="s">
        <v>13</v>
      </c>
      <c r="C129">
        <v>35</v>
      </c>
      <c r="D129">
        <f t="shared" si="9"/>
        <v>2</v>
      </c>
      <c r="E129" s="1" t="s">
        <v>1437</v>
      </c>
      <c r="F129" t="s">
        <v>1422</v>
      </c>
      <c r="G129" cm="1">
        <f t="array" ref="G129">COUNT(IF(($A129=pokemon!$AC$2:$AC$412)*(pokemon!$AB$2:$AB$412 &lt;&gt; "Noble Form")*(ISBLANK(pokemon!$AJ$2:$AJ$412)), pokemon!$T$2:$T$412))</f>
        <v>2</v>
      </c>
      <c r="H129" cm="1">
        <f t="array" ref="H129">MIN(IF(($A129=pokemon!$AC$2:$AC$412)*(pokemon!$AB$2:$AB$412 &lt;&gt; "Noble Form")*(ISBLANK(pokemon!$AJ$2:$AJ$412)), pokemon!$T$2:$T$412))</f>
        <v>10</v>
      </c>
      <c r="I129" cm="1">
        <f t="array" ref="I129">MAX(IF(($A129=pokemon!$AC$2:$AC$412)*(pokemon!$AB$2:$AB$412 &lt;&gt; "Noble Form")*(ISBLANK(pokemon!$AJ$2:$AJ$412)), pokemon!$T$2:$T$412))</f>
        <v>11</v>
      </c>
      <c r="J129">
        <f t="shared" si="5"/>
        <v>1</v>
      </c>
    </row>
    <row r="130" spans="1:10" x14ac:dyDescent="0.25">
      <c r="A130" t="s">
        <v>1247</v>
      </c>
      <c r="B130" s="17" t="s">
        <v>13</v>
      </c>
      <c r="C130">
        <v>60</v>
      </c>
      <c r="D130">
        <f t="shared" si="9"/>
        <v>3</v>
      </c>
      <c r="F130" t="s">
        <v>761</v>
      </c>
      <c r="G130" cm="1">
        <f t="array" ref="G130">COUNT(IF(($A130=pokemon!$AC$2:$AC$412)*(pokemon!$AB$2:$AB$412 &lt;&gt; "Noble Form")*(ISBLANK(pokemon!$AJ$2:$AJ$412)), pokemon!$T$2:$T$412))</f>
        <v>1</v>
      </c>
      <c r="H130" cm="1">
        <f t="array" ref="H130">MIN(IF(($A130=pokemon!$AC$2:$AC$412)*(pokemon!$AB$2:$AB$412 &lt;&gt; "Noble Form")*(ISBLANK(pokemon!$AJ$2:$AJ$412)), pokemon!$T$2:$T$412))</f>
        <v>16</v>
      </c>
      <c r="I130" cm="1">
        <f t="array" ref="I130">MAX(IF(($A130=pokemon!$AC$2:$AC$412)*(pokemon!$AB$2:$AB$412 &lt;&gt; "Noble Form")*(ISBLANK(pokemon!$AJ$2:$AJ$412)), pokemon!$T$2:$T$412))</f>
        <v>16</v>
      </c>
      <c r="J130">
        <f t="shared" si="5"/>
        <v>0</v>
      </c>
    </row>
    <row r="131" spans="1:10" x14ac:dyDescent="0.25">
      <c r="A131" t="s">
        <v>587</v>
      </c>
      <c r="B131" s="17" t="s">
        <v>13</v>
      </c>
      <c r="C131">
        <v>60</v>
      </c>
      <c r="D131">
        <f t="shared" si="9"/>
        <v>3</v>
      </c>
      <c r="F131" t="s">
        <v>1222</v>
      </c>
      <c r="G131" cm="1">
        <f t="array" ref="G131">COUNT(IF(($A131=pokemon!$AC$2:$AC$412)*(pokemon!$AB$2:$AB$412 &lt;&gt; "Noble Form")*(ISBLANK(pokemon!$AJ$2:$AJ$412)), pokemon!$T$2:$T$412))</f>
        <v>2</v>
      </c>
      <c r="H131" cm="1">
        <f t="array" ref="H131">MIN(IF(($A131=pokemon!$AC$2:$AC$412)*(pokemon!$AB$2:$AB$412 &lt;&gt; "Noble Form")*(ISBLANK(pokemon!$AJ$2:$AJ$412)), pokemon!$T$2:$T$412))</f>
        <v>14</v>
      </c>
      <c r="I131" cm="1">
        <f t="array" ref="I131">MAX(IF(($A131=pokemon!$AC$2:$AC$412)*(pokemon!$AB$2:$AB$412 &lt;&gt; "Noble Form")*(ISBLANK(pokemon!$AJ$2:$AJ$412)), pokemon!$T$2:$T$412))</f>
        <v>14</v>
      </c>
      <c r="J131">
        <f t="shared" si="5"/>
        <v>0</v>
      </c>
    </row>
    <row r="132" spans="1:10" x14ac:dyDescent="0.25">
      <c r="A132" t="s">
        <v>728</v>
      </c>
      <c r="B132" s="17" t="s">
        <v>13</v>
      </c>
      <c r="C132">
        <v>65</v>
      </c>
      <c r="D132">
        <f t="shared" si="9"/>
        <v>3</v>
      </c>
      <c r="F132" t="s">
        <v>664</v>
      </c>
      <c r="G132" cm="1">
        <f t="array" ref="G132">COUNT(IF(($A132=pokemon!$AC$2:$AC$412)*(pokemon!$AB$2:$AB$412 &lt;&gt; "Noble Form")*(ISBLANK(pokemon!$AJ$2:$AJ$412)), pokemon!$T$2:$T$412))</f>
        <v>2</v>
      </c>
      <c r="H132" cm="1">
        <f t="array" ref="H132">MIN(IF(($A132=pokemon!$AC$2:$AC$412)*(pokemon!$AB$2:$AB$412 &lt;&gt; "Noble Form")*(ISBLANK(pokemon!$AJ$2:$AJ$412)), pokemon!$T$2:$T$412))</f>
        <v>7</v>
      </c>
      <c r="I132" cm="1">
        <f t="array" ref="I132">MAX(IF(($A132=pokemon!$AC$2:$AC$412)*(pokemon!$AB$2:$AB$412 &lt;&gt; "Noble Form")*(ISBLANK(pokemon!$AJ$2:$AJ$412)), pokemon!$T$2:$T$412))</f>
        <v>11</v>
      </c>
      <c r="J132">
        <f t="shared" si="5"/>
        <v>4</v>
      </c>
    </row>
    <row r="133" spans="1:10" x14ac:dyDescent="0.25">
      <c r="A133" t="s">
        <v>729</v>
      </c>
      <c r="B133" s="17" t="s">
        <v>13</v>
      </c>
      <c r="C133">
        <v>100</v>
      </c>
      <c r="D133">
        <f t="shared" si="9"/>
        <v>5</v>
      </c>
      <c r="F133" t="s">
        <v>873</v>
      </c>
      <c r="G133" cm="1">
        <f t="array" ref="G133">COUNT(IF(($A133=pokemon!$AC$2:$AC$412)*(pokemon!$AB$2:$AB$412 &lt;&gt; "Noble Form")*(ISBLANK(pokemon!$AJ$2:$AJ$412)), pokemon!$T$2:$T$412))</f>
        <v>1</v>
      </c>
      <c r="H133" cm="1">
        <f t="array" ref="H133">MIN(IF(($A133=pokemon!$AC$2:$AC$412)*(pokemon!$AB$2:$AB$412 &lt;&gt; "Noble Form")*(ISBLANK(pokemon!$AJ$2:$AJ$412)), pokemon!$T$2:$T$412))</f>
        <v>18</v>
      </c>
      <c r="I133" cm="1">
        <f t="array" ref="I133">MAX(IF(($A133=pokemon!$AC$2:$AC$412)*(pokemon!$AB$2:$AB$412 &lt;&gt; "Noble Form")*(ISBLANK(pokemon!$AJ$2:$AJ$412)), pokemon!$T$2:$T$412))</f>
        <v>18</v>
      </c>
      <c r="J133">
        <f t="shared" si="5"/>
        <v>0</v>
      </c>
    </row>
    <row r="134" spans="1:10" x14ac:dyDescent="0.25">
      <c r="A134" t="s">
        <v>485</v>
      </c>
      <c r="B134" s="17" t="s">
        <v>13</v>
      </c>
      <c r="C134">
        <v>100</v>
      </c>
      <c r="D134">
        <f t="shared" si="9"/>
        <v>5</v>
      </c>
      <c r="F134" t="s">
        <v>1090</v>
      </c>
      <c r="G134" cm="1">
        <f t="array" ref="G134">COUNT(IF(($A134=pokemon!$AC$2:$AC$412)*(pokemon!$AB$2:$AB$412 &lt;&gt; "Noble Form")*(ISBLANK(pokemon!$AJ$2:$AJ$412)), pokemon!$T$2:$T$412))</f>
        <v>4</v>
      </c>
      <c r="H134" cm="1">
        <f t="array" ref="H134">MIN(IF(($A134=pokemon!$AC$2:$AC$412)*(pokemon!$AB$2:$AB$412 &lt;&gt; "Noble Form")*(ISBLANK(pokemon!$AJ$2:$AJ$412)), pokemon!$T$2:$T$412))</f>
        <v>16</v>
      </c>
      <c r="I134" cm="1">
        <f t="array" ref="I134">MAX(IF(($A134=pokemon!$AC$2:$AC$412)*(pokemon!$AB$2:$AB$412 &lt;&gt; "Noble Form")*(ISBLANK(pokemon!$AJ$2:$AJ$412)), pokemon!$T$2:$T$412))</f>
        <v>19</v>
      </c>
      <c r="J134">
        <f t="shared" si="5"/>
        <v>3</v>
      </c>
    </row>
    <row r="135" spans="1:10" x14ac:dyDescent="0.25">
      <c r="A135" t="s">
        <v>1244</v>
      </c>
      <c r="B135" s="17" t="s">
        <v>13</v>
      </c>
      <c r="C135">
        <v>100</v>
      </c>
      <c r="D135">
        <f t="shared" si="9"/>
        <v>5</v>
      </c>
      <c r="F135" t="s">
        <v>762</v>
      </c>
      <c r="G135" cm="1">
        <f t="array" ref="G135">COUNT(IF(($A135=pokemon!$AC$2:$AC$412)*(pokemon!$AB$2:$AB$412 &lt;&gt; "Noble Form")*(ISBLANK(pokemon!$AJ$2:$AJ$412)), pokemon!$T$2:$T$412))</f>
        <v>1</v>
      </c>
      <c r="H135" cm="1">
        <f t="array" ref="H135">MIN(IF(($A135=pokemon!$AC$2:$AC$412)*(pokemon!$AB$2:$AB$412 &lt;&gt; "Noble Form")*(ISBLANK(pokemon!$AJ$2:$AJ$412)), pokemon!$T$2:$T$412))</f>
        <v>10</v>
      </c>
      <c r="I135" cm="1">
        <f t="array" ref="I135">MAX(IF(($A135=pokemon!$AC$2:$AC$412)*(pokemon!$AB$2:$AB$412 &lt;&gt; "Noble Form")*(ISBLANK(pokemon!$AJ$2:$AJ$412)), pokemon!$T$2:$T$412))</f>
        <v>10</v>
      </c>
      <c r="J135">
        <f t="shared" si="5"/>
        <v>0</v>
      </c>
    </row>
    <row r="136" spans="1:10" x14ac:dyDescent="0.25">
      <c r="A136" t="s">
        <v>1249</v>
      </c>
      <c r="B136" s="17" t="s">
        <v>13</v>
      </c>
      <c r="C136">
        <v>120</v>
      </c>
      <c r="D136">
        <f t="shared" si="9"/>
        <v>6</v>
      </c>
      <c r="F136" t="s">
        <v>1443</v>
      </c>
      <c r="G136" cm="1">
        <f t="array" ref="G136">COUNT(IF(($A136=pokemon!$AC$2:$AC$412)*(pokemon!$AB$2:$AB$412 &lt;&gt; "Noble Form")*(ISBLANK(pokemon!$AJ$2:$AJ$412)), pokemon!$T$2:$T$412))</f>
        <v>1</v>
      </c>
      <c r="H136" cm="1">
        <f t="array" ref="H136">MIN(IF(($A136=pokemon!$AC$2:$AC$412)*(pokemon!$AB$2:$AB$412 &lt;&gt; "Noble Form")*(ISBLANK(pokemon!$AJ$2:$AJ$412)), pokemon!$T$2:$T$412))</f>
        <v>18</v>
      </c>
      <c r="I136" cm="1">
        <f t="array" ref="I136">MAX(IF(($A136=pokemon!$AC$2:$AC$412)*(pokemon!$AB$2:$AB$412 &lt;&gt; "Noble Form")*(ISBLANK(pokemon!$AJ$2:$AJ$412)), pokemon!$T$2:$T$412))</f>
        <v>18</v>
      </c>
      <c r="J136">
        <f t="shared" si="5"/>
        <v>0</v>
      </c>
    </row>
    <row r="137" spans="1:10" x14ac:dyDescent="0.25">
      <c r="A137" t="s">
        <v>680</v>
      </c>
      <c r="B137" s="15" t="s">
        <v>14</v>
      </c>
      <c r="C137">
        <v>20</v>
      </c>
      <c r="D137">
        <f t="shared" si="9"/>
        <v>1</v>
      </c>
      <c r="F137" t="s">
        <v>1461</v>
      </c>
      <c r="G137" cm="1">
        <f t="array" ref="G137">COUNT(IF(($A137=pokemon!$AC$2:$AC$412)*(pokemon!$AB$2:$AB$412 &lt;&gt; "Noble Form")*(ISBLANK(pokemon!$AJ$2:$AJ$412)), pokemon!$T$2:$T$412))</f>
        <v>1</v>
      </c>
      <c r="H137" cm="1">
        <f t="array" ref="H137">MIN(IF(($A137=pokemon!$AC$2:$AC$412)*(pokemon!$AB$2:$AB$412 &lt;&gt; "Noble Form")*(ISBLANK(pokemon!$AJ$2:$AJ$412)), pokemon!$T$2:$T$412))</f>
        <v>11</v>
      </c>
      <c r="I137" cm="1">
        <f t="array" ref="I137">MAX(IF(($A137=pokemon!$AC$2:$AC$412)*(pokemon!$AB$2:$AB$412 &lt;&gt; "Noble Form")*(ISBLANK(pokemon!$AJ$2:$AJ$412)), pokemon!$T$2:$T$412))</f>
        <v>11</v>
      </c>
      <c r="J137">
        <f t="shared" si="5"/>
        <v>0</v>
      </c>
    </row>
    <row r="138" spans="1:10" x14ac:dyDescent="0.25">
      <c r="A138" t="s">
        <v>491</v>
      </c>
      <c r="B138" s="15" t="s">
        <v>14</v>
      </c>
      <c r="C138">
        <v>40</v>
      </c>
      <c r="D138">
        <f t="shared" si="9"/>
        <v>2</v>
      </c>
      <c r="F138" t="s">
        <v>727</v>
      </c>
      <c r="G138" cm="1">
        <f t="array" ref="G138">COUNT(IF(($A138=pokemon!$AC$2:$AC$412)*(pokemon!$AB$2:$AB$412 &lt;&gt; "Noble Form")*(ISBLANK(pokemon!$AJ$2:$AJ$412)), pokemon!$T$2:$T$412))</f>
        <v>2</v>
      </c>
      <c r="H138" cm="1">
        <f t="array" ref="H138">MIN(IF(($A138=pokemon!$AC$2:$AC$412)*(pokemon!$AB$2:$AB$412 &lt;&gt; "Noble Form")*(ISBLANK(pokemon!$AJ$2:$AJ$412)), pokemon!$T$2:$T$412))</f>
        <v>10</v>
      </c>
      <c r="I138" cm="1">
        <f t="array" ref="I138">MAX(IF(($A138=pokemon!$AC$2:$AC$412)*(pokemon!$AB$2:$AB$412 &lt;&gt; "Noble Form")*(ISBLANK(pokemon!$AJ$2:$AJ$412)), pokemon!$T$2:$T$412))</f>
        <v>11</v>
      </c>
      <c r="J138">
        <f t="shared" si="5"/>
        <v>1</v>
      </c>
    </row>
    <row r="139" spans="1:10" x14ac:dyDescent="0.25">
      <c r="A139" t="s">
        <v>638</v>
      </c>
      <c r="B139" s="15" t="s">
        <v>14</v>
      </c>
      <c r="C139">
        <v>65</v>
      </c>
      <c r="D139">
        <f t="shared" si="9"/>
        <v>3</v>
      </c>
      <c r="F139" t="s">
        <v>1256</v>
      </c>
      <c r="G139" cm="1">
        <f t="array" ref="G139">COUNT(IF(($A139=pokemon!$AC$2:$AC$412)*(pokemon!$AB$2:$AB$412 &lt;&gt; "Noble Form")*(ISBLANK(pokemon!$AJ$2:$AJ$412)), pokemon!$T$2:$T$412))</f>
        <v>1</v>
      </c>
      <c r="H139" cm="1">
        <f t="array" ref="H139">MIN(IF(($A139=pokemon!$AC$2:$AC$412)*(pokemon!$AB$2:$AB$412 &lt;&gt; "Noble Form")*(ISBLANK(pokemon!$AJ$2:$AJ$412)), pokemon!$T$2:$T$412))</f>
        <v>15</v>
      </c>
      <c r="I139" cm="1">
        <f t="array" ref="I139">MAX(IF(($A139=pokemon!$AC$2:$AC$412)*(pokemon!$AB$2:$AB$412 &lt;&gt; "Noble Form")*(ISBLANK(pokemon!$AJ$2:$AJ$412)), pokemon!$T$2:$T$412))</f>
        <v>15</v>
      </c>
      <c r="J139">
        <f t="shared" ref="J139:J205" si="10">I139-H139</f>
        <v>0</v>
      </c>
    </row>
    <row r="140" spans="1:10" x14ac:dyDescent="0.25">
      <c r="A140" t="s">
        <v>1372</v>
      </c>
      <c r="B140" s="15" t="s">
        <v>14</v>
      </c>
      <c r="C140">
        <v>60</v>
      </c>
      <c r="D140">
        <f t="shared" si="9"/>
        <v>3</v>
      </c>
      <c r="E140" s="1" t="s">
        <v>1450</v>
      </c>
      <c r="F140" t="s">
        <v>1425</v>
      </c>
      <c r="G140" cm="1">
        <f t="array" ref="G140">COUNT(IF(($A140=pokemon!$AC$2:$AC$412)*(pokemon!$AB$2:$AB$412 &lt;&gt; "Noble Form")*(ISBLANK(pokemon!$AJ$2:$AJ$412)), pokemon!$T$2:$T$412))</f>
        <v>1</v>
      </c>
      <c r="H140" cm="1">
        <f t="array" ref="H140">MIN(IF(($A140=pokemon!$AC$2:$AC$412)*(pokemon!$AB$2:$AB$412 &lt;&gt; "Noble Form")*(ISBLANK(pokemon!$AJ$2:$AJ$412)), pokemon!$T$2:$T$412))</f>
        <v>20</v>
      </c>
      <c r="I140" cm="1">
        <f t="array" ref="I140">MAX(IF(($A140=pokemon!$AC$2:$AC$412)*(pokemon!$AB$2:$AB$412 &lt;&gt; "Noble Form")*(ISBLANK(pokemon!$AJ$2:$AJ$412)), pokemon!$T$2:$T$412))</f>
        <v>20</v>
      </c>
      <c r="J140">
        <f t="shared" si="10"/>
        <v>0</v>
      </c>
    </row>
    <row r="141" spans="1:10" x14ac:dyDescent="0.25">
      <c r="A141" t="s">
        <v>629</v>
      </c>
      <c r="B141" s="15" t="s">
        <v>14</v>
      </c>
      <c r="C141">
        <v>65</v>
      </c>
      <c r="D141">
        <f t="shared" si="9"/>
        <v>3</v>
      </c>
      <c r="F141" t="s">
        <v>1097</v>
      </c>
      <c r="G141" cm="1">
        <f t="array" ref="G141">COUNT(IF(($A141=pokemon!$AC$2:$AC$412)*(pokemon!$AB$2:$AB$412 &lt;&gt; "Noble Form")*(ISBLANK(pokemon!$AJ$2:$AJ$412)), pokemon!$T$2:$T$412))</f>
        <v>1</v>
      </c>
      <c r="H141" cm="1">
        <f t="array" ref="H141">MIN(IF(($A141=pokemon!$AC$2:$AC$412)*(pokemon!$AB$2:$AB$412 &lt;&gt; "Noble Form")*(ISBLANK(pokemon!$AJ$2:$AJ$412)), pokemon!$T$2:$T$412))</f>
        <v>11</v>
      </c>
      <c r="I141" cm="1">
        <f t="array" ref="I141">MAX(IF(($A141=pokemon!$AC$2:$AC$412)*(pokemon!$AB$2:$AB$412 &lt;&gt; "Noble Form")*(ISBLANK(pokemon!$AJ$2:$AJ$412)), pokemon!$T$2:$T$412))</f>
        <v>11</v>
      </c>
      <c r="J141">
        <f t="shared" si="10"/>
        <v>0</v>
      </c>
    </row>
    <row r="142" spans="1:10" x14ac:dyDescent="0.25">
      <c r="A142" t="s">
        <v>472</v>
      </c>
      <c r="B142" s="15" t="s">
        <v>14</v>
      </c>
      <c r="C142">
        <v>80</v>
      </c>
      <c r="D142">
        <f t="shared" si="9"/>
        <v>4</v>
      </c>
      <c r="F142" t="s">
        <v>1257</v>
      </c>
      <c r="G142" cm="1">
        <f t="array" ref="G142">COUNT(IF(($A142=pokemon!$AC$2:$AC$412)*(pokemon!$AB$2:$AB$412 &lt;&gt; "Noble Form")*(ISBLANK(pokemon!$AJ$2:$AJ$412)), pokemon!$T$2:$T$412))</f>
        <v>1</v>
      </c>
      <c r="H142" cm="1">
        <f t="array" ref="H142">MIN(IF(($A142=pokemon!$AC$2:$AC$412)*(pokemon!$AB$2:$AB$412 &lt;&gt; "Noble Form")*(ISBLANK(pokemon!$AJ$2:$AJ$412)), pokemon!$T$2:$T$412))</f>
        <v>20</v>
      </c>
      <c r="I142" cm="1">
        <f t="array" ref="I142">MAX(IF(($A142=pokemon!$AC$2:$AC$412)*(pokemon!$AB$2:$AB$412 &lt;&gt; "Noble Form")*(ISBLANK(pokemon!$AJ$2:$AJ$412)), pokemon!$T$2:$T$412))</f>
        <v>20</v>
      </c>
      <c r="J142">
        <f t="shared" si="10"/>
        <v>0</v>
      </c>
    </row>
    <row r="143" spans="1:10" x14ac:dyDescent="0.25">
      <c r="A143" t="s">
        <v>490</v>
      </c>
      <c r="B143" s="15" t="s">
        <v>14</v>
      </c>
      <c r="C143">
        <v>80</v>
      </c>
      <c r="D143">
        <f t="shared" si="9"/>
        <v>4</v>
      </c>
      <c r="F143" t="s">
        <v>1256</v>
      </c>
      <c r="G143" cm="1">
        <f t="array" ref="G143">COUNT(IF(($A143=pokemon!$AC$2:$AC$412)*(pokemon!$AB$2:$AB$412 &lt;&gt; "Noble Form")*(ISBLANK(pokemon!$AJ$2:$AJ$412)), pokemon!$T$2:$T$412))</f>
        <v>1</v>
      </c>
      <c r="H143" cm="1">
        <f t="array" ref="H143">MIN(IF(($A143=pokemon!$AC$2:$AC$412)*(pokemon!$AB$2:$AB$412 &lt;&gt; "Noble Form")*(ISBLANK(pokemon!$AJ$2:$AJ$412)), pokemon!$T$2:$T$412))</f>
        <v>16</v>
      </c>
      <c r="I143" cm="1">
        <f t="array" ref="I143">MAX(IF(($A143=pokemon!$AC$2:$AC$412)*(pokemon!$AB$2:$AB$412 &lt;&gt; "Noble Form")*(ISBLANK(pokemon!$AJ$2:$AJ$412)), pokemon!$T$2:$T$412))</f>
        <v>16</v>
      </c>
      <c r="J143">
        <f t="shared" si="10"/>
        <v>0</v>
      </c>
    </row>
    <row r="144" spans="1:10" x14ac:dyDescent="0.25">
      <c r="A144" t="s">
        <v>599</v>
      </c>
      <c r="B144" s="15" t="s">
        <v>14</v>
      </c>
      <c r="C144">
        <v>75</v>
      </c>
      <c r="D144">
        <f t="shared" si="9"/>
        <v>4</v>
      </c>
      <c r="F144" t="s">
        <v>1256</v>
      </c>
      <c r="G144" cm="1">
        <f t="array" ref="G144">COUNT(IF(($A144=pokemon!$AC$2:$AC$412)*(pokemon!$AB$2:$AB$412 &lt;&gt; "Noble Form")*(ISBLANK(pokemon!$AJ$2:$AJ$412)), pokemon!$T$2:$T$412))</f>
        <v>2</v>
      </c>
      <c r="H144" cm="1">
        <f t="array" ref="H144">MIN(IF(($A144=pokemon!$AC$2:$AC$412)*(pokemon!$AB$2:$AB$412 &lt;&gt; "Noble Form")*(ISBLANK(pokemon!$AJ$2:$AJ$412)), pokemon!$T$2:$T$412))</f>
        <v>18</v>
      </c>
      <c r="I144" cm="1">
        <f t="array" ref="I144">MAX(IF(($A144=pokemon!$AC$2:$AC$412)*(pokemon!$AB$2:$AB$412 &lt;&gt; "Noble Form")*(ISBLANK(pokemon!$AJ$2:$AJ$412)), pokemon!$T$2:$T$412))</f>
        <v>18</v>
      </c>
      <c r="J144">
        <f t="shared" si="10"/>
        <v>0</v>
      </c>
    </row>
    <row r="145" spans="1:10" x14ac:dyDescent="0.25">
      <c r="A145" t="s">
        <v>1201</v>
      </c>
      <c r="B145" s="15" t="s">
        <v>14</v>
      </c>
      <c r="C145">
        <v>100</v>
      </c>
      <c r="D145">
        <f t="shared" si="9"/>
        <v>5</v>
      </c>
      <c r="F145" t="s">
        <v>639</v>
      </c>
      <c r="G145" cm="1">
        <f t="array" ref="G145">COUNT(IF(($A145=pokemon!$AC$2:$AC$412)*(pokemon!$AB$2:$AB$412 &lt;&gt; "Noble Form")*(ISBLANK(pokemon!$AJ$2:$AJ$412)), pokemon!$T$2:$T$412))</f>
        <v>1</v>
      </c>
      <c r="H145" cm="1">
        <f t="array" ref="H145">MIN(IF(($A145=pokemon!$AC$2:$AC$412)*(pokemon!$AB$2:$AB$412 &lt;&gt; "Noble Form")*(ISBLANK(pokemon!$AJ$2:$AJ$412)), pokemon!$T$2:$T$412))</f>
        <v>18</v>
      </c>
      <c r="I145" cm="1">
        <f t="array" ref="I145">MAX(IF(($A145=pokemon!$AC$2:$AC$412)*(pokemon!$AB$2:$AB$412 &lt;&gt; "Noble Form")*(ISBLANK(pokemon!$AJ$2:$AJ$412)), pokemon!$T$2:$T$412))</f>
        <v>18</v>
      </c>
      <c r="J145">
        <f t="shared" si="10"/>
        <v>0</v>
      </c>
    </row>
    <row r="146" spans="1:10" x14ac:dyDescent="0.25">
      <c r="A146" t="s">
        <v>1213</v>
      </c>
      <c r="B146" s="15" t="s">
        <v>14</v>
      </c>
      <c r="C146">
        <v>100</v>
      </c>
      <c r="D146">
        <f t="shared" si="9"/>
        <v>5</v>
      </c>
      <c r="F146" t="s">
        <v>1277</v>
      </c>
      <c r="G146" cm="1">
        <f t="array" ref="G146">COUNT(IF(($A146=pokemon!$AC$2:$AC$412)*(pokemon!$AB$2:$AB$412 &lt;&gt; "Noble Form")*(ISBLANK(pokemon!$AJ$2:$AJ$412)), pokemon!$T$2:$T$412))</f>
        <v>1</v>
      </c>
      <c r="H146" cm="1">
        <f t="array" ref="H146">MIN(IF(($A146=pokemon!$AC$2:$AC$412)*(pokemon!$AB$2:$AB$412 &lt;&gt; "Noble Form")*(ISBLANK(pokemon!$AJ$2:$AJ$412)), pokemon!$T$2:$T$412))</f>
        <v>20</v>
      </c>
      <c r="I146" cm="1">
        <f t="array" ref="I146">MAX(IF(($A146=pokemon!$AC$2:$AC$412)*(pokemon!$AB$2:$AB$412 &lt;&gt; "Noble Form")*(ISBLANK(pokemon!$AJ$2:$AJ$412)), pokemon!$T$2:$T$412))</f>
        <v>20</v>
      </c>
      <c r="J146">
        <f t="shared" si="10"/>
        <v>0</v>
      </c>
    </row>
    <row r="147" spans="1:10" ht="15.75" customHeight="1" x14ac:dyDescent="0.25">
      <c r="A147" t="s">
        <v>489</v>
      </c>
      <c r="B147" s="15" t="s">
        <v>14</v>
      </c>
      <c r="C147">
        <v>100</v>
      </c>
      <c r="D147">
        <f t="shared" si="9"/>
        <v>5</v>
      </c>
      <c r="F147" t="s">
        <v>1093</v>
      </c>
      <c r="G147" cm="1">
        <f t="array" ref="G147">COUNT(IF(($A147=pokemon!$AC$2:$AC$412)*(pokemon!$AB$2:$AB$412 &lt;&gt; "Noble Form")*(ISBLANK(pokemon!$AJ$2:$AJ$412)), pokemon!$T$2:$T$412))</f>
        <v>2</v>
      </c>
      <c r="H147" cm="1">
        <f t="array" ref="H147">MIN(IF(($A147=pokemon!$AC$2:$AC$412)*(pokemon!$AB$2:$AB$412 &lt;&gt; "Noble Form")*(ISBLANK(pokemon!$AJ$2:$AJ$412)), pokemon!$T$2:$T$412))</f>
        <v>18</v>
      </c>
      <c r="I147" cm="1">
        <f t="array" ref="I147">MAX(IF(($A147=pokemon!$AC$2:$AC$412)*(pokemon!$AB$2:$AB$412 &lt;&gt; "Noble Form")*(ISBLANK(pokemon!$AJ$2:$AJ$412)), pokemon!$T$2:$T$412))</f>
        <v>20</v>
      </c>
      <c r="J147">
        <f t="shared" si="10"/>
        <v>2</v>
      </c>
    </row>
    <row r="148" spans="1:10" ht="15.75" customHeight="1" x14ac:dyDescent="0.25">
      <c r="A148" t="s">
        <v>571</v>
      </c>
      <c r="B148" s="15" t="s">
        <v>14</v>
      </c>
      <c r="C148">
        <v>120</v>
      </c>
      <c r="D148">
        <f t="shared" si="9"/>
        <v>6</v>
      </c>
      <c r="F148" t="s">
        <v>1443</v>
      </c>
      <c r="G148" cm="1">
        <f t="array" ref="G148">COUNT(IF(($A148=pokemon!$AC$2:$AC$412)*(pokemon!$AB$2:$AB$412 &lt;&gt; "Noble Form")*(ISBLANK(pokemon!$AJ$2:$AJ$412)), pokemon!$T$2:$T$412))</f>
        <v>2</v>
      </c>
      <c r="H148" cm="1">
        <f t="array" ref="H148">MIN(IF(($A148=pokemon!$AC$2:$AC$412)*(pokemon!$AB$2:$AB$412 &lt;&gt; "Noble Form")*(ISBLANK(pokemon!$AJ$2:$AJ$412)), pokemon!$T$2:$T$412))</f>
        <v>18</v>
      </c>
      <c r="I148" cm="1">
        <f t="array" ref="I148">MAX(IF(($A148=pokemon!$AC$2:$AC$412)*(pokemon!$AB$2:$AB$412 &lt;&gt; "Noble Form")*(ISBLANK(pokemon!$AJ$2:$AJ$412)), pokemon!$T$2:$T$412))</f>
        <v>18</v>
      </c>
      <c r="J148">
        <f t="shared" si="10"/>
        <v>0</v>
      </c>
    </row>
    <row r="149" spans="1:10" ht="15.75" customHeight="1" x14ac:dyDescent="0.25">
      <c r="A149" t="s">
        <v>863</v>
      </c>
      <c r="B149" s="10" t="s">
        <v>8</v>
      </c>
      <c r="C149">
        <v>20</v>
      </c>
      <c r="D149">
        <f t="shared" si="9"/>
        <v>1</v>
      </c>
      <c r="F149" t="s">
        <v>864</v>
      </c>
      <c r="G149" cm="1">
        <f t="array" ref="G149">COUNT(IF(($A149=pokemon!$AC$2:$AC$412)*(pokemon!$AB$2:$AB$412 &lt;&gt; "Noble Form")*(ISBLANK(pokemon!$AJ$2:$AJ$412)), pokemon!$T$2:$T$412))</f>
        <v>1</v>
      </c>
      <c r="H149" cm="1">
        <f t="array" ref="H149">MIN(IF(($A149=pokemon!$AC$2:$AC$412)*(pokemon!$AB$2:$AB$412 &lt;&gt; "Noble Form")*(ISBLANK(pokemon!$AJ$2:$AJ$412)), pokemon!$T$2:$T$412))</f>
        <v>14</v>
      </c>
      <c r="I149" cm="1">
        <f t="array" ref="I149">MAX(IF(($A149=pokemon!$AC$2:$AC$412)*(pokemon!$AB$2:$AB$412 &lt;&gt; "Noble Form")*(ISBLANK(pokemon!$AJ$2:$AJ$412)), pokemon!$T$2:$T$412))</f>
        <v>14</v>
      </c>
      <c r="J149">
        <f t="shared" si="10"/>
        <v>0</v>
      </c>
    </row>
    <row r="150" spans="1:10" x14ac:dyDescent="0.25">
      <c r="A150" t="s">
        <v>524</v>
      </c>
      <c r="B150" s="10" t="s">
        <v>8</v>
      </c>
      <c r="C150">
        <v>20</v>
      </c>
      <c r="D150">
        <f t="shared" si="9"/>
        <v>1</v>
      </c>
      <c r="E150" s="1" t="s">
        <v>1438</v>
      </c>
      <c r="F150" t="s">
        <v>1442</v>
      </c>
      <c r="G150" cm="1">
        <f t="array" ref="G150">COUNT(IF(($A150=pokemon!$AC$2:$AC$412)*(pokemon!$AB$2:$AB$412 &lt;&gt; "Noble Form")*(ISBLANK(pokemon!$AJ$2:$AJ$412)), pokemon!$T$2:$T$412))</f>
        <v>1</v>
      </c>
      <c r="H150" cm="1">
        <f t="array" ref="H150">MIN(IF(($A150=pokemon!$AC$2:$AC$412)*(pokemon!$AB$2:$AB$412 &lt;&gt; "Noble Form")*(ISBLANK(pokemon!$AJ$2:$AJ$412)), pokemon!$T$2:$T$412))</f>
        <v>15</v>
      </c>
      <c r="I150" cm="1">
        <f t="array" ref="I150">MAX(IF(($A150=pokemon!$AC$2:$AC$412)*(pokemon!$AB$2:$AB$412 &lt;&gt; "Noble Form")*(ISBLANK(pokemon!$AJ$2:$AJ$412)), pokemon!$T$2:$T$412))</f>
        <v>15</v>
      </c>
      <c r="J150">
        <f t="shared" si="10"/>
        <v>0</v>
      </c>
    </row>
    <row r="151" spans="1:10" x14ac:dyDescent="0.25">
      <c r="A151" t="s">
        <v>545</v>
      </c>
      <c r="B151" s="10" t="s">
        <v>8</v>
      </c>
      <c r="C151">
        <v>20</v>
      </c>
      <c r="D151">
        <f t="shared" si="9"/>
        <v>1</v>
      </c>
      <c r="F151" t="s">
        <v>1208</v>
      </c>
      <c r="G151" cm="1">
        <f t="array" ref="G151">COUNT(IF(($A151=pokemon!$AC$2:$AC$412)*(pokemon!$AB$2:$AB$412 &lt;&gt; "Noble Form")*(ISBLANK(pokemon!$AJ$2:$AJ$412)), pokemon!$T$2:$T$412))</f>
        <v>2</v>
      </c>
      <c r="H151" cm="1">
        <f t="array" ref="H151">MIN(IF(($A151=pokemon!$AC$2:$AC$412)*(pokemon!$AB$2:$AB$412 &lt;&gt; "Noble Form")*(ISBLANK(pokemon!$AJ$2:$AJ$412)), pokemon!$T$2:$T$412))</f>
        <v>10</v>
      </c>
      <c r="I151" cm="1">
        <f t="array" ref="I151">MAX(IF(($A151=pokemon!$AC$2:$AC$412)*(pokemon!$AB$2:$AB$412 &lt;&gt; "Noble Form")*(ISBLANK(pokemon!$AJ$2:$AJ$412)), pokemon!$T$2:$T$412))</f>
        <v>13</v>
      </c>
      <c r="J151">
        <f t="shared" si="10"/>
        <v>3</v>
      </c>
    </row>
    <row r="152" spans="1:10" x14ac:dyDescent="0.25">
      <c r="A152" t="s">
        <v>552</v>
      </c>
      <c r="B152" s="10" t="s">
        <v>8</v>
      </c>
      <c r="C152">
        <v>20</v>
      </c>
      <c r="D152">
        <f t="shared" si="9"/>
        <v>1</v>
      </c>
      <c r="E152" s="1" t="s">
        <v>1436</v>
      </c>
      <c r="F152" t="s">
        <v>1426</v>
      </c>
      <c r="G152" cm="1">
        <f t="array" ref="G152">COUNT(IF(($A152=pokemon!$AC$2:$AC$412)*(pokemon!$AB$2:$AB$412 &lt;&gt; "Noble Form")*(ISBLANK(pokemon!$AJ$2:$AJ$412)), pokemon!$T$2:$T$412))</f>
        <v>3</v>
      </c>
      <c r="H152" cm="1">
        <f t="array" ref="H152">MIN(IF(($A152=pokemon!$AC$2:$AC$412)*(pokemon!$AB$2:$AB$412 &lt;&gt; "Noble Form")*(ISBLANK(pokemon!$AJ$2:$AJ$412)), pokemon!$T$2:$T$412))</f>
        <v>7</v>
      </c>
      <c r="I152" cm="1">
        <f t="array" ref="I152">MAX(IF(($A152=pokemon!$AC$2:$AC$412)*(pokemon!$AB$2:$AB$412 &lt;&gt; "Noble Form")*(ISBLANK(pokemon!$AJ$2:$AJ$412)), pokemon!$T$2:$T$412))</f>
        <v>8</v>
      </c>
      <c r="J152">
        <f t="shared" si="10"/>
        <v>1</v>
      </c>
    </row>
    <row r="153" spans="1:10" x14ac:dyDescent="0.25">
      <c r="A153" t="s">
        <v>736</v>
      </c>
      <c r="B153" s="10" t="s">
        <v>8</v>
      </c>
      <c r="C153">
        <v>40</v>
      </c>
      <c r="D153">
        <f t="shared" si="9"/>
        <v>2</v>
      </c>
      <c r="E153" s="1" t="s">
        <v>1436</v>
      </c>
      <c r="F153" t="s">
        <v>578</v>
      </c>
      <c r="G153" cm="1">
        <f t="array" ref="G153">COUNT(IF(($A153=pokemon!$AC$2:$AC$412)*(pokemon!$AB$2:$AB$412 &lt;&gt; "Noble Form")*(ISBLANK(pokemon!$AJ$2:$AJ$412)), pokemon!$T$2:$T$412))</f>
        <v>1</v>
      </c>
      <c r="H153" cm="1">
        <f t="array" ref="H153">MIN(IF(($A153=pokemon!$AC$2:$AC$412)*(pokemon!$AB$2:$AB$412 &lt;&gt; "Noble Form")*(ISBLANK(pokemon!$AJ$2:$AJ$412)), pokemon!$T$2:$T$412))</f>
        <v>11</v>
      </c>
      <c r="I153" cm="1">
        <f t="array" ref="I153">MAX(IF(($A153=pokemon!$AC$2:$AC$412)*(pokemon!$AB$2:$AB$412 &lt;&gt; "Noble Form")*(ISBLANK(pokemon!$AJ$2:$AJ$412)), pokemon!$T$2:$T$412))</f>
        <v>11</v>
      </c>
      <c r="J153">
        <f t="shared" si="10"/>
        <v>0</v>
      </c>
    </row>
    <row r="154" spans="1:10" x14ac:dyDescent="0.25">
      <c r="A154" t="s">
        <v>687</v>
      </c>
      <c r="B154" s="10" t="s">
        <v>8</v>
      </c>
      <c r="C154">
        <v>40</v>
      </c>
      <c r="D154">
        <f t="shared" si="9"/>
        <v>2</v>
      </c>
      <c r="F154" t="s">
        <v>828</v>
      </c>
      <c r="G154" cm="1">
        <f t="array" ref="G154">COUNT(IF(($A154=pokemon!$AC$2:$AC$412)*(pokemon!$AB$2:$AB$412 &lt;&gt; "Noble Form")*(ISBLANK(pokemon!$AJ$2:$AJ$412)), pokemon!$T$2:$T$412))</f>
        <v>1</v>
      </c>
      <c r="H154" cm="1">
        <f t="array" ref="H154">MIN(IF(($A154=pokemon!$AC$2:$AC$412)*(pokemon!$AB$2:$AB$412 &lt;&gt; "Noble Form")*(ISBLANK(pokemon!$AJ$2:$AJ$412)), pokemon!$T$2:$T$412))</f>
        <v>8</v>
      </c>
      <c r="I154" cm="1">
        <f t="array" ref="I154">MAX(IF(($A154=pokemon!$AC$2:$AC$412)*(pokemon!$AB$2:$AB$412 &lt;&gt; "Noble Form")*(ISBLANK(pokemon!$AJ$2:$AJ$412)), pokemon!$T$2:$T$412))</f>
        <v>8</v>
      </c>
      <c r="J154">
        <f t="shared" si="10"/>
        <v>0</v>
      </c>
    </row>
    <row r="155" spans="1:10" x14ac:dyDescent="0.25">
      <c r="A155" t="s">
        <v>859</v>
      </c>
      <c r="B155" s="10" t="s">
        <v>8</v>
      </c>
      <c r="C155">
        <v>40</v>
      </c>
      <c r="D155">
        <f t="shared" si="9"/>
        <v>2</v>
      </c>
      <c r="F155" t="s">
        <v>868</v>
      </c>
      <c r="G155" cm="1">
        <f t="array" ref="G155">COUNT(IF(($A155=pokemon!$AC$2:$AC$412)*(pokemon!$AB$2:$AB$412 &lt;&gt; "Noble Form")*(ISBLANK(pokemon!$AJ$2:$AJ$412)), pokemon!$T$2:$T$412))</f>
        <v>1</v>
      </c>
      <c r="H155" cm="1">
        <f t="array" ref="H155">MIN(IF(($A155=pokemon!$AC$2:$AC$412)*(pokemon!$AB$2:$AB$412 &lt;&gt; "Noble Form")*(ISBLANK(pokemon!$AJ$2:$AJ$412)), pokemon!$T$2:$T$412))</f>
        <v>9</v>
      </c>
      <c r="I155" cm="1">
        <f t="array" ref="I155">MAX(IF(($A155=pokemon!$AC$2:$AC$412)*(pokemon!$AB$2:$AB$412 &lt;&gt; "Noble Form")*(ISBLANK(pokemon!$AJ$2:$AJ$412)), pokemon!$T$2:$T$412))</f>
        <v>9</v>
      </c>
      <c r="J155">
        <f t="shared" si="10"/>
        <v>0</v>
      </c>
    </row>
    <row r="156" spans="1:10" x14ac:dyDescent="0.25">
      <c r="A156" t="s">
        <v>466</v>
      </c>
      <c r="B156" s="10" t="s">
        <v>8</v>
      </c>
      <c r="C156">
        <v>35</v>
      </c>
      <c r="D156">
        <f t="shared" si="9"/>
        <v>2</v>
      </c>
      <c r="F156" t="s">
        <v>761</v>
      </c>
      <c r="G156" cm="1">
        <f t="array" ref="G156">COUNT(IF(($A156=pokemon!$AC$2:$AC$412)*(pokemon!$AB$2:$AB$412 &lt;&gt; "Noble Form")*(ISBLANK(pokemon!$AJ$2:$AJ$412)), pokemon!$T$2:$T$412))</f>
        <v>1</v>
      </c>
      <c r="H156" cm="1">
        <f t="array" ref="H156">MIN(IF(($A156=pokemon!$AC$2:$AC$412)*(pokemon!$AB$2:$AB$412 &lt;&gt; "Noble Form")*(ISBLANK(pokemon!$AJ$2:$AJ$412)), pokemon!$T$2:$T$412))</f>
        <v>13</v>
      </c>
      <c r="I156" cm="1">
        <f t="array" ref="I156">MAX(IF(($A156=pokemon!$AC$2:$AC$412)*(pokemon!$AB$2:$AB$412 &lt;&gt; "Noble Form")*(ISBLANK(pokemon!$AJ$2:$AJ$412)), pokemon!$T$2:$T$412))</f>
        <v>13</v>
      </c>
      <c r="J156">
        <f t="shared" si="10"/>
        <v>0</v>
      </c>
    </row>
    <row r="157" spans="1:10" x14ac:dyDescent="0.25">
      <c r="A157" t="s">
        <v>764</v>
      </c>
      <c r="B157" s="10" t="s">
        <v>8</v>
      </c>
      <c r="C157">
        <v>40</v>
      </c>
      <c r="D157">
        <f t="shared" si="9"/>
        <v>2</v>
      </c>
      <c r="E157" s="1" t="s">
        <v>1450</v>
      </c>
      <c r="F157" t="s">
        <v>1421</v>
      </c>
      <c r="G157" cm="1">
        <f t="array" ref="G157">COUNT(IF(($A157=pokemon!$AC$2:$AC$412)*(pokemon!$AB$2:$AB$412 &lt;&gt; "Noble Form")*(ISBLANK(pokemon!$AJ$2:$AJ$412)), pokemon!$T$2:$T$412))</f>
        <v>1</v>
      </c>
      <c r="H157" cm="1">
        <f t="array" ref="H157">MIN(IF(($A157=pokemon!$AC$2:$AC$412)*(pokemon!$AB$2:$AB$412 &lt;&gt; "Noble Form")*(ISBLANK(pokemon!$AJ$2:$AJ$412)), pokemon!$T$2:$T$412))</f>
        <v>12</v>
      </c>
      <c r="I157" cm="1">
        <f t="array" ref="I157">MAX(IF(($A157=pokemon!$AC$2:$AC$412)*(pokemon!$AB$2:$AB$412 &lt;&gt; "Noble Form")*(ISBLANK(pokemon!$AJ$2:$AJ$412)), pokemon!$T$2:$T$412))</f>
        <v>12</v>
      </c>
      <c r="J157">
        <f t="shared" si="10"/>
        <v>0</v>
      </c>
    </row>
    <row r="158" spans="1:10" x14ac:dyDescent="0.25">
      <c r="A158" t="s">
        <v>511</v>
      </c>
      <c r="B158" s="10" t="s">
        <v>8</v>
      </c>
      <c r="C158">
        <v>40</v>
      </c>
      <c r="D158">
        <f t="shared" si="9"/>
        <v>2</v>
      </c>
      <c r="F158" t="s">
        <v>1097</v>
      </c>
      <c r="G158" cm="1">
        <f t="array" ref="G158">COUNT(IF(($A158=pokemon!$AC$2:$AC$412)*(pokemon!$AB$2:$AB$412 &lt;&gt; "Noble Form")*(ISBLANK(pokemon!$AJ$2:$AJ$412)), pokemon!$T$2:$T$412))</f>
        <v>3</v>
      </c>
      <c r="H158" cm="1">
        <f t="array" ref="H158">MIN(IF(($A158=pokemon!$AC$2:$AC$412)*(pokemon!$AB$2:$AB$412 &lt;&gt; "Noble Form")*(ISBLANK(pokemon!$AJ$2:$AJ$412)), pokemon!$T$2:$T$412))</f>
        <v>8</v>
      </c>
      <c r="I158" cm="1">
        <f t="array" ref="I158">MAX(IF(($A158=pokemon!$AC$2:$AC$412)*(pokemon!$AB$2:$AB$412 &lt;&gt; "Noble Form")*(ISBLANK(pokemon!$AJ$2:$AJ$412)), pokemon!$T$2:$T$412))</f>
        <v>10</v>
      </c>
      <c r="J158">
        <f t="shared" si="10"/>
        <v>2</v>
      </c>
    </row>
    <row r="159" spans="1:10" x14ac:dyDescent="0.25">
      <c r="A159" t="s">
        <v>874</v>
      </c>
      <c r="B159" s="10" t="s">
        <v>8</v>
      </c>
      <c r="C159">
        <v>70</v>
      </c>
      <c r="D159">
        <f t="shared" si="9"/>
        <v>3</v>
      </c>
      <c r="E159" s="1" t="s">
        <v>1436</v>
      </c>
      <c r="F159" t="s">
        <v>578</v>
      </c>
      <c r="G159" cm="1">
        <f t="array" ref="G159">COUNT(IF(($A159=pokemon!$AC$2:$AC$412)*(pokemon!$AB$2:$AB$412 &lt;&gt; "Noble Form")*(ISBLANK(pokemon!$AJ$2:$AJ$412)), pokemon!$T$2:$T$412))</f>
        <v>1</v>
      </c>
      <c r="H159" cm="1">
        <f t="array" ref="H159">MIN(IF(($A159=pokemon!$AC$2:$AC$412)*(pokemon!$AB$2:$AB$412 &lt;&gt; "Noble Form")*(ISBLANK(pokemon!$AJ$2:$AJ$412)), pokemon!$T$2:$T$412))</f>
        <v>18</v>
      </c>
      <c r="I159" cm="1">
        <f t="array" ref="I159">MAX(IF(($A159=pokemon!$AC$2:$AC$412)*(pokemon!$AB$2:$AB$412 &lt;&gt; "Noble Form")*(ISBLANK(pokemon!$AJ$2:$AJ$412)), pokemon!$T$2:$T$412))</f>
        <v>18</v>
      </c>
      <c r="J159">
        <f t="shared" si="10"/>
        <v>0</v>
      </c>
    </row>
    <row r="160" spans="1:10" x14ac:dyDescent="0.25">
      <c r="A160" t="s">
        <v>519</v>
      </c>
      <c r="B160" s="10" t="s">
        <v>8</v>
      </c>
      <c r="C160">
        <v>60</v>
      </c>
      <c r="D160">
        <f t="shared" si="9"/>
        <v>3</v>
      </c>
      <c r="F160" t="s">
        <v>1086</v>
      </c>
      <c r="G160" cm="1">
        <f t="array" ref="G160">COUNT(IF(($A160=pokemon!$AC$2:$AC$412)*(pokemon!$AB$2:$AB$412 &lt;&gt; "Noble Form")*(ISBLANK(pokemon!$AJ$2:$AJ$412)), pokemon!$T$2:$T$412))</f>
        <v>1</v>
      </c>
      <c r="H160" cm="1">
        <f t="array" ref="H160">MIN(IF(($A160=pokemon!$AC$2:$AC$412)*(pokemon!$AB$2:$AB$412 &lt;&gt; "Noble Form")*(ISBLANK(pokemon!$AJ$2:$AJ$412)), pokemon!$T$2:$T$412))</f>
        <v>16</v>
      </c>
      <c r="I160" cm="1">
        <f t="array" ref="I160">MAX(IF(($A160=pokemon!$AC$2:$AC$412)*(pokemon!$AB$2:$AB$412 &lt;&gt; "Noble Form")*(ISBLANK(pokemon!$AJ$2:$AJ$412)), pokemon!$T$2:$T$412))</f>
        <v>16</v>
      </c>
      <c r="J160">
        <f t="shared" si="10"/>
        <v>0</v>
      </c>
    </row>
    <row r="161" spans="1:10" x14ac:dyDescent="0.25">
      <c r="A161" t="s">
        <v>586</v>
      </c>
      <c r="B161" s="10" t="s">
        <v>8</v>
      </c>
      <c r="C161">
        <v>70</v>
      </c>
      <c r="D161">
        <f t="shared" si="9"/>
        <v>3</v>
      </c>
      <c r="F161" t="s">
        <v>1252</v>
      </c>
      <c r="G161" cm="1">
        <f t="array" ref="G161">COUNT(IF(($A161=pokemon!$AC$2:$AC$412)*(pokemon!$AB$2:$AB$412 &lt;&gt; "Noble Form")*(ISBLANK(pokemon!$AJ$2:$AJ$412)), pokemon!$T$2:$T$412))</f>
        <v>3</v>
      </c>
      <c r="H161" cm="1">
        <f t="array" ref="H161">MIN(IF(($A161=pokemon!$AC$2:$AC$412)*(pokemon!$AB$2:$AB$412 &lt;&gt; "Noble Form")*(ISBLANK(pokemon!$AJ$2:$AJ$412)), pokemon!$T$2:$T$412))</f>
        <v>12</v>
      </c>
      <c r="I161" cm="1">
        <f t="array" ref="I161">MAX(IF(($A161=pokemon!$AC$2:$AC$412)*(pokemon!$AB$2:$AB$412 &lt;&gt; "Noble Form")*(ISBLANK(pokemon!$AJ$2:$AJ$412)), pokemon!$T$2:$T$412))</f>
        <v>14</v>
      </c>
      <c r="J161">
        <f t="shared" si="10"/>
        <v>2</v>
      </c>
    </row>
    <row r="162" spans="1:10" x14ac:dyDescent="0.25">
      <c r="A162" t="s">
        <v>1248</v>
      </c>
      <c r="B162" s="10" t="s">
        <v>8</v>
      </c>
      <c r="C162">
        <v>60</v>
      </c>
      <c r="D162">
        <f t="shared" si="9"/>
        <v>3</v>
      </c>
      <c r="F162" t="s">
        <v>578</v>
      </c>
      <c r="G162" cm="1">
        <f t="array" ref="G162">COUNT(IF(($A162=pokemon!$AC$2:$AC$412)*(pokemon!$AB$2:$AB$412 &lt;&gt; "Noble Form")*(ISBLANK(pokemon!$AJ$2:$AJ$412)), pokemon!$T$2:$T$412))</f>
        <v>1</v>
      </c>
      <c r="H162" cm="1">
        <f t="array" ref="H162">MIN(IF(($A162=pokemon!$AC$2:$AC$412)*(pokemon!$AB$2:$AB$412 &lt;&gt; "Noble Form")*(ISBLANK(pokemon!$AJ$2:$AJ$412)), pokemon!$T$2:$T$412))</f>
        <v>14</v>
      </c>
      <c r="I162" cm="1">
        <f t="array" ref="I162">MAX(IF(($A162=pokemon!$AC$2:$AC$412)*(pokemon!$AB$2:$AB$412 &lt;&gt; "Noble Form")*(ISBLANK(pokemon!$AJ$2:$AJ$412)), pokemon!$T$2:$T$412))</f>
        <v>14</v>
      </c>
      <c r="J162">
        <f t="shared" si="10"/>
        <v>0</v>
      </c>
    </row>
    <row r="163" spans="1:10" x14ac:dyDescent="0.25">
      <c r="A163" t="s">
        <v>1108</v>
      </c>
      <c r="B163" s="10" t="s">
        <v>8</v>
      </c>
      <c r="C163">
        <v>60</v>
      </c>
      <c r="D163">
        <f t="shared" si="9"/>
        <v>3</v>
      </c>
      <c r="F163" t="s">
        <v>1113</v>
      </c>
      <c r="G163" cm="1">
        <f t="array" ref="G163">COUNT(IF(($A163=pokemon!$AC$2:$AC$412)*(pokemon!$AB$2:$AB$412 &lt;&gt; "Noble Form")*(ISBLANK(pokemon!$AJ$2:$AJ$412)), pokemon!$T$2:$T$412))</f>
        <v>1</v>
      </c>
      <c r="H163" cm="1">
        <f t="array" ref="H163">MIN(IF(($A163=pokemon!$AC$2:$AC$412)*(pokemon!$AB$2:$AB$412 &lt;&gt; "Noble Form")*(ISBLANK(pokemon!$AJ$2:$AJ$412)), pokemon!$T$2:$T$412))</f>
        <v>13</v>
      </c>
      <c r="I163" cm="1">
        <f t="array" ref="I163">MAX(IF(($A163=pokemon!$AC$2:$AC$412)*(pokemon!$AB$2:$AB$412 &lt;&gt; "Noble Form")*(ISBLANK(pokemon!$AJ$2:$AJ$412)), pokemon!$T$2:$T$412))</f>
        <v>13</v>
      </c>
      <c r="J163">
        <f t="shared" si="10"/>
        <v>0</v>
      </c>
    </row>
    <row r="164" spans="1:10" x14ac:dyDescent="0.25">
      <c r="A164" t="s">
        <v>765</v>
      </c>
      <c r="B164" s="10" t="s">
        <v>8</v>
      </c>
      <c r="C164">
        <v>60</v>
      </c>
      <c r="D164">
        <f t="shared" si="9"/>
        <v>3</v>
      </c>
      <c r="F164" t="s">
        <v>1002</v>
      </c>
      <c r="G164" cm="1">
        <f t="array" ref="G164">COUNT(IF(($A164=pokemon!$AC$2:$AC$412)*(pokemon!$AB$2:$AB$412 &lt;&gt; "Noble Form")*(ISBLANK(pokemon!$AJ$2:$AJ$412)), pokemon!$T$2:$T$412))</f>
        <v>1</v>
      </c>
      <c r="H164" cm="1">
        <f t="array" ref="H164">MIN(IF(($A164=pokemon!$AC$2:$AC$412)*(pokemon!$AB$2:$AB$412 &lt;&gt; "Noble Form")*(ISBLANK(pokemon!$AJ$2:$AJ$412)), pokemon!$T$2:$T$412))</f>
        <v>16</v>
      </c>
      <c r="I164" cm="1">
        <f t="array" ref="I164">MAX(IF(($A164=pokemon!$AC$2:$AC$412)*(pokemon!$AB$2:$AB$412 &lt;&gt; "Noble Form")*(ISBLANK(pokemon!$AJ$2:$AJ$412)), pokemon!$T$2:$T$412))</f>
        <v>16</v>
      </c>
      <c r="J164">
        <f t="shared" si="10"/>
        <v>0</v>
      </c>
    </row>
    <row r="165" spans="1:10" x14ac:dyDescent="0.25">
      <c r="A165" t="s">
        <v>532</v>
      </c>
      <c r="B165" s="10" t="s">
        <v>8</v>
      </c>
      <c r="C165">
        <v>75</v>
      </c>
      <c r="D165">
        <f t="shared" si="9"/>
        <v>4</v>
      </c>
      <c r="F165" t="s">
        <v>577</v>
      </c>
      <c r="G165" cm="1">
        <f t="array" ref="G165">COUNT(IF(($A165=pokemon!$AC$2:$AC$412)*(pokemon!$AB$2:$AB$412 &lt;&gt; "Noble Form")*(ISBLANK(pokemon!$AJ$2:$AJ$412)), pokemon!$T$2:$T$412))</f>
        <v>2</v>
      </c>
      <c r="H165" cm="1">
        <f t="array" ref="H165">MIN(IF(($A165=pokemon!$AC$2:$AC$412)*(pokemon!$AB$2:$AB$412 &lt;&gt; "Noble Form")*(ISBLANK(pokemon!$AJ$2:$AJ$412)), pokemon!$T$2:$T$412))</f>
        <v>16</v>
      </c>
      <c r="I165" cm="1">
        <f t="array" ref="I165">MAX(IF(($A165=pokemon!$AC$2:$AC$412)*(pokemon!$AB$2:$AB$412 &lt;&gt; "Noble Form")*(ISBLANK(pokemon!$AJ$2:$AJ$412)), pokemon!$T$2:$T$412))</f>
        <v>16</v>
      </c>
      <c r="J165">
        <f t="shared" si="10"/>
        <v>0</v>
      </c>
    </row>
    <row r="166" spans="1:10" x14ac:dyDescent="0.25">
      <c r="A166" t="s">
        <v>512</v>
      </c>
      <c r="B166" s="10" t="s">
        <v>8</v>
      </c>
      <c r="C166">
        <v>90</v>
      </c>
      <c r="D166">
        <f t="shared" si="9"/>
        <v>4</v>
      </c>
      <c r="F166" t="s">
        <v>878</v>
      </c>
      <c r="G166" cm="1">
        <f t="array" ref="G166">COUNT(IF(($A166=pokemon!$AC$2:$AC$412)*(pokemon!$AB$2:$AB$412 &lt;&gt; "Noble Form")*(ISBLANK(pokemon!$AJ$2:$AJ$412)), pokemon!$T$2:$T$412))</f>
        <v>1</v>
      </c>
      <c r="H166" cm="1">
        <f t="array" ref="H166">MIN(IF(($A166=pokemon!$AC$2:$AC$412)*(pokemon!$AB$2:$AB$412 &lt;&gt; "Noble Form")*(ISBLANK(pokemon!$AJ$2:$AJ$412)), pokemon!$T$2:$T$412))</f>
        <v>15</v>
      </c>
      <c r="I166" cm="1">
        <f t="array" ref="I166">MAX(IF(($A166=pokemon!$AC$2:$AC$412)*(pokemon!$AB$2:$AB$412 &lt;&gt; "Noble Form")*(ISBLANK(pokemon!$AJ$2:$AJ$412)), pokemon!$T$2:$T$412))</f>
        <v>15</v>
      </c>
      <c r="J166">
        <f t="shared" si="10"/>
        <v>0</v>
      </c>
    </row>
    <row r="167" spans="1:10" x14ac:dyDescent="0.25">
      <c r="A167" t="s">
        <v>613</v>
      </c>
      <c r="B167" s="10" t="s">
        <v>8</v>
      </c>
      <c r="C167">
        <v>90</v>
      </c>
      <c r="D167">
        <f t="shared" si="9"/>
        <v>4</v>
      </c>
      <c r="E167" s="1" t="s">
        <v>1438</v>
      </c>
      <c r="F167" t="s">
        <v>1440</v>
      </c>
      <c r="G167" cm="1">
        <f t="array" ref="G167">COUNT(IF(($A167=pokemon!$AC$2:$AC$412)*(pokemon!$AB$2:$AB$412 &lt;&gt; "Noble Form")*(ISBLANK(pokemon!$AJ$2:$AJ$412)), pokemon!$T$2:$T$412))</f>
        <v>1</v>
      </c>
      <c r="H167" cm="1">
        <f t="array" ref="H167">MIN(IF(($A167=pokemon!$AC$2:$AC$412)*(pokemon!$AB$2:$AB$412 &lt;&gt; "Noble Form")*(ISBLANK(pokemon!$AJ$2:$AJ$412)), pokemon!$T$2:$T$412))</f>
        <v>16</v>
      </c>
      <c r="I167" cm="1">
        <f t="array" ref="I167">MAX(IF(($A167=pokemon!$AC$2:$AC$412)*(pokemon!$AB$2:$AB$412 &lt;&gt; "Noble Form")*(ISBLANK(pokemon!$AJ$2:$AJ$412)), pokemon!$T$2:$T$412))</f>
        <v>16</v>
      </c>
      <c r="J167">
        <f t="shared" si="10"/>
        <v>0</v>
      </c>
    </row>
    <row r="168" spans="1:10" x14ac:dyDescent="0.25">
      <c r="A168" t="s">
        <v>527</v>
      </c>
      <c r="B168" s="10" t="s">
        <v>8</v>
      </c>
      <c r="C168">
        <v>85</v>
      </c>
      <c r="D168">
        <f t="shared" si="9"/>
        <v>4</v>
      </c>
      <c r="F168" t="s">
        <v>1252</v>
      </c>
      <c r="G168" cm="1">
        <f t="array" ref="G168">COUNT(IF(($A168=pokemon!$AC$2:$AC$412)*(pokemon!$AB$2:$AB$412 &lt;&gt; "Noble Form")*(ISBLANK(pokemon!$AJ$2:$AJ$412)), pokemon!$T$2:$T$412))</f>
        <v>1</v>
      </c>
      <c r="H168" cm="1">
        <f t="array" ref="H168">MIN(IF(($A168=pokemon!$AC$2:$AC$412)*(pokemon!$AB$2:$AB$412 &lt;&gt; "Noble Form")*(ISBLANK(pokemon!$AJ$2:$AJ$412)), pokemon!$T$2:$T$412))</f>
        <v>19</v>
      </c>
      <c r="I168" cm="1">
        <f t="array" ref="I168">MAX(IF(($A168=pokemon!$AC$2:$AC$412)*(pokemon!$AB$2:$AB$412 &lt;&gt; "Noble Form")*(ISBLANK(pokemon!$AJ$2:$AJ$412)), pokemon!$T$2:$T$412))</f>
        <v>19</v>
      </c>
      <c r="J168">
        <f t="shared" si="10"/>
        <v>0</v>
      </c>
    </row>
    <row r="169" spans="1:10" x14ac:dyDescent="0.25">
      <c r="A169" t="s">
        <v>533</v>
      </c>
      <c r="B169" s="10" t="s">
        <v>8</v>
      </c>
      <c r="C169">
        <v>80</v>
      </c>
      <c r="D169">
        <f t="shared" si="9"/>
        <v>4</v>
      </c>
      <c r="F169" t="s">
        <v>1258</v>
      </c>
      <c r="G169" cm="1">
        <f t="array" ref="G169">COUNT(IF(($A169=pokemon!$AC$2:$AC$412)*(pokemon!$AB$2:$AB$412 &lt;&gt; "Noble Form")*(ISBLANK(pokemon!$AJ$2:$AJ$412)), pokemon!$T$2:$T$412))</f>
        <v>1</v>
      </c>
      <c r="H169" cm="1">
        <f t="array" ref="H169">MIN(IF(($A169=pokemon!$AC$2:$AC$412)*(pokemon!$AB$2:$AB$412 &lt;&gt; "Noble Form")*(ISBLANK(pokemon!$AJ$2:$AJ$412)), pokemon!$T$2:$T$412))</f>
        <v>16</v>
      </c>
      <c r="I169" cm="1">
        <f t="array" ref="I169">MAX(IF(($A169=pokemon!$AC$2:$AC$412)*(pokemon!$AB$2:$AB$412 &lt;&gt; "Noble Form")*(ISBLANK(pokemon!$AJ$2:$AJ$412)), pokemon!$T$2:$T$412))</f>
        <v>16</v>
      </c>
      <c r="J169">
        <f t="shared" si="10"/>
        <v>0</v>
      </c>
    </row>
    <row r="170" spans="1:10" x14ac:dyDescent="0.25">
      <c r="A170" t="s">
        <v>1374</v>
      </c>
      <c r="B170" s="10" t="s">
        <v>8</v>
      </c>
      <c r="C170">
        <v>40</v>
      </c>
      <c r="D170">
        <f t="shared" si="9"/>
        <v>2</v>
      </c>
      <c r="E170" s="1" t="s">
        <v>1450</v>
      </c>
      <c r="F170" t="s">
        <v>1427</v>
      </c>
      <c r="G170" cm="1">
        <f t="array" ref="G170">COUNT(IF(($A170=pokemon!$AC$2:$AC$412)*(pokemon!$AB$2:$AB$412 &lt;&gt; "Noble Form")*(ISBLANK(pokemon!$AJ$2:$AJ$412)), pokemon!$T$2:$T$412))</f>
        <v>1</v>
      </c>
      <c r="H170" cm="1">
        <f t="array" ref="H170">MIN(IF(($A170=pokemon!$AC$2:$AC$412)*(pokemon!$AB$2:$AB$412 &lt;&gt; "Noble Form")*(ISBLANK(pokemon!$AJ$2:$AJ$412)), pokemon!$T$2:$T$412))</f>
        <v>20</v>
      </c>
      <c r="I170" cm="1">
        <f t="array" ref="I170">MAX(IF(($A170=pokemon!$AC$2:$AC$412)*(pokemon!$AB$2:$AB$412 &lt;&gt; "Noble Form")*(ISBLANK(pokemon!$AJ$2:$AJ$412)), pokemon!$T$2:$T$412))</f>
        <v>20</v>
      </c>
      <c r="J170">
        <f t="shared" si="10"/>
        <v>0</v>
      </c>
    </row>
    <row r="171" spans="1:10" x14ac:dyDescent="0.25">
      <c r="A171" t="s">
        <v>584</v>
      </c>
      <c r="B171" s="10" t="s">
        <v>8</v>
      </c>
      <c r="C171">
        <v>100</v>
      </c>
      <c r="D171">
        <f t="shared" si="9"/>
        <v>5</v>
      </c>
      <c r="F171" t="s">
        <v>877</v>
      </c>
      <c r="G171" cm="1">
        <f t="array" ref="G171">COUNT(IF(($A171=pokemon!$AC$2:$AC$412)*(pokemon!$AB$2:$AB$412 &lt;&gt; "Noble Form")*(ISBLANK(pokemon!$AJ$2:$AJ$412)), pokemon!$T$2:$T$412))</f>
        <v>2</v>
      </c>
      <c r="H171" cm="1">
        <f t="array" ref="H171">MIN(IF(($A171=pokemon!$AC$2:$AC$412)*(pokemon!$AB$2:$AB$412 &lt;&gt; "Noble Form")*(ISBLANK(pokemon!$AJ$2:$AJ$412)), pokemon!$T$2:$T$412))</f>
        <v>17</v>
      </c>
      <c r="I171" cm="1">
        <f t="array" ref="I171">MAX(IF(($A171=pokemon!$AC$2:$AC$412)*(pokemon!$AB$2:$AB$412 &lt;&gt; "Noble Form")*(ISBLANK(pokemon!$AJ$2:$AJ$412)), pokemon!$T$2:$T$412))</f>
        <v>20</v>
      </c>
      <c r="J171">
        <f t="shared" si="10"/>
        <v>3</v>
      </c>
    </row>
    <row r="172" spans="1:10" x14ac:dyDescent="0.25">
      <c r="A172" t="s">
        <v>568</v>
      </c>
      <c r="B172" s="10" t="s">
        <v>8</v>
      </c>
      <c r="C172">
        <v>100</v>
      </c>
      <c r="D172">
        <f t="shared" si="9"/>
        <v>5</v>
      </c>
      <c r="F172" t="s">
        <v>1212</v>
      </c>
      <c r="G172" cm="1">
        <f t="array" ref="G172">COUNT(IF(($A172=pokemon!$AC$2:$AC$412)*(pokemon!$AB$2:$AB$412 &lt;&gt; "Noble Form")*(ISBLANK(pokemon!$AJ$2:$AJ$412)), pokemon!$T$2:$T$412))</f>
        <v>1</v>
      </c>
      <c r="H172" cm="1">
        <f t="array" ref="H172">MIN(IF(($A172=pokemon!$AC$2:$AC$412)*(pokemon!$AB$2:$AB$412 &lt;&gt; "Noble Form")*(ISBLANK(pokemon!$AJ$2:$AJ$412)), pokemon!$T$2:$T$412))</f>
        <v>17</v>
      </c>
      <c r="I172" cm="1">
        <f t="array" ref="I172">MAX(IF(($A172=pokemon!$AC$2:$AC$412)*(pokemon!$AB$2:$AB$412 &lt;&gt; "Noble Form")*(ISBLANK(pokemon!$AJ$2:$AJ$412)), pokemon!$T$2:$T$412))</f>
        <v>17</v>
      </c>
      <c r="J172">
        <f t="shared" si="10"/>
        <v>0</v>
      </c>
    </row>
    <row r="173" spans="1:10" x14ac:dyDescent="0.25">
      <c r="A173" t="s">
        <v>518</v>
      </c>
      <c r="B173" s="10" t="s">
        <v>8</v>
      </c>
      <c r="C173">
        <v>160</v>
      </c>
      <c r="D173">
        <f t="shared" si="9"/>
        <v>8</v>
      </c>
      <c r="E173" s="1" t="s">
        <v>1438</v>
      </c>
      <c r="F173" t="s">
        <v>1476</v>
      </c>
      <c r="G173" cm="1">
        <f t="array" ref="G173">COUNT(IF(($A173=pokemon!$AC$2:$AC$412)*(pokemon!$AB$2:$AB$412 &lt;&gt; "Noble Form")*(ISBLANK(pokemon!$AJ$2:$AJ$412)), pokemon!$T$2:$T$412))</f>
        <v>4</v>
      </c>
      <c r="H173" cm="1">
        <f t="array" ref="H173">MIN(IF(($A173=pokemon!$AC$2:$AC$412)*(pokemon!$AB$2:$AB$412 &lt;&gt; "Noble Form")*(ISBLANK(pokemon!$AJ$2:$AJ$412)), pokemon!$T$2:$T$412))</f>
        <v>17</v>
      </c>
      <c r="I173" cm="1">
        <f t="array" ref="I173">MAX(IF(($A173=pokemon!$AC$2:$AC$412)*(pokemon!$AB$2:$AB$412 &lt;&gt; "Noble Form")*(ISBLANK(pokemon!$AJ$2:$AJ$412)), pokemon!$T$2:$T$412))</f>
        <v>18</v>
      </c>
      <c r="J173">
        <f t="shared" si="10"/>
        <v>1</v>
      </c>
    </row>
    <row r="174" spans="1:10" x14ac:dyDescent="0.25">
      <c r="A174" t="s">
        <v>1083</v>
      </c>
      <c r="B174" s="10" t="s">
        <v>8</v>
      </c>
      <c r="C174">
        <v>120</v>
      </c>
      <c r="D174">
        <f t="shared" si="9"/>
        <v>6</v>
      </c>
      <c r="E174" s="1" t="s">
        <v>1438</v>
      </c>
      <c r="F174" t="s">
        <v>1441</v>
      </c>
      <c r="G174" cm="1">
        <f t="array" ref="G174">COUNT(IF(($A174=pokemon!$AC$2:$AC$412)*(pokemon!$AB$2:$AB$412 &lt;&gt; "Noble Form")*(ISBLANK(pokemon!$AJ$2:$AJ$412)), pokemon!$T$2:$T$412))</f>
        <v>1</v>
      </c>
      <c r="H174" cm="1">
        <f t="array" ref="H174">MIN(IF(($A174=pokemon!$AC$2:$AC$412)*(pokemon!$AB$2:$AB$412 &lt;&gt; "Noble Form")*(ISBLANK(pokemon!$AJ$2:$AJ$412)), pokemon!$T$2:$T$412))</f>
        <v>19</v>
      </c>
      <c r="I174" cm="1">
        <f t="array" ref="I174">MAX(IF(($A174=pokemon!$AC$2:$AC$412)*(pokemon!$AB$2:$AB$412 &lt;&gt; "Noble Form")*(ISBLANK(pokemon!$AJ$2:$AJ$412)), pokemon!$T$2:$T$412))</f>
        <v>19</v>
      </c>
      <c r="J174">
        <f t="shared" si="10"/>
        <v>0</v>
      </c>
    </row>
    <row r="175" spans="1:10" x14ac:dyDescent="0.25">
      <c r="A175" t="s">
        <v>1409</v>
      </c>
      <c r="B175" s="10" t="s">
        <v>8</v>
      </c>
      <c r="C175">
        <v>50</v>
      </c>
      <c r="D175">
        <f t="shared" si="9"/>
        <v>2</v>
      </c>
      <c r="F175" t="s">
        <v>1452</v>
      </c>
      <c r="G175" cm="1">
        <f t="array" ref="G175">COUNT(IF(($A175=pokemon!$AC$2:$AC$412)*(pokemon!$AB$2:$AB$412 &lt;&gt; "Noble Form")*(ISBLANK(pokemon!$AJ$2:$AJ$412)), pokemon!$T$2:$T$412))</f>
        <v>1</v>
      </c>
      <c r="H175" cm="1">
        <f t="array" ref="H175">MIN(IF(($A175=pokemon!$AC$2:$AC$412)*(pokemon!$AB$2:$AB$412 &lt;&gt; "Noble Form")*(ISBLANK(pokemon!$AJ$2:$AJ$412)), pokemon!$T$2:$T$412))</f>
        <v>12</v>
      </c>
      <c r="I175" cm="1">
        <f t="array" ref="I175">MAX(IF(($A175=pokemon!$AC$2:$AC$412)*(pokemon!$AB$2:$AB$412 &lt;&gt; "Noble Form")*(ISBLANK(pokemon!$AJ$2:$AJ$412)), pokemon!$T$2:$T$412))</f>
        <v>12</v>
      </c>
      <c r="J175">
        <f t="shared" si="10"/>
        <v>0</v>
      </c>
    </row>
    <row r="176" spans="1:10" x14ac:dyDescent="0.25">
      <c r="A176" t="s">
        <v>494</v>
      </c>
      <c r="B176" s="16" t="s">
        <v>3</v>
      </c>
      <c r="C176">
        <v>20</v>
      </c>
      <c r="D176">
        <f t="shared" si="9"/>
        <v>1</v>
      </c>
      <c r="E176" s="1" t="s">
        <v>1436</v>
      </c>
      <c r="F176" t="s">
        <v>658</v>
      </c>
      <c r="G176" cm="1">
        <f t="array" ref="G176">COUNT(IF(($A176=pokemon!$AC$2:$AC$412)*(pokemon!$AB$2:$AB$412 &lt;&gt; "Noble Form")*(ISBLANK(pokemon!$AJ$2:$AJ$412)), pokemon!$T$2:$T$412))</f>
        <v>1</v>
      </c>
      <c r="H176" cm="1">
        <f t="array" ref="H176">MIN(IF(($A176=pokemon!$AC$2:$AC$412)*(pokemon!$AB$2:$AB$412 &lt;&gt; "Noble Form")*(ISBLANK(pokemon!$AJ$2:$AJ$412)), pokemon!$T$2:$T$412))</f>
        <v>12</v>
      </c>
      <c r="I176" cm="1">
        <f t="array" ref="I176">MAX(IF(($A176=pokemon!$AC$2:$AC$412)*(pokemon!$AB$2:$AB$412 &lt;&gt; "Noble Form")*(ISBLANK(pokemon!$AJ$2:$AJ$412)), pokemon!$T$2:$T$412))</f>
        <v>12</v>
      </c>
      <c r="J176">
        <f t="shared" si="10"/>
        <v>0</v>
      </c>
    </row>
    <row r="177" spans="1:10" x14ac:dyDescent="0.25">
      <c r="A177" t="s">
        <v>867</v>
      </c>
      <c r="B177" s="16" t="s">
        <v>3</v>
      </c>
      <c r="C177">
        <v>30</v>
      </c>
      <c r="D177">
        <f t="shared" si="9"/>
        <v>1</v>
      </c>
      <c r="F177" t="s">
        <v>952</v>
      </c>
      <c r="G177" cm="1">
        <f t="array" ref="G177">COUNT(IF(($A177=pokemon!$AC$2:$AC$412)*(pokemon!$AB$2:$AB$412 &lt;&gt; "Noble Form")*(ISBLANK(pokemon!$AJ$2:$AJ$412)), pokemon!$T$2:$T$412))</f>
        <v>2</v>
      </c>
      <c r="H177" cm="1">
        <f t="array" ref="H177">MIN(IF(($A177=pokemon!$AC$2:$AC$412)*(pokemon!$AB$2:$AB$412 &lt;&gt; "Noble Form")*(ISBLANK(pokemon!$AJ$2:$AJ$412)), pokemon!$T$2:$T$412))</f>
        <v>10</v>
      </c>
      <c r="I177" cm="1">
        <f t="array" ref="I177">MAX(IF(($A177=pokemon!$AC$2:$AC$412)*(pokemon!$AB$2:$AB$412 &lt;&gt; "Noble Form")*(ISBLANK(pokemon!$AJ$2:$AJ$412)), pokemon!$T$2:$T$412))</f>
        <v>10</v>
      </c>
      <c r="J177">
        <f t="shared" si="10"/>
        <v>0</v>
      </c>
    </row>
    <row r="178" spans="1:10" x14ac:dyDescent="0.25">
      <c r="A178" t="s">
        <v>847</v>
      </c>
      <c r="B178" s="16" t="s">
        <v>3</v>
      </c>
      <c r="C178">
        <v>40</v>
      </c>
      <c r="D178">
        <f t="shared" si="9"/>
        <v>2</v>
      </c>
      <c r="E178" s="1" t="s">
        <v>1437</v>
      </c>
      <c r="F178" t="s">
        <v>1428</v>
      </c>
      <c r="G178" cm="1">
        <f t="array" ref="G178">COUNT(IF(($A178=pokemon!$AC$2:$AC$412)*(pokemon!$AB$2:$AB$412 &lt;&gt; "Noble Form")*(ISBLANK(pokemon!$AJ$2:$AJ$412)), pokemon!$T$2:$T$412))</f>
        <v>1</v>
      </c>
      <c r="H178" cm="1">
        <f t="array" ref="H178">MIN(IF(($A178=pokemon!$AC$2:$AC$412)*(pokemon!$AB$2:$AB$412 &lt;&gt; "Noble Form")*(ISBLANK(pokemon!$AJ$2:$AJ$412)), pokemon!$T$2:$T$412))</f>
        <v>14</v>
      </c>
      <c r="I178" cm="1">
        <f t="array" ref="I178">MAX(IF(($A178=pokemon!$AC$2:$AC$412)*(pokemon!$AB$2:$AB$412 &lt;&gt; "Noble Form")*(ISBLANK(pokemon!$AJ$2:$AJ$412)), pokemon!$T$2:$T$412))</f>
        <v>14</v>
      </c>
      <c r="J178">
        <f t="shared" si="10"/>
        <v>0</v>
      </c>
    </row>
    <row r="179" spans="1:10" x14ac:dyDescent="0.25">
      <c r="A179" t="s">
        <v>657</v>
      </c>
      <c r="B179" s="16" t="s">
        <v>3</v>
      </c>
      <c r="C179">
        <v>50</v>
      </c>
      <c r="D179">
        <f t="shared" si="9"/>
        <v>2</v>
      </c>
      <c r="F179" t="s">
        <v>658</v>
      </c>
      <c r="G179" cm="1">
        <f t="array" ref="G179">COUNT(IF(($A179=pokemon!$AC$2:$AC$412)*(pokemon!$AB$2:$AB$412 &lt;&gt; "Noble Form")*(ISBLANK(pokemon!$AJ$2:$AJ$412)), pokemon!$T$2:$T$412))</f>
        <v>1</v>
      </c>
      <c r="H179" cm="1">
        <f t="array" ref="H179">MIN(IF(($A179=pokemon!$AC$2:$AC$412)*(pokemon!$AB$2:$AB$412 &lt;&gt; "Noble Form")*(ISBLANK(pokemon!$AJ$2:$AJ$412)), pokemon!$T$2:$T$412))</f>
        <v>9</v>
      </c>
      <c r="I179" cm="1">
        <f t="array" ref="I179">MAX(IF(($A179=pokemon!$AC$2:$AC$412)*(pokemon!$AB$2:$AB$412 &lt;&gt; "Noble Form")*(ISBLANK(pokemon!$AJ$2:$AJ$412)), pokemon!$T$2:$T$412))</f>
        <v>9</v>
      </c>
      <c r="J179">
        <f t="shared" si="10"/>
        <v>0</v>
      </c>
    </row>
    <row r="180" spans="1:10" x14ac:dyDescent="0.25">
      <c r="A180" t="s">
        <v>1117</v>
      </c>
      <c r="B180" s="16" t="s">
        <v>3</v>
      </c>
      <c r="C180">
        <v>50</v>
      </c>
      <c r="D180">
        <f t="shared" ref="D180:D245" si="11">IF(NOT(ISBLANK(C180)), IF(ISNUMBER(C180), ROUND((C180 - 5)/20, 0), C180), "")</f>
        <v>2</v>
      </c>
      <c r="F180" t="s">
        <v>1118</v>
      </c>
      <c r="G180" cm="1">
        <f t="array" ref="G180">COUNT(IF(($A180=pokemon!$AC$2:$AC$412)*(pokemon!$AB$2:$AB$412 &lt;&gt; "Noble Form")*(ISBLANK(pokemon!$AJ$2:$AJ$412)), pokemon!$T$2:$T$412))</f>
        <v>1</v>
      </c>
      <c r="H180" cm="1">
        <f t="array" ref="H180">MIN(IF(($A180=pokemon!$AC$2:$AC$412)*(pokemon!$AB$2:$AB$412 &lt;&gt; "Noble Form")*(ISBLANK(pokemon!$AJ$2:$AJ$412)), pokemon!$T$2:$T$412))</f>
        <v>11</v>
      </c>
      <c r="I180" cm="1">
        <f t="array" ref="I180">MAX(IF(($A180=pokemon!$AC$2:$AC$412)*(pokemon!$AB$2:$AB$412 &lt;&gt; "Noble Form")*(ISBLANK(pokemon!$AJ$2:$AJ$412)), pokemon!$T$2:$T$412))</f>
        <v>11</v>
      </c>
      <c r="J180">
        <f t="shared" si="10"/>
        <v>0</v>
      </c>
    </row>
    <row r="181" spans="1:10" x14ac:dyDescent="0.25">
      <c r="A181" t="s">
        <v>756</v>
      </c>
      <c r="B181" s="16" t="s">
        <v>3</v>
      </c>
      <c r="C181">
        <v>65</v>
      </c>
      <c r="D181">
        <f t="shared" si="11"/>
        <v>3</v>
      </c>
      <c r="F181" t="s">
        <v>1453</v>
      </c>
      <c r="G181" cm="1">
        <f t="array" ref="G181">COUNT(IF(($A181=pokemon!$AC$2:$AC$412)*(pokemon!$AB$2:$AB$412 &lt;&gt; "Noble Form")*(ISBLANK(pokemon!$AJ$2:$AJ$412)), pokemon!$T$2:$T$412))</f>
        <v>2</v>
      </c>
      <c r="H181" cm="1">
        <f t="array" ref="H181">MIN(IF(($A181=pokemon!$AC$2:$AC$412)*(pokemon!$AB$2:$AB$412 &lt;&gt; "Noble Form")*(ISBLANK(pokemon!$AJ$2:$AJ$412)), pokemon!$T$2:$T$412))</f>
        <v>11</v>
      </c>
      <c r="I181" cm="1">
        <f t="array" ref="I181">MAX(IF(($A181=pokemon!$AC$2:$AC$412)*(pokemon!$AB$2:$AB$412 &lt;&gt; "Noble Form")*(ISBLANK(pokemon!$AJ$2:$AJ$412)), pokemon!$T$2:$T$412))</f>
        <v>14</v>
      </c>
      <c r="J181">
        <f t="shared" si="10"/>
        <v>3</v>
      </c>
    </row>
    <row r="182" spans="1:10" x14ac:dyDescent="0.25">
      <c r="A182" t="s">
        <v>694</v>
      </c>
      <c r="B182" s="16" t="s">
        <v>3</v>
      </c>
      <c r="C182">
        <v>60</v>
      </c>
      <c r="D182">
        <f t="shared" si="11"/>
        <v>3</v>
      </c>
      <c r="F182" t="s">
        <v>1462</v>
      </c>
      <c r="G182" cm="1">
        <f t="array" ref="G182">COUNT(IF(($A182=pokemon!$AC$2:$AC$412)*(pokemon!$AB$2:$AB$412 &lt;&gt; "Noble Form")*(ISBLANK(pokemon!$AJ$2:$AJ$412)), pokemon!$T$2:$T$412))</f>
        <v>1</v>
      </c>
      <c r="H182" cm="1">
        <f t="array" ref="H182">MIN(IF(($A182=pokemon!$AC$2:$AC$412)*(pokemon!$AB$2:$AB$412 &lt;&gt; "Noble Form")*(ISBLANK(pokemon!$AJ$2:$AJ$412)), pokemon!$T$2:$T$412))</f>
        <v>28</v>
      </c>
      <c r="I182" cm="1">
        <f t="array" ref="I182">MAX(IF(($A182=pokemon!$AC$2:$AC$412)*(pokemon!$AB$2:$AB$412 &lt;&gt; "Noble Form")*(ISBLANK(pokemon!$AJ$2:$AJ$412)), pokemon!$T$2:$T$412))</f>
        <v>28</v>
      </c>
      <c r="J182">
        <f t="shared" si="10"/>
        <v>0</v>
      </c>
    </row>
    <row r="183" spans="1:10" x14ac:dyDescent="0.25">
      <c r="A183" t="s">
        <v>771</v>
      </c>
      <c r="B183" s="16" t="s">
        <v>3</v>
      </c>
      <c r="C183">
        <v>60</v>
      </c>
      <c r="D183">
        <f t="shared" si="11"/>
        <v>3</v>
      </c>
      <c r="F183" t="s">
        <v>1144</v>
      </c>
      <c r="G183" cm="1">
        <f t="array" ref="G183">COUNT(IF(($A183=pokemon!$AC$2:$AC$412)*(pokemon!$AB$2:$AB$412 &lt;&gt; "Noble Form")*(ISBLANK(pokemon!$AJ$2:$AJ$412)), pokemon!$T$2:$T$412))</f>
        <v>1</v>
      </c>
      <c r="H183" cm="1">
        <f t="array" ref="H183">MIN(IF(($A183=pokemon!$AC$2:$AC$412)*(pokemon!$AB$2:$AB$412 &lt;&gt; "Noble Form")*(ISBLANK(pokemon!$AJ$2:$AJ$412)), pokemon!$T$2:$T$412))</f>
        <v>16</v>
      </c>
      <c r="I183" cm="1">
        <f t="array" ref="I183">MAX(IF(($A183=pokemon!$AC$2:$AC$412)*(pokemon!$AB$2:$AB$412 &lt;&gt; "Noble Form")*(ISBLANK(pokemon!$AJ$2:$AJ$412)), pokemon!$T$2:$T$412))</f>
        <v>16</v>
      </c>
      <c r="J183">
        <f t="shared" si="10"/>
        <v>0</v>
      </c>
    </row>
    <row r="184" spans="1:10" x14ac:dyDescent="0.25">
      <c r="A184" t="s">
        <v>465</v>
      </c>
      <c r="B184" s="16" t="s">
        <v>3</v>
      </c>
      <c r="C184">
        <v>75</v>
      </c>
      <c r="D184">
        <f t="shared" si="11"/>
        <v>4</v>
      </c>
      <c r="F184" t="s">
        <v>577</v>
      </c>
      <c r="G184" cm="1">
        <f t="array" ref="G184">COUNT(IF(($A184=pokemon!$AC$2:$AC$412)*(pokemon!$AB$2:$AB$412 &lt;&gt; "Noble Form")*(ISBLANK(pokemon!$AJ$2:$AJ$412)), pokemon!$T$2:$T$412))</f>
        <v>2</v>
      </c>
      <c r="H184" cm="1">
        <f t="array" ref="H184">MIN(IF(($A184=pokemon!$AC$2:$AC$412)*(pokemon!$AB$2:$AB$412 &lt;&gt; "Noble Form")*(ISBLANK(pokemon!$AJ$2:$AJ$412)), pokemon!$T$2:$T$412))</f>
        <v>17</v>
      </c>
      <c r="I184" cm="1">
        <f t="array" ref="I184">MAX(IF(($A184=pokemon!$AC$2:$AC$412)*(pokemon!$AB$2:$AB$412 &lt;&gt; "Noble Form")*(ISBLANK(pokemon!$AJ$2:$AJ$412)), pokemon!$T$2:$T$412))</f>
        <v>19</v>
      </c>
      <c r="J184">
        <f t="shared" si="10"/>
        <v>2</v>
      </c>
    </row>
    <row r="185" spans="1:10" x14ac:dyDescent="0.25">
      <c r="A185" t="s">
        <v>866</v>
      </c>
      <c r="B185" s="16" t="s">
        <v>3</v>
      </c>
      <c r="C185">
        <v>80</v>
      </c>
      <c r="D185">
        <f t="shared" si="11"/>
        <v>4</v>
      </c>
      <c r="F185" t="s">
        <v>1259</v>
      </c>
      <c r="G185" cm="1">
        <f t="array" ref="G185">COUNT(IF(($A185=pokemon!$AC$2:$AC$412)*(pokemon!$AB$2:$AB$412 &lt;&gt; "Noble Form")*(ISBLANK(pokemon!$AJ$2:$AJ$412)), pokemon!$T$2:$T$412))</f>
        <v>1</v>
      </c>
      <c r="H185" cm="1">
        <f t="array" ref="H185">MIN(IF(($A185=pokemon!$AC$2:$AC$412)*(pokemon!$AB$2:$AB$412 &lt;&gt; "Noble Form")*(ISBLANK(pokemon!$AJ$2:$AJ$412)), pokemon!$T$2:$T$412))</f>
        <v>17</v>
      </c>
      <c r="I185" cm="1">
        <f t="array" ref="I185">MAX(IF(($A185=pokemon!$AC$2:$AC$412)*(pokemon!$AB$2:$AB$412 &lt;&gt; "Noble Form")*(ISBLANK(pokemon!$AJ$2:$AJ$412)), pokemon!$T$2:$T$412))</f>
        <v>17</v>
      </c>
      <c r="J185">
        <f t="shared" si="10"/>
        <v>0</v>
      </c>
    </row>
    <row r="186" spans="1:10" x14ac:dyDescent="0.25">
      <c r="A186" t="s">
        <v>1410</v>
      </c>
      <c r="B186" s="16" t="s">
        <v>3</v>
      </c>
      <c r="C186">
        <v>20</v>
      </c>
      <c r="D186">
        <f t="shared" si="11"/>
        <v>1</v>
      </c>
      <c r="F186" t="s">
        <v>1411</v>
      </c>
      <c r="G186" cm="1">
        <f t="array" ref="G186">COUNT(IF(($A186=pokemon!$AC$2:$AC$412)*(pokemon!$AB$2:$AB$412 &lt;&gt; "Noble Form")*(ISBLANK(pokemon!$AJ$2:$AJ$412)), pokemon!$T$2:$T$412))</f>
        <v>1</v>
      </c>
      <c r="H186" cm="1">
        <f t="array" ref="H186">MIN(IF(($A186=pokemon!$AC$2:$AC$412)*(pokemon!$AB$2:$AB$412 &lt;&gt; "Noble Form")*(ISBLANK(pokemon!$AJ$2:$AJ$412)), pokemon!$T$2:$T$412))</f>
        <v>12</v>
      </c>
      <c r="I186" cm="1">
        <f t="array" ref="I186">MAX(IF(($A186=pokemon!$AC$2:$AC$412)*(pokemon!$AB$2:$AB$412 &lt;&gt; "Noble Form")*(ISBLANK(pokemon!$AJ$2:$AJ$412)), pokemon!$T$2:$T$412))</f>
        <v>12</v>
      </c>
      <c r="J186">
        <f t="shared" si="10"/>
        <v>0</v>
      </c>
    </row>
    <row r="187" spans="1:10" x14ac:dyDescent="0.25">
      <c r="A187" t="s">
        <v>619</v>
      </c>
      <c r="B187" s="16" t="s">
        <v>3</v>
      </c>
      <c r="C187">
        <v>100</v>
      </c>
      <c r="D187">
        <f t="shared" si="11"/>
        <v>5</v>
      </c>
      <c r="F187" t="s">
        <v>1095</v>
      </c>
      <c r="G187" cm="1">
        <f t="array" ref="G187">COUNT(IF(($A187=pokemon!$AC$2:$AC$412)*(pokemon!$AB$2:$AB$412 &lt;&gt; "Noble Form")*(ISBLANK(pokemon!$AJ$2:$AJ$412)), pokemon!$T$2:$T$412))</f>
        <v>2</v>
      </c>
      <c r="H187" cm="1">
        <f t="array" ref="H187">MIN(IF(($A187=pokemon!$AC$2:$AC$412)*(pokemon!$AB$2:$AB$412 &lt;&gt; "Noble Form")*(ISBLANK(pokemon!$AJ$2:$AJ$412)), pokemon!$T$2:$T$412))</f>
        <v>18</v>
      </c>
      <c r="I187" cm="1">
        <f t="array" ref="I187">MAX(IF(($A187=pokemon!$AC$2:$AC$412)*(pokemon!$AB$2:$AB$412 &lt;&gt; "Noble Form")*(ISBLANK(pokemon!$AJ$2:$AJ$412)), pokemon!$T$2:$T$412))</f>
        <v>18</v>
      </c>
      <c r="J187">
        <f t="shared" si="10"/>
        <v>0</v>
      </c>
    </row>
    <row r="188" spans="1:10" x14ac:dyDescent="0.25">
      <c r="A188" t="s">
        <v>1107</v>
      </c>
      <c r="B188" s="19" t="s">
        <v>26</v>
      </c>
      <c r="C188">
        <v>20</v>
      </c>
      <c r="D188">
        <f t="shared" si="11"/>
        <v>1</v>
      </c>
      <c r="E188" s="1" t="s">
        <v>1435</v>
      </c>
      <c r="F188" t="s">
        <v>1429</v>
      </c>
      <c r="G188" cm="1">
        <f t="array" ref="G188">COUNT(IF(($A188=pokemon!$AC$2:$AC$412)*(pokemon!$AB$2:$AB$412 &lt;&gt; "Noble Form")*(ISBLANK(pokemon!$AJ$2:$AJ$412)), pokemon!$T$2:$T$412))</f>
        <v>1</v>
      </c>
      <c r="H188" cm="1">
        <f t="array" ref="H188">MIN(IF(($A188=pokemon!$AC$2:$AC$412)*(pokemon!$AB$2:$AB$412 &lt;&gt; "Noble Form")*(ISBLANK(pokemon!$AJ$2:$AJ$412)), pokemon!$T$2:$T$412))</f>
        <v>19</v>
      </c>
      <c r="I188" cm="1">
        <f t="array" ref="I188">MAX(IF(($A188=pokemon!$AC$2:$AC$412)*(pokemon!$AB$2:$AB$412 &lt;&gt; "Noble Form")*(ISBLANK(pokemon!$AJ$2:$AJ$412)), pokemon!$T$2:$T$412))</f>
        <v>19</v>
      </c>
      <c r="J188">
        <f t="shared" si="10"/>
        <v>0</v>
      </c>
    </row>
    <row r="189" spans="1:10" x14ac:dyDescent="0.25">
      <c r="A189" t="s">
        <v>541</v>
      </c>
      <c r="B189" s="19" t="s">
        <v>26</v>
      </c>
      <c r="C189">
        <v>20</v>
      </c>
      <c r="D189">
        <f t="shared" si="11"/>
        <v>1</v>
      </c>
      <c r="E189" s="1" t="s">
        <v>1448</v>
      </c>
      <c r="F189" t="s">
        <v>1449</v>
      </c>
      <c r="G189" cm="1">
        <f t="array" ref="G189">COUNT(IF(($A189=pokemon!$AC$2:$AC$412)*(pokemon!$AB$2:$AB$412 &lt;&gt; "Noble Form")*(ISBLANK(pokemon!$AJ$2:$AJ$412)), pokemon!$T$2:$T$412))</f>
        <v>2</v>
      </c>
      <c r="H189" cm="1">
        <f t="array" ref="H189">MIN(IF(($A189=pokemon!$AC$2:$AC$412)*(pokemon!$AB$2:$AB$412 &lt;&gt; "Noble Form")*(ISBLANK(pokemon!$AJ$2:$AJ$412)), pokemon!$T$2:$T$412))</f>
        <v>7</v>
      </c>
      <c r="I189" cm="1">
        <f t="array" ref="I189">MAX(IF(($A189=pokemon!$AC$2:$AC$412)*(pokemon!$AB$2:$AB$412 &lt;&gt; "Noble Form")*(ISBLANK(pokemon!$AJ$2:$AJ$412)), pokemon!$T$2:$T$412))</f>
        <v>12</v>
      </c>
      <c r="J189">
        <f t="shared" si="10"/>
        <v>5</v>
      </c>
    </row>
    <row r="190" spans="1:10" x14ac:dyDescent="0.25">
      <c r="A190" t="s">
        <v>869</v>
      </c>
      <c r="B190" s="19" t="s">
        <v>26</v>
      </c>
      <c r="C190">
        <v>40</v>
      </c>
      <c r="D190">
        <f t="shared" si="11"/>
        <v>2</v>
      </c>
      <c r="F190" t="s">
        <v>870</v>
      </c>
      <c r="G190" cm="1">
        <f t="array" ref="G190">COUNT(IF(($A190=pokemon!$AC$2:$AC$412)*(pokemon!$AB$2:$AB$412 &lt;&gt; "Noble Form")*(ISBLANK(pokemon!$AJ$2:$AJ$412)), pokemon!$T$2:$T$412))</f>
        <v>1</v>
      </c>
      <c r="H190" cm="1">
        <f t="array" ref="H190">MIN(IF(($A190=pokemon!$AC$2:$AC$412)*(pokemon!$AB$2:$AB$412 &lt;&gt; "Noble Form")*(ISBLANK(pokemon!$AJ$2:$AJ$412)), pokemon!$T$2:$T$412))</f>
        <v>12</v>
      </c>
      <c r="I190" cm="1">
        <f t="array" ref="I190">MAX(IF(($A190=pokemon!$AC$2:$AC$412)*(pokemon!$AB$2:$AB$412 &lt;&gt; "Noble Form")*(ISBLANK(pokemon!$AJ$2:$AJ$412)), pokemon!$T$2:$T$412))</f>
        <v>12</v>
      </c>
      <c r="J190">
        <f t="shared" si="10"/>
        <v>0</v>
      </c>
    </row>
    <row r="191" spans="1:10" x14ac:dyDescent="0.25">
      <c r="A191" t="s">
        <v>497</v>
      </c>
      <c r="B191" s="19" t="s">
        <v>26</v>
      </c>
      <c r="C191">
        <v>40</v>
      </c>
      <c r="D191">
        <f t="shared" si="11"/>
        <v>2</v>
      </c>
      <c r="F191" t="s">
        <v>634</v>
      </c>
      <c r="G191" cm="1">
        <f t="array" ref="G191">COUNT(IF(($A191=pokemon!$AC$2:$AC$412)*(pokemon!$AB$2:$AB$412 &lt;&gt; "Noble Form")*(ISBLANK(pokemon!$AJ$2:$AJ$412)), pokemon!$T$2:$T$412))</f>
        <v>5</v>
      </c>
      <c r="H191" cm="1">
        <f t="array" ref="H191">MIN(IF(($A191=pokemon!$AC$2:$AC$412)*(pokemon!$AB$2:$AB$412 &lt;&gt; "Noble Form")*(ISBLANK(pokemon!$AJ$2:$AJ$412)), pokemon!$T$2:$T$412))</f>
        <v>9</v>
      </c>
      <c r="I191" cm="1">
        <f t="array" ref="I191">MAX(IF(($A191=pokemon!$AC$2:$AC$412)*(pokemon!$AB$2:$AB$412 &lt;&gt; "Noble Form")*(ISBLANK(pokemon!$AJ$2:$AJ$412)), pokemon!$T$2:$T$412))</f>
        <v>11</v>
      </c>
      <c r="J191">
        <f t="shared" si="10"/>
        <v>2</v>
      </c>
    </row>
    <row r="192" spans="1:10" x14ac:dyDescent="0.25">
      <c r="A192" t="s">
        <v>851</v>
      </c>
      <c r="B192" s="19" t="s">
        <v>26</v>
      </c>
      <c r="C192">
        <v>40</v>
      </c>
      <c r="D192">
        <f t="shared" si="11"/>
        <v>2</v>
      </c>
      <c r="E192" s="1" t="s">
        <v>1437</v>
      </c>
      <c r="F192" t="s">
        <v>1430</v>
      </c>
      <c r="G192" cm="1">
        <f t="array" ref="G192">COUNT(IF(($A192=pokemon!$AC$2:$AC$412)*(pokemon!$AB$2:$AB$412 &lt;&gt; "Noble Form")*(ISBLANK(pokemon!$AJ$2:$AJ$412)), pokemon!$T$2:$T$412))</f>
        <v>1</v>
      </c>
      <c r="H192" cm="1">
        <f t="array" ref="H192">MIN(IF(($A192=pokemon!$AC$2:$AC$412)*(pokemon!$AB$2:$AB$412 &lt;&gt; "Noble Form")*(ISBLANK(pokemon!$AJ$2:$AJ$412)), pokemon!$T$2:$T$412))</f>
        <v>12</v>
      </c>
      <c r="I192" cm="1">
        <f t="array" ref="I192">MAX(IF(($A192=pokemon!$AC$2:$AC$412)*(pokemon!$AB$2:$AB$412 &lt;&gt; "Noble Form")*(ISBLANK(pokemon!$AJ$2:$AJ$412)), pokemon!$T$2:$T$412))</f>
        <v>12</v>
      </c>
      <c r="J192">
        <f t="shared" si="10"/>
        <v>0</v>
      </c>
    </row>
    <row r="193" spans="1:10" x14ac:dyDescent="0.25">
      <c r="A193" t="s">
        <v>822</v>
      </c>
      <c r="B193" s="19" t="s">
        <v>26</v>
      </c>
      <c r="C193">
        <v>60</v>
      </c>
      <c r="D193">
        <f t="shared" si="11"/>
        <v>3</v>
      </c>
      <c r="F193" t="s">
        <v>823</v>
      </c>
      <c r="G193" cm="1">
        <f t="array" ref="G193">COUNT(IF(($A193=pokemon!$AC$2:$AC$412)*(pokemon!$AB$2:$AB$412 &lt;&gt; "Noble Form")*(ISBLANK(pokemon!$AJ$2:$AJ$412)), pokemon!$T$2:$T$412))</f>
        <v>1</v>
      </c>
      <c r="H193" cm="1">
        <f t="array" ref="H193">MIN(IF(($A193=pokemon!$AC$2:$AC$412)*(pokemon!$AB$2:$AB$412 &lt;&gt; "Noble Form")*(ISBLANK(pokemon!$AJ$2:$AJ$412)), pokemon!$T$2:$T$412))</f>
        <v>16</v>
      </c>
      <c r="I193" cm="1">
        <f t="array" ref="I193">MAX(IF(($A193=pokemon!$AC$2:$AC$412)*(pokemon!$AB$2:$AB$412 &lt;&gt; "Noble Form")*(ISBLANK(pokemon!$AJ$2:$AJ$412)), pokemon!$T$2:$T$412))</f>
        <v>16</v>
      </c>
      <c r="J193">
        <f t="shared" si="10"/>
        <v>0</v>
      </c>
    </row>
    <row r="194" spans="1:10" x14ac:dyDescent="0.25">
      <c r="A194" t="s">
        <v>965</v>
      </c>
      <c r="B194" s="19" t="s">
        <v>26</v>
      </c>
      <c r="C194">
        <v>40</v>
      </c>
      <c r="D194">
        <f t="shared" si="11"/>
        <v>2</v>
      </c>
      <c r="E194" s="1" t="s">
        <v>1436</v>
      </c>
      <c r="F194" t="s">
        <v>1468</v>
      </c>
      <c r="G194" cm="1">
        <f t="array" ref="G194">COUNT(IF(($A194=pokemon!$AC$2:$AC$412)*(pokemon!$AB$2:$AB$412 &lt;&gt; "Noble Form")*(ISBLANK(pokemon!$AJ$2:$AJ$412)), pokemon!$T$2:$T$412))</f>
        <v>1</v>
      </c>
      <c r="H194" cm="1">
        <f t="array" ref="H194">MIN(IF(($A194=pokemon!$AC$2:$AC$412)*(pokemon!$AB$2:$AB$412 &lt;&gt; "Noble Form")*(ISBLANK(pokemon!$AJ$2:$AJ$412)), pokemon!$T$2:$T$412))</f>
        <v>20</v>
      </c>
      <c r="I194" cm="1">
        <f t="array" ref="I194">MAX(IF(($A194=pokemon!$AC$2:$AC$412)*(pokemon!$AB$2:$AB$412 &lt;&gt; "Noble Form")*(ISBLANK(pokemon!$AJ$2:$AJ$412)), pokemon!$T$2:$T$412))</f>
        <v>20</v>
      </c>
      <c r="J194">
        <f t="shared" si="10"/>
        <v>0</v>
      </c>
    </row>
    <row r="195" spans="1:10" x14ac:dyDescent="0.25">
      <c r="A195" t="s">
        <v>857</v>
      </c>
      <c r="B195" s="19" t="s">
        <v>26</v>
      </c>
      <c r="C195">
        <v>60</v>
      </c>
      <c r="D195">
        <f t="shared" si="11"/>
        <v>3</v>
      </c>
      <c r="F195" t="s">
        <v>1145</v>
      </c>
      <c r="G195" cm="1">
        <f t="array" ref="G195">COUNT(IF(($A195=pokemon!$AC$2:$AC$412)*(pokemon!$AB$2:$AB$412 &lt;&gt; "Noble Form")*(ISBLANK(pokemon!$AJ$2:$AJ$412)), pokemon!$T$2:$T$412))</f>
        <v>1</v>
      </c>
      <c r="H195" cm="1">
        <f t="array" ref="H195">MIN(IF(($A195=pokemon!$AC$2:$AC$412)*(pokemon!$AB$2:$AB$412 &lt;&gt; "Noble Form")*(ISBLANK(pokemon!$AJ$2:$AJ$412)), pokemon!$T$2:$T$412))</f>
        <v>16</v>
      </c>
      <c r="I195" cm="1">
        <f t="array" ref="I195">MAX(IF(($A195=pokemon!$AC$2:$AC$412)*(pokemon!$AB$2:$AB$412 &lt;&gt; "Noble Form")*(ISBLANK(pokemon!$AJ$2:$AJ$412)), pokemon!$T$2:$T$412))</f>
        <v>16</v>
      </c>
      <c r="J195">
        <f t="shared" si="10"/>
        <v>0</v>
      </c>
    </row>
    <row r="196" spans="1:10" x14ac:dyDescent="0.25">
      <c r="A196" t="s">
        <v>840</v>
      </c>
      <c r="B196" s="19" t="s">
        <v>26</v>
      </c>
      <c r="C196">
        <v>75</v>
      </c>
      <c r="D196">
        <f t="shared" si="11"/>
        <v>4</v>
      </c>
      <c r="F196" t="s">
        <v>577</v>
      </c>
      <c r="G196" cm="1">
        <f t="array" ref="G196">COUNT(IF(($A196=pokemon!$AC$2:$AC$412)*(pokemon!$AB$2:$AB$412 &lt;&gt; "Noble Form")*(ISBLANK(pokemon!$AJ$2:$AJ$412)), pokemon!$T$2:$T$412))</f>
        <v>1</v>
      </c>
      <c r="H196" cm="1">
        <f t="array" ref="H196">MIN(IF(($A196=pokemon!$AC$2:$AC$412)*(pokemon!$AB$2:$AB$412 &lt;&gt; "Noble Form")*(ISBLANK(pokemon!$AJ$2:$AJ$412)), pokemon!$T$2:$T$412))</f>
        <v>16</v>
      </c>
      <c r="I196" cm="1">
        <f t="array" ref="I196">MAX(IF(($A196=pokemon!$AC$2:$AC$412)*(pokemon!$AB$2:$AB$412 &lt;&gt; "Noble Form")*(ISBLANK(pokemon!$AJ$2:$AJ$412)), pokemon!$T$2:$T$412))</f>
        <v>16</v>
      </c>
      <c r="J196">
        <f t="shared" si="10"/>
        <v>0</v>
      </c>
    </row>
    <row r="197" spans="1:10" x14ac:dyDescent="0.25">
      <c r="A197" t="s">
        <v>831</v>
      </c>
      <c r="B197" s="19" t="s">
        <v>26</v>
      </c>
      <c r="C197">
        <v>75</v>
      </c>
      <c r="D197">
        <f t="shared" si="11"/>
        <v>4</v>
      </c>
      <c r="F197" t="s">
        <v>1099</v>
      </c>
      <c r="G197" cm="1">
        <f t="array" ref="G197">COUNT(IF(($A197=pokemon!$AC$2:$AC$412)*(pokemon!$AB$2:$AB$412 &lt;&gt; "Noble Form")*(ISBLANK(pokemon!$AJ$2:$AJ$412)), pokemon!$T$2:$T$412))</f>
        <v>1</v>
      </c>
      <c r="H197" cm="1">
        <f t="array" ref="H197">MIN(IF(($A197=pokemon!$AC$2:$AC$412)*(pokemon!$AB$2:$AB$412 &lt;&gt; "Noble Form")*(ISBLANK(pokemon!$AJ$2:$AJ$412)), pokemon!$T$2:$T$412))</f>
        <v>16</v>
      </c>
      <c r="I197" cm="1">
        <f t="array" ref="I197">MAX(IF(($A197=pokemon!$AC$2:$AC$412)*(pokemon!$AB$2:$AB$412 &lt;&gt; "Noble Form")*(ISBLANK(pokemon!$AJ$2:$AJ$412)), pokemon!$T$2:$T$412))</f>
        <v>16</v>
      </c>
      <c r="J197">
        <f t="shared" si="10"/>
        <v>0</v>
      </c>
    </row>
    <row r="198" spans="1:10" x14ac:dyDescent="0.25">
      <c r="A198" t="s">
        <v>1054</v>
      </c>
      <c r="B198" s="19" t="s">
        <v>26</v>
      </c>
      <c r="C198">
        <v>80</v>
      </c>
      <c r="D198">
        <f t="shared" si="11"/>
        <v>4</v>
      </c>
      <c r="E198" s="1" t="s">
        <v>1448</v>
      </c>
      <c r="F198" t="s">
        <v>1479</v>
      </c>
      <c r="G198" cm="1">
        <f t="array" ref="G198">COUNT(IF(($A198=pokemon!$AC$2:$AC$412)*(pokemon!$AB$2:$AB$412 &lt;&gt; "Noble Form")*(ISBLANK(pokemon!$AJ$2:$AJ$412)), pokemon!$T$2:$T$412))</f>
        <v>1</v>
      </c>
      <c r="H198" cm="1">
        <f t="array" ref="H198">MIN(IF(($A198=pokemon!$AC$2:$AC$412)*(pokemon!$AB$2:$AB$412 &lt;&gt; "Noble Form")*(ISBLANK(pokemon!$AJ$2:$AJ$412)), pokemon!$T$2:$T$412))</f>
        <v>20</v>
      </c>
      <c r="I198" cm="1">
        <f t="array" ref="I198">MAX(IF(($A198=pokemon!$AC$2:$AC$412)*(pokemon!$AB$2:$AB$412 &lt;&gt; "Noble Form")*(ISBLANK(pokemon!$AJ$2:$AJ$412)), pokemon!$T$2:$T$412))</f>
        <v>20</v>
      </c>
      <c r="J198">
        <f t="shared" si="10"/>
        <v>0</v>
      </c>
    </row>
    <row r="199" spans="1:10" x14ac:dyDescent="0.25">
      <c r="A199" t="s">
        <v>496</v>
      </c>
      <c r="B199" s="19" t="s">
        <v>26</v>
      </c>
      <c r="C199">
        <v>100</v>
      </c>
      <c r="D199">
        <f t="shared" si="11"/>
        <v>5</v>
      </c>
      <c r="F199" t="s">
        <v>1146</v>
      </c>
      <c r="G199" cm="1">
        <f t="array" ref="G199">COUNT(IF(($A199=pokemon!$AC$2:$AC$412)*(pokemon!$AB$2:$AB$412 &lt;&gt; "Noble Form")*(ISBLANK(pokemon!$AJ$2:$AJ$412)), pokemon!$T$2:$T$412))</f>
        <v>3</v>
      </c>
      <c r="H199" cm="1">
        <f t="array" ref="H199">MIN(IF(($A199=pokemon!$AC$2:$AC$412)*(pokemon!$AB$2:$AB$412 &lt;&gt; "Noble Form")*(ISBLANK(pokemon!$AJ$2:$AJ$412)), pokemon!$T$2:$T$412))</f>
        <v>16</v>
      </c>
      <c r="I199" cm="1">
        <f t="array" ref="I199">MAX(IF(($A199=pokemon!$AC$2:$AC$412)*(pokemon!$AB$2:$AB$412 &lt;&gt; "Noble Form")*(ISBLANK(pokemon!$AJ$2:$AJ$412)), pokemon!$T$2:$T$412))</f>
        <v>18</v>
      </c>
      <c r="J199">
        <f t="shared" si="10"/>
        <v>2</v>
      </c>
    </row>
    <row r="200" spans="1:10" x14ac:dyDescent="0.25">
      <c r="A200" t="s">
        <v>760</v>
      </c>
      <c r="B200" s="19" t="s">
        <v>26</v>
      </c>
      <c r="C200">
        <v>140</v>
      </c>
      <c r="D200">
        <f t="shared" si="11"/>
        <v>7</v>
      </c>
      <c r="F200" t="s">
        <v>1096</v>
      </c>
      <c r="G200" cm="1">
        <f t="array" ref="G200">COUNT(IF(($A200=pokemon!$AC$2:$AC$412)*(pokemon!$AB$2:$AB$412 &lt;&gt; "Noble Form")*(ISBLANK(pokemon!$AJ$2:$AJ$412)), pokemon!$T$2:$T$412))</f>
        <v>1</v>
      </c>
      <c r="H200" cm="1">
        <f t="array" ref="H200">MIN(IF(($A200=pokemon!$AC$2:$AC$412)*(pokemon!$AB$2:$AB$412 &lt;&gt; "Noble Form")*(ISBLANK(pokemon!$AJ$2:$AJ$412)), pokemon!$T$2:$T$412))</f>
        <v>35</v>
      </c>
      <c r="I200" cm="1">
        <f t="array" ref="I200">MAX(IF(($A200=pokemon!$AC$2:$AC$412)*(pokemon!$AB$2:$AB$412 &lt;&gt; "Noble Form")*(ISBLANK(pokemon!$AJ$2:$AJ$412)), pokemon!$T$2:$T$412))</f>
        <v>35</v>
      </c>
      <c r="J200">
        <f t="shared" si="10"/>
        <v>0</v>
      </c>
    </row>
    <row r="201" spans="1:10" x14ac:dyDescent="0.25">
      <c r="A201" t="s">
        <v>852</v>
      </c>
      <c r="B201" s="19" t="s">
        <v>26</v>
      </c>
      <c r="C201">
        <v>140</v>
      </c>
      <c r="D201">
        <f t="shared" si="11"/>
        <v>7</v>
      </c>
      <c r="F201" t="s">
        <v>993</v>
      </c>
      <c r="G201" cm="1">
        <f t="array" ref="G201">COUNT(IF(($A201=pokemon!$AC$2:$AC$412)*(pokemon!$AB$2:$AB$412 &lt;&gt; "Noble Form")*(ISBLANK(pokemon!$AJ$2:$AJ$412)), pokemon!$T$2:$T$412))</f>
        <v>1</v>
      </c>
      <c r="H201" cm="1">
        <f t="array" ref="H201">MIN(IF(($A201=pokemon!$AC$2:$AC$412)*(pokemon!$AB$2:$AB$412 &lt;&gt; "Noble Form")*(ISBLANK(pokemon!$AJ$2:$AJ$412)), pokemon!$T$2:$T$412))</f>
        <v>17</v>
      </c>
      <c r="I201" cm="1">
        <f t="array" ref="I201">MAX(IF(($A201=pokemon!$AC$2:$AC$412)*(pokemon!$AB$2:$AB$412 &lt;&gt; "Noble Form")*(ISBLANK(pokemon!$AJ$2:$AJ$412)), pokemon!$T$2:$T$412))</f>
        <v>17</v>
      </c>
      <c r="J201">
        <f t="shared" si="10"/>
        <v>0</v>
      </c>
    </row>
    <row r="202" spans="1:10" x14ac:dyDescent="0.25">
      <c r="A202" t="s">
        <v>1369</v>
      </c>
      <c r="B202" s="19" t="s">
        <v>26</v>
      </c>
      <c r="C202">
        <v>70</v>
      </c>
      <c r="D202">
        <f t="shared" si="11"/>
        <v>3</v>
      </c>
      <c r="F202" t="s">
        <v>1370</v>
      </c>
      <c r="G202" cm="1">
        <f t="array" ref="G202">COUNT(IF(($A202=pokemon!$AC$2:$AC$412)*(pokemon!$AB$2:$AB$412 &lt;&gt; "Noble Form")*(ISBLANK(pokemon!$AJ$2:$AJ$412)), pokemon!$T$2:$T$412))</f>
        <v>1</v>
      </c>
      <c r="H202" cm="1">
        <f t="array" ref="H202">MIN(IF(($A202=pokemon!$AC$2:$AC$412)*(pokemon!$AB$2:$AB$412 &lt;&gt; "Noble Form")*(ISBLANK(pokemon!$AJ$2:$AJ$412)), pokemon!$T$2:$T$412))</f>
        <v>21</v>
      </c>
      <c r="I202" cm="1">
        <f t="array" ref="I202">MAX(IF(($A202=pokemon!$AC$2:$AC$412)*(pokemon!$AB$2:$AB$412 &lt;&gt; "Noble Form")*(ISBLANK(pokemon!$AJ$2:$AJ$412)), pokemon!$T$2:$T$412))</f>
        <v>21</v>
      </c>
      <c r="J202">
        <f t="shared" si="10"/>
        <v>0</v>
      </c>
    </row>
    <row r="203" spans="1:10" x14ac:dyDescent="0.25">
      <c r="A203" t="s">
        <v>1477</v>
      </c>
      <c r="B203" s="19" t="s">
        <v>26</v>
      </c>
      <c r="C203">
        <v>60</v>
      </c>
      <c r="D203">
        <f>IF(NOT(ISBLANK(C203)), IF(ISNUMBER(C203), ROUND((C203 - 5)/20, 0), C203), "")</f>
        <v>3</v>
      </c>
      <c r="E203" s="1" t="s">
        <v>1450</v>
      </c>
      <c r="F203" t="s">
        <v>1478</v>
      </c>
      <c r="G203" cm="1">
        <f t="array" ref="G203">COUNT(IF(($A203=pokemon!$AC$2:$AC$412)*(pokemon!$AB$2:$AB$412 &lt;&gt; "Noble Form")*(ISBLANK(pokemon!$AJ$2:$AJ$412)), pokemon!$T$2:$T$412))</f>
        <v>2</v>
      </c>
      <c r="H203" cm="1">
        <f t="array" ref="H203">MIN(IF(($A203=pokemon!$AC$2:$AC$412)*(pokemon!$AB$2:$AB$412 &lt;&gt; "Noble Form")*(ISBLANK(pokemon!$AJ$2:$AJ$412)), pokemon!$T$2:$T$412))</f>
        <v>16</v>
      </c>
      <c r="I203" cm="1">
        <f t="array" ref="I203">MAX(IF(($A203=pokemon!$AC$2:$AC$412)*(pokemon!$AB$2:$AB$412 &lt;&gt; "Noble Form")*(ISBLANK(pokemon!$AJ$2:$AJ$412)), pokemon!$T$2:$T$412))</f>
        <v>16</v>
      </c>
      <c r="J203">
        <f>I203-H203</f>
        <v>0</v>
      </c>
    </row>
    <row r="204" spans="1:10" x14ac:dyDescent="0.25">
      <c r="A204" t="s">
        <v>1472</v>
      </c>
      <c r="B204" s="19" t="s">
        <v>26</v>
      </c>
      <c r="C204">
        <v>80</v>
      </c>
      <c r="D204">
        <f>IF(NOT(ISBLANK(C204)), IF(ISNUMBER(C204), ROUND((C204 - 5)/20, 0), C204), "")</f>
        <v>4</v>
      </c>
      <c r="F204" t="s">
        <v>1252</v>
      </c>
      <c r="G204" cm="1">
        <f t="array" ref="G204">COUNT(IF(($A204=pokemon!$AC$2:$AC$412)*(pokemon!$AB$2:$AB$412 &lt;&gt; "Noble Form")*(ISBLANK(pokemon!$AJ$2:$AJ$412)), pokemon!$T$2:$T$412))</f>
        <v>1</v>
      </c>
      <c r="H204" cm="1">
        <f t="array" ref="H204">MIN(IF(($A204=pokemon!$AC$2:$AC$412)*(pokemon!$AB$2:$AB$412 &lt;&gt; "Noble Form")*(ISBLANK(pokemon!$AJ$2:$AJ$412)), pokemon!$T$2:$T$412))</f>
        <v>14</v>
      </c>
      <c r="I204" cm="1">
        <f t="array" ref="I204">MAX(IF(($A204=pokemon!$AC$2:$AC$412)*(pokemon!$AB$2:$AB$412 &lt;&gt; "Noble Form")*(ISBLANK(pokemon!$AJ$2:$AJ$412)), pokemon!$T$2:$T$412))</f>
        <v>14</v>
      </c>
      <c r="J204">
        <f>I204-H204</f>
        <v>0</v>
      </c>
    </row>
    <row r="205" spans="1:10" x14ac:dyDescent="0.25">
      <c r="A205" t="s">
        <v>640</v>
      </c>
      <c r="B205" s="21" t="s">
        <v>33</v>
      </c>
      <c r="C205">
        <v>50</v>
      </c>
      <c r="D205">
        <f t="shared" si="11"/>
        <v>2</v>
      </c>
      <c r="F205" t="s">
        <v>1112</v>
      </c>
      <c r="G205" cm="1">
        <f t="array" ref="G205">COUNT(IF(($A205=pokemon!$AC$2:$AC$412)*(pokemon!$AB$2:$AB$412 &lt;&gt; "Noble Form")*(ISBLANK(pokemon!$AJ$2:$AJ$412)), pokemon!$T$2:$T$412))</f>
        <v>2</v>
      </c>
      <c r="H205" cm="1">
        <f t="array" ref="H205">MIN(IF(($A205=pokemon!$AC$2:$AC$412)*(pokemon!$AB$2:$AB$412 &lt;&gt; "Noble Form")*(ISBLANK(pokemon!$AJ$2:$AJ$412)), pokemon!$T$2:$T$412))</f>
        <v>11</v>
      </c>
      <c r="I205" cm="1">
        <f t="array" ref="I205">MAX(IF(($A205=pokemon!$AC$2:$AC$412)*(pokemon!$AB$2:$AB$412 &lt;&gt; "Noble Form")*(ISBLANK(pokemon!$AJ$2:$AJ$412)), pokemon!$T$2:$T$412))</f>
        <v>13</v>
      </c>
      <c r="J205">
        <f t="shared" si="10"/>
        <v>2</v>
      </c>
    </row>
    <row r="206" spans="1:10" x14ac:dyDescent="0.25">
      <c r="A206" t="s">
        <v>535</v>
      </c>
      <c r="B206" s="21" t="s">
        <v>33</v>
      </c>
      <c r="C206">
        <v>40</v>
      </c>
      <c r="D206">
        <f t="shared" si="11"/>
        <v>2</v>
      </c>
      <c r="E206" s="1" t="s">
        <v>1450</v>
      </c>
      <c r="F206" t="s">
        <v>1421</v>
      </c>
      <c r="G206" cm="1">
        <f t="array" ref="G206">COUNT(IF(($A206=pokemon!$AC$2:$AC$412)*(pokemon!$AB$2:$AB$412 &lt;&gt; "Noble Form")*(ISBLANK(pokemon!$AJ$2:$AJ$412)), pokemon!$T$2:$T$412))</f>
        <v>4</v>
      </c>
      <c r="H206" cm="1">
        <f t="array" ref="H206">MIN(IF(($A206=pokemon!$AC$2:$AC$412)*(pokemon!$AB$2:$AB$412 &lt;&gt; "Noble Form")*(ISBLANK(pokemon!$AJ$2:$AJ$412)), pokemon!$T$2:$T$412))</f>
        <v>10</v>
      </c>
      <c r="I206" cm="1">
        <f t="array" ref="I206">MAX(IF(($A206=pokemon!$AC$2:$AC$412)*(pokemon!$AB$2:$AB$412 &lt;&gt; "Noble Form")*(ISBLANK(pokemon!$AJ$2:$AJ$412)), pokemon!$T$2:$T$412))</f>
        <v>15</v>
      </c>
      <c r="J206">
        <f t="shared" ref="J206:J255" si="12">I206-H206</f>
        <v>5</v>
      </c>
    </row>
    <row r="207" spans="1:10" x14ac:dyDescent="0.25">
      <c r="A207" t="s">
        <v>534</v>
      </c>
      <c r="B207" s="21" t="s">
        <v>33</v>
      </c>
      <c r="C207">
        <v>60</v>
      </c>
      <c r="D207">
        <f t="shared" si="11"/>
        <v>3</v>
      </c>
      <c r="F207" t="s">
        <v>1263</v>
      </c>
      <c r="G207" cm="1">
        <f t="array" ref="G207">COUNT(IF(($A207=pokemon!$AC$2:$AC$412)*(pokemon!$AB$2:$AB$412 &lt;&gt; "Noble Form")*(ISBLANK(pokemon!$AJ$2:$AJ$412)), pokemon!$T$2:$T$412))</f>
        <v>2</v>
      </c>
      <c r="H207" cm="1">
        <f t="array" ref="H207">MIN(IF(($A207=pokemon!$AC$2:$AC$412)*(pokemon!$AB$2:$AB$412 &lt;&gt; "Noble Form")*(ISBLANK(pokemon!$AJ$2:$AJ$412)), pokemon!$T$2:$T$412))</f>
        <v>10</v>
      </c>
      <c r="I207" cm="1">
        <f t="array" ref="I207">MAX(IF(($A207=pokemon!$AC$2:$AC$412)*(pokemon!$AB$2:$AB$412 &lt;&gt; "Noble Form")*(ISBLANK(pokemon!$AJ$2:$AJ$412)), pokemon!$T$2:$T$412))</f>
        <v>13</v>
      </c>
      <c r="J207">
        <f t="shared" si="12"/>
        <v>3</v>
      </c>
    </row>
    <row r="208" spans="1:10" x14ac:dyDescent="0.25">
      <c r="A208" t="s">
        <v>1371</v>
      </c>
      <c r="B208" s="21" t="s">
        <v>33</v>
      </c>
      <c r="C208">
        <v>60</v>
      </c>
      <c r="D208">
        <f t="shared" si="11"/>
        <v>3</v>
      </c>
      <c r="E208" s="1" t="s">
        <v>1450</v>
      </c>
      <c r="F208" t="s">
        <v>1417</v>
      </c>
      <c r="G208" cm="1">
        <f t="array" ref="G208">COUNT(IF(($A208=pokemon!$AC$2:$AC$412)*(pokemon!$AB$2:$AB$412 &lt;&gt; "Noble Form")*(ISBLANK(pokemon!$AJ$2:$AJ$412)), pokemon!$T$2:$T$412))</f>
        <v>1</v>
      </c>
      <c r="H208" cm="1">
        <f t="array" ref="H208">MIN(IF(($A208=pokemon!$AC$2:$AC$412)*(pokemon!$AB$2:$AB$412 &lt;&gt; "Noble Form")*(ISBLANK(pokemon!$AJ$2:$AJ$412)), pokemon!$T$2:$T$412))</f>
        <v>20</v>
      </c>
      <c r="I208" cm="1">
        <f t="array" ref="I208">MAX(IF(($A208=pokemon!$AC$2:$AC$412)*(pokemon!$AB$2:$AB$412 &lt;&gt; "Noble Form")*(ISBLANK(pokemon!$AJ$2:$AJ$412)), pokemon!$T$2:$T$412))</f>
        <v>20</v>
      </c>
      <c r="J208">
        <f t="shared" si="12"/>
        <v>0</v>
      </c>
    </row>
    <row r="209" spans="1:10" x14ac:dyDescent="0.25">
      <c r="A209" t="s">
        <v>1238</v>
      </c>
      <c r="B209" s="21" t="s">
        <v>33</v>
      </c>
      <c r="C209">
        <v>80</v>
      </c>
      <c r="D209">
        <f t="shared" si="11"/>
        <v>4</v>
      </c>
      <c r="F209" t="s">
        <v>1258</v>
      </c>
      <c r="G209" cm="1">
        <f t="array" ref="G209">COUNT(IF(($A209=pokemon!$AC$2:$AC$412)*(pokemon!$AB$2:$AB$412 &lt;&gt; "Noble Form")*(ISBLANK(pokemon!$AJ$2:$AJ$412)), pokemon!$T$2:$T$412))</f>
        <v>1</v>
      </c>
      <c r="H209" cm="1">
        <f t="array" ref="H209">MIN(IF(($A209=pokemon!$AC$2:$AC$412)*(pokemon!$AB$2:$AB$412 &lt;&gt; "Noble Form")*(ISBLANK(pokemon!$AJ$2:$AJ$412)), pokemon!$T$2:$T$412))</f>
        <v>16</v>
      </c>
      <c r="I209" cm="1">
        <f t="array" ref="I209">MAX(IF(($A209=pokemon!$AC$2:$AC$412)*(pokemon!$AB$2:$AB$412 &lt;&gt; "Noble Form")*(ISBLANK(pokemon!$AJ$2:$AJ$412)), pokemon!$T$2:$T$412))</f>
        <v>16</v>
      </c>
      <c r="J209">
        <f t="shared" si="12"/>
        <v>0</v>
      </c>
    </row>
    <row r="210" spans="1:10" x14ac:dyDescent="0.25">
      <c r="A210" t="s">
        <v>499</v>
      </c>
      <c r="B210" s="21" t="s">
        <v>33</v>
      </c>
      <c r="C210">
        <v>100</v>
      </c>
      <c r="D210">
        <f t="shared" si="11"/>
        <v>5</v>
      </c>
      <c r="F210" t="s">
        <v>639</v>
      </c>
      <c r="G210" cm="1">
        <f t="array" ref="G210">COUNT(IF(($A210=pokemon!$AC$2:$AC$412)*(pokemon!$AB$2:$AB$412 &lt;&gt; "Noble Form")*(ISBLANK(pokemon!$AJ$2:$AJ$412)), pokemon!$T$2:$T$412))</f>
        <v>2</v>
      </c>
      <c r="H210" cm="1">
        <f t="array" ref="H210">MIN(IF(($A210=pokemon!$AC$2:$AC$412)*(pokemon!$AB$2:$AB$412 &lt;&gt; "Noble Form")*(ISBLANK(pokemon!$AJ$2:$AJ$412)), pokemon!$T$2:$T$412))</f>
        <v>15</v>
      </c>
      <c r="I210" cm="1">
        <f t="array" ref="I210">MAX(IF(($A210=pokemon!$AC$2:$AC$412)*(pokemon!$AB$2:$AB$412 &lt;&gt; "Noble Form")*(ISBLANK(pokemon!$AJ$2:$AJ$412)), pokemon!$T$2:$T$412))</f>
        <v>20</v>
      </c>
      <c r="J210">
        <f t="shared" si="12"/>
        <v>5</v>
      </c>
    </row>
    <row r="211" spans="1:10" x14ac:dyDescent="0.25">
      <c r="A211" t="s">
        <v>501</v>
      </c>
      <c r="B211" s="21" t="s">
        <v>33</v>
      </c>
      <c r="C211">
        <v>100</v>
      </c>
      <c r="D211">
        <f t="shared" si="11"/>
        <v>5</v>
      </c>
      <c r="F211" t="s">
        <v>762</v>
      </c>
      <c r="G211" cm="1">
        <f t="array" ref="G211">COUNT(IF(($A211=pokemon!$AC$2:$AC$412)*(pokemon!$AB$2:$AB$412 &lt;&gt; "Noble Form")*(ISBLANK(pokemon!$AJ$2:$AJ$412)), pokemon!$T$2:$T$412))</f>
        <v>3</v>
      </c>
      <c r="H211" cm="1">
        <f t="array" ref="H211">MIN(IF(($A211=pokemon!$AC$2:$AC$412)*(pokemon!$AB$2:$AB$412 &lt;&gt; "Noble Form")*(ISBLANK(pokemon!$AJ$2:$AJ$412)), pokemon!$T$2:$T$412))</f>
        <v>12</v>
      </c>
      <c r="I211" cm="1">
        <f t="array" ref="I211">MAX(IF(($A211=pokemon!$AC$2:$AC$412)*(pokemon!$AB$2:$AB$412 &lt;&gt; "Noble Form")*(ISBLANK(pokemon!$AJ$2:$AJ$412)), pokemon!$T$2:$T$412))</f>
        <v>13</v>
      </c>
      <c r="J211">
        <f t="shared" si="12"/>
        <v>1</v>
      </c>
    </row>
    <row r="212" spans="1:10" x14ac:dyDescent="0.25">
      <c r="A212" t="s">
        <v>514</v>
      </c>
      <c r="B212" s="21" t="s">
        <v>33</v>
      </c>
      <c r="C212">
        <v>160</v>
      </c>
      <c r="D212">
        <f t="shared" si="11"/>
        <v>8</v>
      </c>
      <c r="E212" s="1" t="s">
        <v>1438</v>
      </c>
      <c r="F212" t="s">
        <v>1476</v>
      </c>
      <c r="G212" cm="1">
        <f t="array" ref="G212">COUNT(IF(($A212=pokemon!$AC$2:$AC$412)*(pokemon!$AB$2:$AB$412 &lt;&gt; "Noble Form")*(ISBLANK(pokemon!$AJ$2:$AJ$412)), pokemon!$T$2:$T$412))</f>
        <v>1</v>
      </c>
      <c r="H212" cm="1">
        <f t="array" ref="H212">MIN(IF(($A212=pokemon!$AC$2:$AC$412)*(pokemon!$AB$2:$AB$412 &lt;&gt; "Noble Form")*(ISBLANK(pokemon!$AJ$2:$AJ$412)), pokemon!$T$2:$T$412))</f>
        <v>18</v>
      </c>
      <c r="I212" cm="1">
        <f t="array" ref="I212">MAX(IF(($A212=pokemon!$AC$2:$AC$412)*(pokemon!$AB$2:$AB$412 &lt;&gt; "Noble Form")*(ISBLANK(pokemon!$AJ$2:$AJ$412)), pokemon!$T$2:$T$412))</f>
        <v>18</v>
      </c>
      <c r="J212">
        <f t="shared" si="12"/>
        <v>0</v>
      </c>
    </row>
    <row r="213" spans="1:10" x14ac:dyDescent="0.25">
      <c r="A213" t="s">
        <v>500</v>
      </c>
      <c r="B213" s="21" t="s">
        <v>33</v>
      </c>
      <c r="C213">
        <v>120</v>
      </c>
      <c r="D213">
        <f t="shared" si="11"/>
        <v>6</v>
      </c>
      <c r="E213" s="1" t="s">
        <v>1438</v>
      </c>
      <c r="F213" t="s">
        <v>1441</v>
      </c>
      <c r="G213" cm="1">
        <f t="array" ref="G213">COUNT(IF(($A213=pokemon!$AC$2:$AC$412)*(pokemon!$AB$2:$AB$412 &lt;&gt; "Noble Form")*(ISBLANK(pokemon!$AJ$2:$AJ$412)), pokemon!$T$2:$T$412))</f>
        <v>1</v>
      </c>
      <c r="H213" cm="1">
        <f t="array" ref="H213">MIN(IF(($A213=pokemon!$AC$2:$AC$412)*(pokemon!$AB$2:$AB$412 &lt;&gt; "Noble Form")*(ISBLANK(pokemon!$AJ$2:$AJ$412)), pokemon!$T$2:$T$412))</f>
        <v>19</v>
      </c>
      <c r="I213" cm="1">
        <f t="array" ref="I213">MAX(IF(($A213=pokemon!$AC$2:$AC$412)*(pokemon!$AB$2:$AB$412 &lt;&gt; "Noble Form")*(ISBLANK(pokemon!$AJ$2:$AJ$412)), pokemon!$T$2:$T$412))</f>
        <v>19</v>
      </c>
      <c r="J213">
        <f t="shared" si="12"/>
        <v>0</v>
      </c>
    </row>
    <row r="214" spans="1:10" x14ac:dyDescent="0.25">
      <c r="A214" t="s">
        <v>1367</v>
      </c>
      <c r="B214" s="21" t="s">
        <v>33</v>
      </c>
      <c r="C214">
        <v>80</v>
      </c>
      <c r="D214">
        <f t="shared" si="11"/>
        <v>4</v>
      </c>
      <c r="F214" t="s">
        <v>1365</v>
      </c>
      <c r="G214" cm="1">
        <f t="array" ref="G214">COUNT(IF(($A214=pokemon!$AC$2:$AC$412)*(pokemon!$AB$2:$AB$412 &lt;&gt; "Noble Form")*(ISBLANK(pokemon!$AJ$2:$AJ$412)), pokemon!$T$2:$T$412))</f>
        <v>1</v>
      </c>
      <c r="H214" cm="1">
        <f t="array" ref="H214">MIN(IF(($A214=pokemon!$AC$2:$AC$412)*(pokemon!$AB$2:$AB$412 &lt;&gt; "Noble Form")*(ISBLANK(pokemon!$AJ$2:$AJ$412)), pokemon!$T$2:$T$412))</f>
        <v>21</v>
      </c>
      <c r="I214" cm="1">
        <f t="array" ref="I214">MAX(IF(($A214=pokemon!$AC$2:$AC$412)*(pokemon!$AB$2:$AB$412 &lt;&gt; "Noble Form")*(ISBLANK(pokemon!$AJ$2:$AJ$412)), pokemon!$T$2:$T$412))</f>
        <v>21</v>
      </c>
      <c r="J214">
        <f t="shared" si="12"/>
        <v>0</v>
      </c>
    </row>
    <row r="215" spans="1:10" x14ac:dyDescent="0.25">
      <c r="A215" t="s">
        <v>1224</v>
      </c>
      <c r="B215" s="21" t="s">
        <v>33</v>
      </c>
      <c r="C215">
        <v>20</v>
      </c>
      <c r="D215">
        <f t="shared" si="11"/>
        <v>1</v>
      </c>
      <c r="F215" t="s">
        <v>1471</v>
      </c>
      <c r="G215" cm="1">
        <f t="array" ref="G215">COUNT(IF(($A215=pokemon!$AC$2:$AC$412)*(pokemon!$AB$2:$AB$412 &lt;&gt; "Noble Form")*(ISBLANK(pokemon!$AJ$2:$AJ$412)), pokemon!$T$2:$T$412))</f>
        <v>1</v>
      </c>
      <c r="H215" cm="1">
        <f t="array" ref="H215">MIN(IF(($A215=pokemon!$AC$2:$AC$412)*(pokemon!$AB$2:$AB$412 &lt;&gt; "Noble Form")*(ISBLANK(pokemon!$AJ$2:$AJ$412)), pokemon!$T$2:$T$412))</f>
        <v>28</v>
      </c>
      <c r="I215" cm="1">
        <f t="array" ref="I215">MAX(IF(($A215=pokemon!$AC$2:$AC$412)*(pokemon!$AB$2:$AB$412 &lt;&gt; "Noble Form")*(ISBLANK(pokemon!$AJ$2:$AJ$412)), pokemon!$T$2:$T$412))</f>
        <v>28</v>
      </c>
      <c r="J215">
        <f t="shared" si="12"/>
        <v>0</v>
      </c>
    </row>
    <row r="216" spans="1:10" x14ac:dyDescent="0.25">
      <c r="A216" t="s">
        <v>1403</v>
      </c>
      <c r="B216" s="21" t="s">
        <v>33</v>
      </c>
      <c r="C216">
        <v>80</v>
      </c>
      <c r="D216">
        <f t="shared" si="11"/>
        <v>4</v>
      </c>
      <c r="E216" s="1" t="s">
        <v>1435</v>
      </c>
      <c r="F216" t="s">
        <v>1431</v>
      </c>
      <c r="G216" cm="1">
        <f t="array" ref="G216">COUNT(IF(($A216=pokemon!$AC$2:$AC$412)*(pokemon!$AB$2:$AB$412 &lt;&gt; "Noble Form")*(ISBLANK(pokemon!$AJ$2:$AJ$412)), pokemon!$T$2:$T$412))</f>
        <v>1</v>
      </c>
      <c r="H216" cm="1">
        <f t="array" ref="H216">MIN(IF(($A216=pokemon!$AC$2:$AC$412)*(pokemon!$AB$2:$AB$412 &lt;&gt; "Noble Form")*(ISBLANK(pokemon!$AJ$2:$AJ$412)), pokemon!$T$2:$T$412))</f>
        <v>15</v>
      </c>
      <c r="I216" cm="1">
        <f t="array" ref="I216">MAX(IF(($A216=pokemon!$AC$2:$AC$412)*(pokemon!$AB$2:$AB$412 &lt;&gt; "Noble Form")*(ISBLANK(pokemon!$AJ$2:$AJ$412)), pokemon!$T$2:$T$412))</f>
        <v>15</v>
      </c>
      <c r="J216">
        <f>I216-H216</f>
        <v>0</v>
      </c>
    </row>
    <row r="217" spans="1:10" x14ac:dyDescent="0.25">
      <c r="A217" t="s">
        <v>1400</v>
      </c>
      <c r="B217" s="21" t="s">
        <v>33</v>
      </c>
      <c r="C217">
        <v>40</v>
      </c>
      <c r="D217">
        <f t="shared" si="11"/>
        <v>2</v>
      </c>
      <c r="E217" s="1" t="s">
        <v>1435</v>
      </c>
      <c r="F217" t="s">
        <v>1464</v>
      </c>
      <c r="G217" cm="1">
        <f t="array" ref="G217">COUNT(IF(($A217=pokemon!$AC$2:$AC$412)*(pokemon!$AB$2:$AB$412 &lt;&gt; "Noble Form")*(ISBLANK(pokemon!$AJ$2:$AJ$412)), pokemon!$T$2:$T$412))</f>
        <v>1</v>
      </c>
      <c r="H217" cm="1">
        <f t="array" ref="H217">MIN(IF(($A217=pokemon!$AC$2:$AC$412)*(pokemon!$AB$2:$AB$412 &lt;&gt; "Noble Form")*(ISBLANK(pokemon!$AJ$2:$AJ$412)), pokemon!$T$2:$T$412))</f>
        <v>15</v>
      </c>
      <c r="I217" cm="1">
        <f t="array" ref="I217">MAX(IF(($A217=pokemon!$AC$2:$AC$412)*(pokemon!$AB$2:$AB$412 &lt;&gt; "Noble Form")*(ISBLANK(pokemon!$AJ$2:$AJ$412)), pokemon!$T$2:$T$412))</f>
        <v>15</v>
      </c>
      <c r="J217">
        <f t="shared" si="12"/>
        <v>0</v>
      </c>
    </row>
    <row r="218" spans="1:10" x14ac:dyDescent="0.25">
      <c r="A218" t="s">
        <v>774</v>
      </c>
      <c r="B218" s="25" t="s">
        <v>39</v>
      </c>
      <c r="C218">
        <v>20</v>
      </c>
      <c r="D218">
        <f t="shared" si="11"/>
        <v>1</v>
      </c>
      <c r="E218" s="1" t="s">
        <v>1448</v>
      </c>
      <c r="F218" t="s">
        <v>1449</v>
      </c>
      <c r="G218" cm="1">
        <f t="array" ref="G218">COUNT(IF(($A218=pokemon!$AC$2:$AC$412)*(pokemon!$AB$2:$AB$412 &lt;&gt; "Noble Form")*(ISBLANK(pokemon!$AJ$2:$AJ$412)), pokemon!$T$2:$T$412))</f>
        <v>1</v>
      </c>
      <c r="H218" cm="1">
        <f t="array" ref="H218">MIN(IF(($A218=pokemon!$AC$2:$AC$412)*(pokemon!$AB$2:$AB$412 &lt;&gt; "Noble Form")*(ISBLANK(pokemon!$AJ$2:$AJ$412)), pokemon!$T$2:$T$412))</f>
        <v>10</v>
      </c>
      <c r="I218" cm="1">
        <f t="array" ref="I218">MAX(IF(($A218=pokemon!$AC$2:$AC$412)*(pokemon!$AB$2:$AB$412 &lt;&gt; "Noble Form")*(ISBLANK(pokemon!$AJ$2:$AJ$412)), pokemon!$T$2:$T$412))</f>
        <v>10</v>
      </c>
      <c r="J218">
        <f t="shared" si="12"/>
        <v>0</v>
      </c>
    </row>
    <row r="219" spans="1:10" x14ac:dyDescent="0.25">
      <c r="A219" t="s">
        <v>1032</v>
      </c>
      <c r="B219" s="25" t="s">
        <v>39</v>
      </c>
      <c r="C219">
        <v>20</v>
      </c>
      <c r="D219">
        <f t="shared" si="11"/>
        <v>1</v>
      </c>
      <c r="E219" s="1" t="s">
        <v>1435</v>
      </c>
      <c r="F219" t="s">
        <v>1432</v>
      </c>
      <c r="G219" cm="1">
        <f t="array" ref="G219">COUNT(IF(($A219=pokemon!$AC$2:$AC$412)*(pokemon!$AB$2:$AB$412 &lt;&gt; "Noble Form")*(ISBLANK(pokemon!$AJ$2:$AJ$412)), pokemon!$T$2:$T$412))</f>
        <v>1</v>
      </c>
      <c r="H219" cm="1">
        <f t="array" ref="H219">MIN(IF(($A219=pokemon!$AC$2:$AC$412)*(pokemon!$AB$2:$AB$412 &lt;&gt; "Noble Form")*(ISBLANK(pokemon!$AJ$2:$AJ$412)), pokemon!$T$2:$T$412))</f>
        <v>19</v>
      </c>
      <c r="I219" cm="1">
        <f t="array" ref="I219">MAX(IF(($A219=pokemon!$AC$2:$AC$412)*(pokemon!$AB$2:$AB$412 &lt;&gt; "Noble Form")*(ISBLANK(pokemon!$AJ$2:$AJ$412)), pokemon!$T$2:$T$412))</f>
        <v>19</v>
      </c>
      <c r="J219">
        <f t="shared" si="12"/>
        <v>0</v>
      </c>
    </row>
    <row r="220" spans="1:10" x14ac:dyDescent="0.25">
      <c r="A220" t="s">
        <v>649</v>
      </c>
      <c r="B220" s="25" t="s">
        <v>39</v>
      </c>
      <c r="C220">
        <v>40</v>
      </c>
      <c r="D220">
        <f t="shared" si="11"/>
        <v>2</v>
      </c>
      <c r="E220" s="1" t="s">
        <v>1436</v>
      </c>
      <c r="F220" t="s">
        <v>578</v>
      </c>
      <c r="G220" cm="1">
        <f t="array" ref="G220">COUNT(IF(($A220=pokemon!$AC$2:$AC$412)*(pokemon!$AB$2:$AB$412 &lt;&gt; "Noble Form")*(ISBLANK(pokemon!$AJ$2:$AJ$412)), pokemon!$T$2:$T$412))</f>
        <v>1</v>
      </c>
      <c r="H220" cm="1">
        <f t="array" ref="H220">MIN(IF(($A220=pokemon!$AC$2:$AC$412)*(pokemon!$AB$2:$AB$412 &lt;&gt; "Noble Form")*(ISBLANK(pokemon!$AJ$2:$AJ$412)), pokemon!$T$2:$T$412))</f>
        <v>19</v>
      </c>
      <c r="I220" cm="1">
        <f t="array" ref="I220">MAX(IF(($A220=pokemon!$AC$2:$AC$412)*(pokemon!$AB$2:$AB$412 &lt;&gt; "Noble Form")*(ISBLANK(pokemon!$AJ$2:$AJ$412)), pokemon!$T$2:$T$412))</f>
        <v>19</v>
      </c>
      <c r="J220">
        <f t="shared" si="12"/>
        <v>0</v>
      </c>
    </row>
    <row r="221" spans="1:10" x14ac:dyDescent="0.25">
      <c r="A221" t="s">
        <v>715</v>
      </c>
      <c r="B221" s="25" t="s">
        <v>39</v>
      </c>
      <c r="C221">
        <v>60</v>
      </c>
      <c r="D221">
        <f t="shared" si="11"/>
        <v>3</v>
      </c>
      <c r="F221" t="s">
        <v>1262</v>
      </c>
      <c r="G221" cm="1">
        <f t="array" ref="G221">COUNT(IF(($A221=pokemon!$AC$2:$AC$412)*(pokemon!$AB$2:$AB$412 &lt;&gt; "Noble Form")*(ISBLANK(pokemon!$AJ$2:$AJ$412)), pokemon!$T$2:$T$412))</f>
        <v>1</v>
      </c>
      <c r="H221" cm="1">
        <f t="array" ref="H221">MIN(IF(($A221=pokemon!$AC$2:$AC$412)*(pokemon!$AB$2:$AB$412 &lt;&gt; "Noble Form")*(ISBLANK(pokemon!$AJ$2:$AJ$412)), pokemon!$T$2:$T$412))</f>
        <v>28</v>
      </c>
      <c r="I221" cm="1">
        <f t="array" ref="I221">MAX(IF(($A221=pokemon!$AC$2:$AC$412)*(pokemon!$AB$2:$AB$412 &lt;&gt; "Noble Form")*(ISBLANK(pokemon!$AJ$2:$AJ$412)), pokemon!$T$2:$T$412))</f>
        <v>28</v>
      </c>
      <c r="J221">
        <f t="shared" si="12"/>
        <v>0</v>
      </c>
    </row>
    <row r="222" spans="1:10" x14ac:dyDescent="0.25">
      <c r="A222" t="s">
        <v>597</v>
      </c>
      <c r="B222" s="25" t="s">
        <v>39</v>
      </c>
      <c r="C222">
        <v>55</v>
      </c>
      <c r="D222">
        <f t="shared" si="11"/>
        <v>3</v>
      </c>
      <c r="F222" t="s">
        <v>578</v>
      </c>
      <c r="G222" cm="1">
        <f t="array" ref="G222">COUNT(IF(($A222=pokemon!$AC$2:$AC$412)*(pokemon!$AB$2:$AB$412 &lt;&gt; "Noble Form")*(ISBLANK(pokemon!$AJ$2:$AJ$412)), pokemon!$T$2:$T$412))</f>
        <v>2</v>
      </c>
      <c r="H222" cm="1">
        <f t="array" ref="H222">MIN(IF(($A222=pokemon!$AC$2:$AC$412)*(pokemon!$AB$2:$AB$412 &lt;&gt; "Noble Form")*(ISBLANK(pokemon!$AJ$2:$AJ$412)), pokemon!$T$2:$T$412))</f>
        <v>10</v>
      </c>
      <c r="I222" cm="1">
        <f t="array" ref="I222">MAX(IF(($A222=pokemon!$AC$2:$AC$412)*(pokemon!$AB$2:$AB$412 &lt;&gt; "Noble Form")*(ISBLANK(pokemon!$AJ$2:$AJ$412)), pokemon!$T$2:$T$412))</f>
        <v>14</v>
      </c>
      <c r="J222">
        <f t="shared" si="12"/>
        <v>4</v>
      </c>
    </row>
    <row r="223" spans="1:10" x14ac:dyDescent="0.25">
      <c r="A223" t="s">
        <v>1373</v>
      </c>
      <c r="B223" s="25" t="s">
        <v>39</v>
      </c>
      <c r="C223">
        <v>60</v>
      </c>
      <c r="D223">
        <f t="shared" si="11"/>
        <v>3</v>
      </c>
      <c r="E223" s="1" t="s">
        <v>1450</v>
      </c>
      <c r="F223" t="s">
        <v>1455</v>
      </c>
      <c r="G223" cm="1">
        <f t="array" ref="G223">COUNT(IF(($A223=pokemon!$AC$2:$AC$412)*(pokemon!$AB$2:$AB$412 &lt;&gt; "Noble Form")*(ISBLANK(pokemon!$AJ$2:$AJ$412)), pokemon!$T$2:$T$412))</f>
        <v>1</v>
      </c>
      <c r="H223" cm="1">
        <f t="array" ref="H223">MIN(IF(($A223=pokemon!$AC$2:$AC$412)*(pokemon!$AB$2:$AB$412 &lt;&gt; "Noble Form")*(ISBLANK(pokemon!$AJ$2:$AJ$412)), pokemon!$T$2:$T$412))</f>
        <v>20</v>
      </c>
      <c r="I223" cm="1">
        <f t="array" ref="I223">MAX(IF(($A223=pokemon!$AC$2:$AC$412)*(pokemon!$AB$2:$AB$412 &lt;&gt; "Noble Form")*(ISBLANK(pokemon!$AJ$2:$AJ$412)), pokemon!$T$2:$T$412))</f>
        <v>20</v>
      </c>
      <c r="J223">
        <f t="shared" si="12"/>
        <v>0</v>
      </c>
    </row>
    <row r="224" spans="1:10" x14ac:dyDescent="0.25">
      <c r="A224" t="s">
        <v>830</v>
      </c>
      <c r="B224" s="25" t="s">
        <v>39</v>
      </c>
      <c r="C224">
        <v>70</v>
      </c>
      <c r="D224">
        <f t="shared" si="11"/>
        <v>3</v>
      </c>
      <c r="F224" t="s">
        <v>1099</v>
      </c>
      <c r="G224" cm="1">
        <f t="array" ref="G224">COUNT(IF(($A224=pokemon!$AC$2:$AC$412)*(pokemon!$AB$2:$AB$412 &lt;&gt; "Noble Form")*(ISBLANK(pokemon!$AJ$2:$AJ$412)), pokemon!$T$2:$T$412))</f>
        <v>1</v>
      </c>
      <c r="H224" cm="1">
        <f t="array" ref="H224">MIN(IF(($A224=pokemon!$AC$2:$AC$412)*(pokemon!$AB$2:$AB$412 &lt;&gt; "Noble Form")*(ISBLANK(pokemon!$AJ$2:$AJ$412)), pokemon!$T$2:$T$412))</f>
        <v>13</v>
      </c>
      <c r="I224" cm="1">
        <f t="array" ref="I224">MAX(IF(($A224=pokemon!$AC$2:$AC$412)*(pokemon!$AB$2:$AB$412 &lt;&gt; "Noble Form")*(ISBLANK(pokemon!$AJ$2:$AJ$412)), pokemon!$T$2:$T$412))</f>
        <v>13</v>
      </c>
      <c r="J224">
        <f t="shared" si="12"/>
        <v>0</v>
      </c>
    </row>
    <row r="225" spans="1:10" x14ac:dyDescent="0.25">
      <c r="A225" t="s">
        <v>686</v>
      </c>
      <c r="B225" s="25" t="s">
        <v>39</v>
      </c>
      <c r="C225">
        <v>80</v>
      </c>
      <c r="D225">
        <f t="shared" si="11"/>
        <v>4</v>
      </c>
      <c r="E225" s="1" t="s">
        <v>1437</v>
      </c>
      <c r="F225" t="s">
        <v>1433</v>
      </c>
      <c r="G225" cm="1">
        <f t="array" ref="G225">COUNT(IF(($A225=pokemon!$AC$2:$AC$412)*(pokemon!$AB$2:$AB$412 &lt;&gt; "Noble Form")*(ISBLANK(pokemon!$AJ$2:$AJ$412)), pokemon!$T$2:$T$412))</f>
        <v>1</v>
      </c>
      <c r="H225" cm="1">
        <f t="array" ref="H225">MIN(IF(($A225=pokemon!$AC$2:$AC$412)*(pokemon!$AB$2:$AB$412 &lt;&gt; "Noble Form")*(ISBLANK(pokemon!$AJ$2:$AJ$412)), pokemon!$T$2:$T$412))</f>
        <v>18</v>
      </c>
      <c r="I225" cm="1">
        <f t="array" ref="I225">MAX(IF(($A225=pokemon!$AC$2:$AC$412)*(pokemon!$AB$2:$AB$412 &lt;&gt; "Noble Form")*(ISBLANK(pokemon!$AJ$2:$AJ$412)), pokemon!$T$2:$T$412))</f>
        <v>18</v>
      </c>
      <c r="J225">
        <f t="shared" si="12"/>
        <v>0</v>
      </c>
    </row>
    <row r="226" spans="1:10" x14ac:dyDescent="0.25">
      <c r="A226" t="s">
        <v>507</v>
      </c>
      <c r="B226" s="25" t="s">
        <v>39</v>
      </c>
      <c r="C226">
        <v>90</v>
      </c>
      <c r="D226">
        <f t="shared" si="11"/>
        <v>4</v>
      </c>
      <c r="F226" t="s">
        <v>1098</v>
      </c>
      <c r="G226" cm="1">
        <f t="array" ref="G226">COUNT(IF(($A226=pokemon!$AC$2:$AC$412)*(pokemon!$AB$2:$AB$412 &lt;&gt; "Noble Form")*(ISBLANK(pokemon!$AJ$2:$AJ$412)), pokemon!$T$2:$T$412))</f>
        <v>2</v>
      </c>
      <c r="H226" cm="1">
        <f t="array" ref="H226">MIN(IF(($A226=pokemon!$AC$2:$AC$412)*(pokemon!$AB$2:$AB$412 &lt;&gt; "Noble Form")*(ISBLANK(pokemon!$AJ$2:$AJ$412)), pokemon!$T$2:$T$412))</f>
        <v>14</v>
      </c>
      <c r="I226" cm="1">
        <f t="array" ref="I226">MAX(IF(($A226=pokemon!$AC$2:$AC$412)*(pokemon!$AB$2:$AB$412 &lt;&gt; "Noble Form")*(ISBLANK(pokemon!$AJ$2:$AJ$412)), pokemon!$T$2:$T$412))</f>
        <v>17</v>
      </c>
      <c r="J226">
        <f t="shared" si="12"/>
        <v>3</v>
      </c>
    </row>
    <row r="227" spans="1:10" x14ac:dyDescent="0.25">
      <c r="A227" t="s">
        <v>508</v>
      </c>
      <c r="B227" s="25" t="s">
        <v>39</v>
      </c>
      <c r="C227">
        <v>80</v>
      </c>
      <c r="D227">
        <f t="shared" si="11"/>
        <v>4</v>
      </c>
      <c r="F227" t="s">
        <v>664</v>
      </c>
      <c r="G227" cm="1">
        <f t="array" ref="G227">COUNT(IF(($A227=pokemon!$AC$2:$AC$412)*(pokemon!$AB$2:$AB$412 &lt;&gt; "Noble Form")*(ISBLANK(pokemon!$AJ$2:$AJ$412)), pokemon!$T$2:$T$412))</f>
        <v>1</v>
      </c>
      <c r="H227" cm="1">
        <f t="array" ref="H227">MIN(IF(($A227=pokemon!$AC$2:$AC$412)*(pokemon!$AB$2:$AB$412 &lt;&gt; "Noble Form")*(ISBLANK(pokemon!$AJ$2:$AJ$412)), pokemon!$T$2:$T$412))</f>
        <v>19</v>
      </c>
      <c r="I227" cm="1">
        <f t="array" ref="I227">MAX(IF(($A227=pokemon!$AC$2:$AC$412)*(pokemon!$AB$2:$AB$412 &lt;&gt; "Noble Form")*(ISBLANK(pokemon!$AJ$2:$AJ$412)), pokemon!$T$2:$T$412))</f>
        <v>19</v>
      </c>
      <c r="J227">
        <f t="shared" si="12"/>
        <v>0</v>
      </c>
    </row>
    <row r="228" spans="1:10" x14ac:dyDescent="0.25">
      <c r="A228" t="s">
        <v>1261</v>
      </c>
      <c r="B228" s="25" t="s">
        <v>39</v>
      </c>
      <c r="C228">
        <v>80</v>
      </c>
      <c r="D228">
        <f t="shared" si="11"/>
        <v>4</v>
      </c>
      <c r="F228" t="s">
        <v>1188</v>
      </c>
      <c r="G228" cm="1">
        <f t="array" ref="G228">COUNT(IF(($A228=pokemon!$AC$2:$AC$412)*(pokemon!$AB$2:$AB$412 &lt;&gt; "Noble Form")*(ISBLANK(pokemon!$AJ$2:$AJ$412)), pokemon!$T$2:$T$412))</f>
        <v>1</v>
      </c>
      <c r="H228" cm="1">
        <f t="array" ref="H228">MIN(IF(($A228=pokemon!$AC$2:$AC$412)*(pokemon!$AB$2:$AB$412 &lt;&gt; "Noble Form")*(ISBLANK(pokemon!$AJ$2:$AJ$412)), pokemon!$T$2:$T$412))</f>
        <v>24</v>
      </c>
      <c r="I228" cm="1">
        <f t="array" ref="I228">MAX(IF(($A228=pokemon!$AC$2:$AC$412)*(pokemon!$AB$2:$AB$412 &lt;&gt; "Noble Form")*(ISBLANK(pokemon!$AJ$2:$AJ$412)), pokemon!$T$2:$T$412))</f>
        <v>24</v>
      </c>
      <c r="J228">
        <f t="shared" si="12"/>
        <v>0</v>
      </c>
    </row>
    <row r="229" spans="1:10" x14ac:dyDescent="0.25">
      <c r="A229" t="s">
        <v>1031</v>
      </c>
      <c r="B229" s="25" t="s">
        <v>39</v>
      </c>
      <c r="C229">
        <v>100</v>
      </c>
      <c r="D229">
        <f t="shared" si="11"/>
        <v>5</v>
      </c>
      <c r="E229" s="1" t="s">
        <v>1435</v>
      </c>
      <c r="F229" t="s">
        <v>577</v>
      </c>
      <c r="G229" cm="1">
        <f t="array" ref="G229">COUNT(IF(($A229=pokemon!$AC$2:$AC$412)*(pokemon!$AB$2:$AB$412 &lt;&gt; "Noble Form")*(ISBLANK(pokemon!$AJ$2:$AJ$412)), pokemon!$T$2:$T$412))</f>
        <v>1</v>
      </c>
      <c r="H229" cm="1">
        <f t="array" ref="H229">MIN(IF(($A229=pokemon!$AC$2:$AC$412)*(pokemon!$AB$2:$AB$412 &lt;&gt; "Noble Form")*(ISBLANK(pokemon!$AJ$2:$AJ$412)), pokemon!$T$2:$T$412))</f>
        <v>19</v>
      </c>
      <c r="I229" cm="1">
        <f t="array" ref="I229">MAX(IF(($A229=pokemon!$AC$2:$AC$412)*(pokemon!$AB$2:$AB$412 &lt;&gt; "Noble Form")*(ISBLANK(pokemon!$AJ$2:$AJ$412)), pokemon!$T$2:$T$412))</f>
        <v>19</v>
      </c>
      <c r="J229">
        <f t="shared" si="12"/>
        <v>0</v>
      </c>
    </row>
    <row r="230" spans="1:10" x14ac:dyDescent="0.25">
      <c r="A230" t="s">
        <v>814</v>
      </c>
      <c r="B230" s="25" t="s">
        <v>39</v>
      </c>
      <c r="C230">
        <v>120</v>
      </c>
      <c r="D230">
        <f t="shared" si="11"/>
        <v>6</v>
      </c>
      <c r="F230" t="s">
        <v>818</v>
      </c>
      <c r="G230" cm="1">
        <f t="array" ref="G230">COUNT(IF(($A230=pokemon!$AC$2:$AC$412)*(pokemon!$AB$2:$AB$412 &lt;&gt; "Noble Form")*(ISBLANK(pokemon!$AJ$2:$AJ$412)), pokemon!$T$2:$T$412))</f>
        <v>1</v>
      </c>
      <c r="H230" cm="1">
        <f t="array" ref="H230">MIN(IF(($A230=pokemon!$AC$2:$AC$412)*(pokemon!$AB$2:$AB$412 &lt;&gt; "Noble Form")*(ISBLANK(pokemon!$AJ$2:$AJ$412)), pokemon!$T$2:$T$412))</f>
        <v>42</v>
      </c>
      <c r="I230" cm="1">
        <f t="array" ref="I230">MAX(IF(($A230=pokemon!$AC$2:$AC$412)*(pokemon!$AB$2:$AB$412 &lt;&gt; "Noble Form")*(ISBLANK(pokemon!$AJ$2:$AJ$412)), pokemon!$T$2:$T$412))</f>
        <v>42</v>
      </c>
      <c r="J230">
        <f t="shared" si="12"/>
        <v>0</v>
      </c>
    </row>
    <row r="231" spans="1:10" x14ac:dyDescent="0.25">
      <c r="A231" t="s">
        <v>563</v>
      </c>
      <c r="B231" s="25" t="s">
        <v>39</v>
      </c>
      <c r="C231" t="s">
        <v>513</v>
      </c>
      <c r="D231" t="str">
        <f t="shared" si="11"/>
        <v>?</v>
      </c>
      <c r="F231" t="s">
        <v>833</v>
      </c>
      <c r="G231" cm="1">
        <f t="array" ref="G231">COUNT(IF(($A231=pokemon!$AC$2:$AC$412)*(pokemon!$AB$2:$AB$412 &lt;&gt; "Noble Form")*(ISBLANK(pokemon!$AJ$2:$AJ$412)), pokemon!$T$2:$T$412))</f>
        <v>2</v>
      </c>
      <c r="H231" cm="1">
        <f t="array" ref="H231">MIN(IF(($A231=pokemon!$AC$2:$AC$412)*(pokemon!$AB$2:$AB$412 &lt;&gt; "Noble Form")*(ISBLANK(pokemon!$AJ$2:$AJ$412)), pokemon!$T$2:$T$412))</f>
        <v>16</v>
      </c>
      <c r="I231" cm="1">
        <f t="array" ref="I231">MAX(IF(($A231=pokemon!$AC$2:$AC$412)*(pokemon!$AB$2:$AB$412 &lt;&gt; "Noble Form")*(ISBLANK(pokemon!$AJ$2:$AJ$412)), pokemon!$T$2:$T$412))</f>
        <v>17</v>
      </c>
      <c r="J231">
        <f t="shared" si="12"/>
        <v>1</v>
      </c>
    </row>
    <row r="232" spans="1:10" x14ac:dyDescent="0.25">
      <c r="A232" t="s">
        <v>1362</v>
      </c>
      <c r="B232" s="25" t="s">
        <v>39</v>
      </c>
      <c r="C232">
        <v>80</v>
      </c>
      <c r="D232">
        <f t="shared" si="11"/>
        <v>4</v>
      </c>
      <c r="E232" s="1" t="s">
        <v>1437</v>
      </c>
      <c r="F232" t="s">
        <v>658</v>
      </c>
      <c r="G232" cm="1">
        <f t="array" ref="G232">COUNT(IF(($A232=pokemon!$AC$2:$AC$412)*(pokemon!$AB$2:$AB$412 &lt;&gt; "Noble Form")*(ISBLANK(pokemon!$AJ$2:$AJ$412)), pokemon!$T$2:$T$412))</f>
        <v>1</v>
      </c>
      <c r="H232" cm="1">
        <f t="array" ref="H232">MIN(IF(($A232=pokemon!$AC$2:$AC$412)*(pokemon!$AB$2:$AB$412 &lt;&gt; "Noble Form")*(ISBLANK(pokemon!$AJ$2:$AJ$412)), pokemon!$T$2:$T$412))</f>
        <v>21</v>
      </c>
      <c r="I232" cm="1">
        <f t="array" ref="I232">MAX(IF(($A232=pokemon!$AC$2:$AC$412)*(pokemon!$AB$2:$AB$412 &lt;&gt; "Noble Form")*(ISBLANK(pokemon!$AJ$2:$AJ$412)), pokemon!$T$2:$T$412))</f>
        <v>21</v>
      </c>
      <c r="J232">
        <f t="shared" si="12"/>
        <v>0</v>
      </c>
    </row>
    <row r="233" spans="1:10" x14ac:dyDescent="0.25">
      <c r="A233" t="s">
        <v>1397</v>
      </c>
      <c r="B233" s="25" t="s">
        <v>39</v>
      </c>
      <c r="C233">
        <v>90</v>
      </c>
      <c r="D233">
        <f t="shared" si="11"/>
        <v>4</v>
      </c>
      <c r="E233" s="1" t="s">
        <v>1450</v>
      </c>
      <c r="F233" t="s">
        <v>1419</v>
      </c>
      <c r="G233" cm="1">
        <f t="array" ref="G233">COUNT(IF(($A233=pokemon!$AC$2:$AC$412)*(pokemon!$AB$2:$AB$412 &lt;&gt; "Noble Form")*(ISBLANK(pokemon!$AJ$2:$AJ$412)), pokemon!$T$2:$T$412))</f>
        <v>1</v>
      </c>
      <c r="H233" cm="1">
        <f t="array" ref="H233">MIN(IF(($A233=pokemon!$AC$2:$AC$412)*(pokemon!$AB$2:$AB$412 &lt;&gt; "Noble Form")*(ISBLANK(pokemon!$AJ$2:$AJ$412)), pokemon!$T$2:$T$412))</f>
        <v>20</v>
      </c>
      <c r="I233" cm="1">
        <f t="array" ref="I233">MAX(IF(($A233=pokemon!$AC$2:$AC$412)*(pokemon!$AB$2:$AB$412 &lt;&gt; "Noble Form")*(ISBLANK(pokemon!$AJ$2:$AJ$412)), pokemon!$T$2:$T$412))</f>
        <v>20</v>
      </c>
      <c r="J233">
        <f t="shared" si="12"/>
        <v>0</v>
      </c>
    </row>
    <row r="234" spans="1:10" x14ac:dyDescent="0.25">
      <c r="A234" t="s">
        <v>539</v>
      </c>
      <c r="B234" t="s">
        <v>550</v>
      </c>
      <c r="C234">
        <v>55</v>
      </c>
      <c r="D234">
        <f t="shared" si="11"/>
        <v>3</v>
      </c>
      <c r="F234" t="s">
        <v>564</v>
      </c>
      <c r="G234" cm="1">
        <f t="array" ref="G234">COUNT(IF(($A234=pokemon!$AC$2:$AC$412)*(pokemon!$AB$2:$AB$412 &lt;&gt; "Noble Form")*(ISBLANK(pokemon!$AJ$2:$AJ$412)), pokemon!$T$2:$T$412))</f>
        <v>1</v>
      </c>
      <c r="H234" cm="1">
        <f t="array" ref="H234">MIN(IF(($A234=pokemon!$AC$2:$AC$412)*(pokemon!$AB$2:$AB$412 &lt;&gt; "Noble Form")*(ISBLANK(pokemon!$AJ$2:$AJ$412)), pokemon!$T$2:$T$412))</f>
        <v>11</v>
      </c>
      <c r="I234" cm="1">
        <f t="array" ref="I234">MAX(IF(($A234=pokemon!$AC$2:$AC$412)*(pokemon!$AB$2:$AB$412 &lt;&gt; "Noble Form")*(ISBLANK(pokemon!$AJ$2:$AJ$412)), pokemon!$T$2:$T$412))</f>
        <v>11</v>
      </c>
      <c r="J234">
        <f t="shared" si="12"/>
        <v>0</v>
      </c>
    </row>
    <row r="235" spans="1:10" x14ac:dyDescent="0.25">
      <c r="A235" t="s">
        <v>718</v>
      </c>
      <c r="B235" t="s">
        <v>550</v>
      </c>
      <c r="C235">
        <v>75</v>
      </c>
      <c r="D235">
        <f t="shared" si="11"/>
        <v>4</v>
      </c>
      <c r="F235" t="s">
        <v>564</v>
      </c>
      <c r="G235" cm="1">
        <f t="array" ref="G235">COUNT(IF(($A235=pokemon!$AC$2:$AC$412)*(pokemon!$AB$2:$AB$412 &lt;&gt; "Noble Form")*(ISBLANK(pokemon!$AJ$2:$AJ$412)), pokemon!$T$2:$T$412))</f>
        <v>1</v>
      </c>
      <c r="H235" cm="1">
        <f t="array" ref="H235">MIN(IF(($A235=pokemon!$AC$2:$AC$412)*(pokemon!$AB$2:$AB$412 &lt;&gt; "Noble Form")*(ISBLANK(pokemon!$AJ$2:$AJ$412)), pokemon!$T$2:$T$412))</f>
        <v>16</v>
      </c>
      <c r="I235" cm="1">
        <f t="array" ref="I235">MAX(IF(($A235=pokemon!$AC$2:$AC$412)*(pokemon!$AB$2:$AB$412 &lt;&gt; "Noble Form")*(ISBLANK(pokemon!$AJ$2:$AJ$412)), pokemon!$T$2:$T$412))</f>
        <v>16</v>
      </c>
      <c r="J235">
        <f t="shared" si="12"/>
        <v>0</v>
      </c>
    </row>
    <row r="236" spans="1:10" x14ac:dyDescent="0.25">
      <c r="A236" t="s">
        <v>788</v>
      </c>
      <c r="B236" t="s">
        <v>550</v>
      </c>
      <c r="C236">
        <v>90</v>
      </c>
      <c r="D236">
        <f t="shared" si="11"/>
        <v>4</v>
      </c>
      <c r="F236" t="s">
        <v>804</v>
      </c>
      <c r="G236" cm="1">
        <f t="array" ref="G236">COUNT(IF(($A236=pokemon!$AC$2:$AC$412)*(pokemon!$AB$2:$AB$412 &lt;&gt; "Noble Form")*(ISBLANK(pokemon!$AJ$2:$AJ$412)), pokemon!$T$2:$T$412))</f>
        <v>1</v>
      </c>
      <c r="H236" cm="1">
        <f t="array" ref="H236">MIN(IF(($A236=pokemon!$AC$2:$AC$412)*(pokemon!$AB$2:$AB$412 &lt;&gt; "Noble Form")*(ISBLANK(pokemon!$AJ$2:$AJ$412)), pokemon!$T$2:$T$412))</f>
        <v>20</v>
      </c>
      <c r="I236" cm="1">
        <f t="array" ref="I236">MAX(IF(($A236=pokemon!$AC$2:$AC$412)*(pokemon!$AB$2:$AB$412 &lt;&gt; "Noble Form")*(ISBLANK(pokemon!$AJ$2:$AJ$412)), pokemon!$T$2:$T$412))</f>
        <v>20</v>
      </c>
      <c r="J236">
        <f t="shared" si="12"/>
        <v>0</v>
      </c>
    </row>
    <row r="237" spans="1:10" x14ac:dyDescent="0.25">
      <c r="A237" t="s">
        <v>1039</v>
      </c>
      <c r="B237" t="s">
        <v>550</v>
      </c>
      <c r="C237">
        <v>75</v>
      </c>
      <c r="D237">
        <f t="shared" si="11"/>
        <v>4</v>
      </c>
      <c r="E237" s="1" t="s">
        <v>1435</v>
      </c>
      <c r="F237" t="s">
        <v>1434</v>
      </c>
      <c r="G237" cm="1">
        <f t="array" ref="G237">COUNT(IF(($A237=pokemon!$AC$2:$AC$412)*(pokemon!$AB$2:$AB$412 &lt;&gt; "Noble Form")*(ISBLANK(pokemon!$AJ$2:$AJ$412)), pokemon!$T$2:$T$412))</f>
        <v>3</v>
      </c>
      <c r="H237" cm="1">
        <f t="array" ref="H237">MIN(IF(($A237=pokemon!$AC$2:$AC$412)*(pokemon!$AB$2:$AB$412 &lt;&gt; "Noble Form")*(ISBLANK(pokemon!$AJ$2:$AJ$412)), pokemon!$T$2:$T$412))</f>
        <v>14</v>
      </c>
      <c r="I237" cm="1">
        <f t="array" ref="I237">MAX(IF(($A237=pokemon!$AC$2:$AC$412)*(pokemon!$AB$2:$AB$412 &lt;&gt; "Noble Form")*(ISBLANK(pokemon!$AJ$2:$AJ$412)), pokemon!$T$2:$T$412))</f>
        <v>14</v>
      </c>
      <c r="J237">
        <f t="shared" si="12"/>
        <v>0</v>
      </c>
    </row>
    <row r="238" spans="1:10" x14ac:dyDescent="0.25">
      <c r="A238" t="s">
        <v>547</v>
      </c>
      <c r="B238" t="s">
        <v>550</v>
      </c>
      <c r="C238">
        <v>120</v>
      </c>
      <c r="D238">
        <f t="shared" si="11"/>
        <v>6</v>
      </c>
      <c r="E238" s="1" t="s">
        <v>1438</v>
      </c>
      <c r="F238" t="s">
        <v>637</v>
      </c>
      <c r="G238" cm="1">
        <f t="array" ref="G238">COUNT(IF(($A238=pokemon!$AC$2:$AC$412)*(pokemon!$AB$2:$AB$412 &lt;&gt; "Noble Form")*(ISBLANK(pokemon!$AJ$2:$AJ$412)), pokemon!$T$2:$T$412))</f>
        <v>1</v>
      </c>
      <c r="H238" cm="1">
        <f t="array" ref="H238">MIN(IF(($A238=pokemon!$AC$2:$AC$412)*(pokemon!$AB$2:$AB$412 &lt;&gt; "Noble Form")*(ISBLANK(pokemon!$AJ$2:$AJ$412)), pokemon!$T$2:$T$412))</f>
        <v>24</v>
      </c>
      <c r="I238" cm="1">
        <f t="array" ref="I238">MAX(IF(($A238=pokemon!$AC$2:$AC$412)*(pokemon!$AB$2:$AB$412 &lt;&gt; "Noble Form")*(ISBLANK(pokemon!$AJ$2:$AJ$412)), pokemon!$T$2:$T$412))</f>
        <v>24</v>
      </c>
      <c r="J238">
        <f t="shared" si="12"/>
        <v>0</v>
      </c>
    </row>
    <row r="239" spans="1:10" x14ac:dyDescent="0.25">
      <c r="A239" t="s">
        <v>816</v>
      </c>
      <c r="B239" t="s">
        <v>550</v>
      </c>
      <c r="C239">
        <v>100</v>
      </c>
      <c r="D239">
        <f t="shared" si="11"/>
        <v>5</v>
      </c>
      <c r="F239" t="s">
        <v>1463</v>
      </c>
      <c r="G239" cm="1">
        <f t="array" ref="G239">COUNT(IF(($A239=pokemon!$AC$2:$AC$412)*(pokemon!$AB$2:$AB$412 &lt;&gt; "Noble Form")*(ISBLANK(pokemon!$AJ$2:$AJ$412)), pokemon!$T$2:$T$412))</f>
        <v>1</v>
      </c>
      <c r="H239" cm="1">
        <f t="array" ref="H239">MIN(IF(($A239=pokemon!$AC$2:$AC$412)*(pokemon!$AB$2:$AB$412 &lt;&gt; "Noble Form")*(ISBLANK(pokemon!$AJ$2:$AJ$412)), pokemon!$T$2:$T$412))</f>
        <v>51</v>
      </c>
      <c r="I239" cm="1">
        <f t="array" ref="I239">MAX(IF(($A239=pokemon!$AC$2:$AC$412)*(pokemon!$AB$2:$AB$412 &lt;&gt; "Noble Form")*(ISBLANK(pokemon!$AJ$2:$AJ$412)), pokemon!$T$2:$T$412))</f>
        <v>51</v>
      </c>
      <c r="J239">
        <f t="shared" si="12"/>
        <v>0</v>
      </c>
    </row>
    <row r="240" spans="1:10" x14ac:dyDescent="0.25">
      <c r="A240" t="s">
        <v>520</v>
      </c>
      <c r="B240" t="s">
        <v>550</v>
      </c>
      <c r="C240" t="s">
        <v>513</v>
      </c>
      <c r="D240" t="str">
        <f t="shared" si="11"/>
        <v>?</v>
      </c>
      <c r="F240" t="s">
        <v>636</v>
      </c>
      <c r="G240" cm="1">
        <f t="array" ref="G240">COUNT(IF(($A240=pokemon!$AC$2:$AC$412)*(pokemon!$AB$2:$AB$412 &lt;&gt; "Noble Form")*(ISBLANK(pokemon!$AJ$2:$AJ$412)), pokemon!$T$2:$T$412))</f>
        <v>2</v>
      </c>
      <c r="H240" cm="1">
        <f t="array" ref="H240">MIN(IF(($A240=pokemon!$AC$2:$AC$412)*(pokemon!$AB$2:$AB$412 &lt;&gt; "Noble Form")*(ISBLANK(pokemon!$AJ$2:$AJ$412)), pokemon!$T$2:$T$412))</f>
        <v>11</v>
      </c>
      <c r="I240" cm="1">
        <f t="array" ref="I240">MAX(IF(($A240=pokemon!$AC$2:$AC$412)*(pokemon!$AB$2:$AB$412 &lt;&gt; "Noble Form")*(ISBLANK(pokemon!$AJ$2:$AJ$412)), pokemon!$T$2:$T$412))</f>
        <v>11</v>
      </c>
      <c r="J240">
        <f t="shared" si="12"/>
        <v>0</v>
      </c>
    </row>
    <row r="241" spans="1:10" x14ac:dyDescent="0.25">
      <c r="A241" t="s">
        <v>542</v>
      </c>
      <c r="B241" t="s">
        <v>550</v>
      </c>
      <c r="C241" t="s">
        <v>513</v>
      </c>
      <c r="D241" t="str">
        <f t="shared" si="11"/>
        <v>?</v>
      </c>
      <c r="F241" t="s">
        <v>674</v>
      </c>
      <c r="G241" cm="1">
        <f t="array" ref="G241">COUNT(IF(($A241=pokemon!$AC$2:$AC$412)*(pokemon!$AB$2:$AB$412 &lt;&gt; "Noble Form")*(ISBLANK(pokemon!$AJ$2:$AJ$412)), pokemon!$T$2:$T$412))</f>
        <v>1</v>
      </c>
      <c r="H241" cm="1">
        <f t="array" ref="H241">MIN(IF(($A241=pokemon!$AC$2:$AC$412)*(pokemon!$AB$2:$AB$412 &lt;&gt; "Noble Form")*(ISBLANK(pokemon!$AJ$2:$AJ$412)), pokemon!$T$2:$T$412))</f>
        <v>11</v>
      </c>
      <c r="I241" cm="1">
        <f t="array" ref="I241">MAX(IF(($A241=pokemon!$AC$2:$AC$412)*(pokemon!$AB$2:$AB$412 &lt;&gt; "Noble Form")*(ISBLANK(pokemon!$AJ$2:$AJ$412)), pokemon!$T$2:$T$412))</f>
        <v>11</v>
      </c>
      <c r="J241">
        <f t="shared" si="12"/>
        <v>0</v>
      </c>
    </row>
    <row r="242" spans="1:10" x14ac:dyDescent="0.25">
      <c r="A242" t="s">
        <v>643</v>
      </c>
      <c r="B242" s="12" t="s">
        <v>6</v>
      </c>
      <c r="C242">
        <v>40</v>
      </c>
      <c r="D242">
        <f t="shared" si="11"/>
        <v>2</v>
      </c>
      <c r="E242" s="1" t="s">
        <v>1436</v>
      </c>
      <c r="F242" t="s">
        <v>578</v>
      </c>
      <c r="G242" cm="1">
        <f t="array" ref="G242">COUNT(IF(($A242=pokemon!$AC$2:$AC$412)*(pokemon!$AB$2:$AB$412 &lt;&gt; "Noble Form")*(ISBLANK(pokemon!$AJ$2:$AJ$412)), pokemon!$T$2:$T$412))</f>
        <v>2</v>
      </c>
      <c r="H242" cm="1">
        <f t="array" ref="H242">MIN(IF(($A242=pokemon!$AC$2:$AC$412)*(pokemon!$AB$2:$AB$412 &lt;&gt; "Noble Form")*(ISBLANK(pokemon!$AJ$2:$AJ$412)), pokemon!$T$2:$T$412))</f>
        <v>14</v>
      </c>
      <c r="I242" cm="1">
        <f t="array" ref="I242">MAX(IF(($A242=pokemon!$AC$2:$AC$412)*(pokemon!$AB$2:$AB$412 &lt;&gt; "Noble Form")*(ISBLANK(pokemon!$AJ$2:$AJ$412)), pokemon!$T$2:$T$412))</f>
        <v>18</v>
      </c>
      <c r="J242">
        <f t="shared" si="12"/>
        <v>4</v>
      </c>
    </row>
    <row r="243" spans="1:10" x14ac:dyDescent="0.25">
      <c r="A243" t="s">
        <v>602</v>
      </c>
      <c r="B243" s="12" t="s">
        <v>6</v>
      </c>
      <c r="C243">
        <v>40</v>
      </c>
      <c r="D243">
        <f t="shared" si="11"/>
        <v>2</v>
      </c>
      <c r="F243" t="s">
        <v>1097</v>
      </c>
      <c r="G243" cm="1">
        <f t="array" ref="G243">COUNT(IF(($A243=pokemon!$AC$2:$AC$412)*(pokemon!$AB$2:$AB$412 &lt;&gt; "Noble Form")*(ISBLANK(pokemon!$AJ$2:$AJ$412)), pokemon!$T$2:$T$412))</f>
        <v>3</v>
      </c>
      <c r="H243" cm="1">
        <f t="array" ref="H243">MIN(IF(($A243=pokemon!$AC$2:$AC$412)*(pokemon!$AB$2:$AB$412 &lt;&gt; "Noble Form")*(ISBLANK(pokemon!$AJ$2:$AJ$412)), pokemon!$T$2:$T$412))</f>
        <v>9</v>
      </c>
      <c r="I243" cm="1">
        <f t="array" ref="I243">MAX(IF(($A243=pokemon!$AC$2:$AC$412)*(pokemon!$AB$2:$AB$412 &lt;&gt; "Noble Form")*(ISBLANK(pokemon!$AJ$2:$AJ$412)), pokemon!$T$2:$T$412))</f>
        <v>11</v>
      </c>
      <c r="J243">
        <f t="shared" si="12"/>
        <v>2</v>
      </c>
    </row>
    <row r="244" spans="1:10" x14ac:dyDescent="0.25">
      <c r="A244" t="s">
        <v>755</v>
      </c>
      <c r="B244" s="12" t="s">
        <v>6</v>
      </c>
      <c r="C244">
        <v>70</v>
      </c>
      <c r="D244">
        <f t="shared" si="11"/>
        <v>3</v>
      </c>
      <c r="F244" t="s">
        <v>577</v>
      </c>
      <c r="G244" cm="1">
        <f t="array" ref="G244">COUNT(IF(($A244=pokemon!$AC$2:$AC$412)*(pokemon!$AB$2:$AB$412 &lt;&gt; "Noble Form")*(ISBLANK(pokemon!$AJ$2:$AJ$412)), pokemon!$T$2:$T$412))</f>
        <v>1</v>
      </c>
      <c r="H244" cm="1">
        <f t="array" ref="H244">MIN(IF(($A244=pokemon!$AC$2:$AC$412)*(pokemon!$AB$2:$AB$412 &lt;&gt; "Noble Form")*(ISBLANK(pokemon!$AJ$2:$AJ$412)), pokemon!$T$2:$T$412))</f>
        <v>10</v>
      </c>
      <c r="I244" cm="1">
        <f t="array" ref="I244">MAX(IF(($A244=pokemon!$AC$2:$AC$412)*(pokemon!$AB$2:$AB$412 &lt;&gt; "Noble Form")*(ISBLANK(pokemon!$AJ$2:$AJ$412)), pokemon!$T$2:$T$412))</f>
        <v>10</v>
      </c>
      <c r="J244">
        <f t="shared" si="12"/>
        <v>0</v>
      </c>
    </row>
    <row r="245" spans="1:10" x14ac:dyDescent="0.25">
      <c r="A245" t="s">
        <v>543</v>
      </c>
      <c r="B245" s="12" t="s">
        <v>6</v>
      </c>
      <c r="C245">
        <v>60</v>
      </c>
      <c r="D245">
        <f t="shared" si="11"/>
        <v>3</v>
      </c>
      <c r="F245" t="s">
        <v>1260</v>
      </c>
      <c r="G245" cm="1">
        <f t="array" ref="G245">COUNT(IF(($A245=pokemon!$AC$2:$AC$412)*(pokemon!$AB$2:$AB$412 &lt;&gt; "Noble Form")*(ISBLANK(pokemon!$AJ$2:$AJ$412)), pokemon!$T$2:$T$412))</f>
        <v>3</v>
      </c>
      <c r="H245" cm="1">
        <f t="array" ref="H245">MIN(IF(($A245=pokemon!$AC$2:$AC$412)*(pokemon!$AB$2:$AB$412 &lt;&gt; "Noble Form")*(ISBLANK(pokemon!$AJ$2:$AJ$412)), pokemon!$T$2:$T$412))</f>
        <v>10</v>
      </c>
      <c r="I245" cm="1">
        <f t="array" ref="I245">MAX(IF(($A245=pokemon!$AC$2:$AC$412)*(pokemon!$AB$2:$AB$412 &lt;&gt; "Noble Form")*(ISBLANK(pokemon!$AJ$2:$AJ$412)), pokemon!$T$2:$T$412))</f>
        <v>14</v>
      </c>
      <c r="J245">
        <f t="shared" si="12"/>
        <v>4</v>
      </c>
    </row>
    <row r="246" spans="1:10" x14ac:dyDescent="0.25">
      <c r="A246" t="s">
        <v>635</v>
      </c>
      <c r="B246" s="12" t="s">
        <v>6</v>
      </c>
      <c r="C246">
        <v>60</v>
      </c>
      <c r="D246">
        <f t="shared" ref="D246:D256" si="13">IF(NOT(ISBLANK(C246)), IF(ISNUMBER(C246), ROUND((C246 - 5)/20, 0), C246), "")</f>
        <v>3</v>
      </c>
      <c r="E246" s="1" t="s">
        <v>1448</v>
      </c>
      <c r="F246" t="s">
        <v>1097</v>
      </c>
      <c r="G246" cm="1">
        <f t="array" ref="G246">COUNT(IF(($A246=pokemon!$AC$2:$AC$412)*(pokemon!$AB$2:$AB$412 &lt;&gt; "Noble Form")*(ISBLANK(pokemon!$AJ$2:$AJ$412)), pokemon!$T$2:$T$412))</f>
        <v>2</v>
      </c>
      <c r="H246" cm="1">
        <f t="array" ref="H246">MIN(IF(($A246=pokemon!$AC$2:$AC$412)*(pokemon!$AB$2:$AB$412 &lt;&gt; "Noble Form")*(ISBLANK(pokemon!$AJ$2:$AJ$412)), pokemon!$T$2:$T$412))</f>
        <v>11</v>
      </c>
      <c r="I246" cm="1">
        <f t="array" ref="I246">MAX(IF(($A246=pokemon!$AC$2:$AC$412)*(pokemon!$AB$2:$AB$412 &lt;&gt; "Noble Form")*(ISBLANK(pokemon!$AJ$2:$AJ$412)), pokemon!$T$2:$T$412))</f>
        <v>15</v>
      </c>
      <c r="J246">
        <f t="shared" si="12"/>
        <v>4</v>
      </c>
    </row>
    <row r="247" spans="1:10" x14ac:dyDescent="0.25">
      <c r="A247" t="s">
        <v>966</v>
      </c>
      <c r="B247" s="12" t="s">
        <v>6</v>
      </c>
      <c r="C247">
        <v>65</v>
      </c>
      <c r="D247">
        <f t="shared" si="13"/>
        <v>3</v>
      </c>
      <c r="F247" t="s">
        <v>1278</v>
      </c>
      <c r="G247" cm="1">
        <f t="array" ref="G247">COUNT(IF(($A247=pokemon!$AC$2:$AC$412)*(pokemon!$AB$2:$AB$412 &lt;&gt; "Noble Form")*(ISBLANK(pokemon!$AJ$2:$AJ$412)), pokemon!$T$2:$T$412))</f>
        <v>1</v>
      </c>
      <c r="H247" cm="1">
        <f t="array" ref="H247">MIN(IF(($A247=pokemon!$AC$2:$AC$412)*(pokemon!$AB$2:$AB$412 &lt;&gt; "Noble Form")*(ISBLANK(pokemon!$AJ$2:$AJ$412)), pokemon!$T$2:$T$412))</f>
        <v>10</v>
      </c>
      <c r="I247" cm="1">
        <f t="array" ref="I247">MAX(IF(($A247=pokemon!$AC$2:$AC$412)*(pokemon!$AB$2:$AB$412 &lt;&gt; "Noble Form")*(ISBLANK(pokemon!$AJ$2:$AJ$412)), pokemon!$T$2:$T$412))</f>
        <v>10</v>
      </c>
      <c r="J247">
        <f t="shared" si="12"/>
        <v>0</v>
      </c>
    </row>
    <row r="248" spans="1:10" x14ac:dyDescent="0.25">
      <c r="A248" t="s">
        <v>530</v>
      </c>
      <c r="B248" s="12" t="s">
        <v>6</v>
      </c>
      <c r="C248">
        <v>75</v>
      </c>
      <c r="D248">
        <f t="shared" si="13"/>
        <v>4</v>
      </c>
      <c r="F248" t="s">
        <v>1085</v>
      </c>
      <c r="G248" cm="1">
        <f t="array" ref="G248">COUNT(IF(($A248=pokemon!$AC$2:$AC$412)*(pokemon!$AB$2:$AB$412 &lt;&gt; "Noble Form")*(ISBLANK(pokemon!$AJ$2:$AJ$412)), pokemon!$T$2:$T$412))</f>
        <v>1</v>
      </c>
      <c r="H248" cm="1">
        <f t="array" ref="H248">MIN(IF(($A248=pokemon!$AC$2:$AC$412)*(pokemon!$AB$2:$AB$412 &lt;&gt; "Noble Form")*(ISBLANK(pokemon!$AJ$2:$AJ$412)), pokemon!$T$2:$T$412))</f>
        <v>16</v>
      </c>
      <c r="I248" cm="1">
        <f t="array" ref="I248">MAX(IF(($A248=pokemon!$AC$2:$AC$412)*(pokemon!$AB$2:$AB$412 &lt;&gt; "Noble Form")*(ISBLANK(pokemon!$AJ$2:$AJ$412)), pokemon!$T$2:$T$412))</f>
        <v>16</v>
      </c>
      <c r="J248">
        <f t="shared" si="12"/>
        <v>0</v>
      </c>
    </row>
    <row r="249" spans="1:10" x14ac:dyDescent="0.25">
      <c r="A249" t="s">
        <v>580</v>
      </c>
      <c r="B249" s="12" t="s">
        <v>6</v>
      </c>
      <c r="C249">
        <v>90</v>
      </c>
      <c r="D249">
        <f t="shared" si="13"/>
        <v>4</v>
      </c>
      <c r="F249" t="s">
        <v>790</v>
      </c>
      <c r="G249" cm="1">
        <f t="array" ref="G249">COUNT(IF(($A249=pokemon!$AC$2:$AC$412)*(pokemon!$AB$2:$AB$412 &lt;&gt; "Noble Form")*(ISBLANK(pokemon!$AJ$2:$AJ$412)), pokemon!$T$2:$T$412))</f>
        <v>6</v>
      </c>
      <c r="H249" cm="1">
        <f t="array" ref="H249">MIN(IF(($A249=pokemon!$AC$2:$AC$412)*(pokemon!$AB$2:$AB$412 &lt;&gt; "Noble Form")*(ISBLANK(pokemon!$AJ$2:$AJ$412)), pokemon!$T$2:$T$412))</f>
        <v>14</v>
      </c>
      <c r="I249" cm="1">
        <f t="array" ref="I249">MAX(IF(($A249=pokemon!$AC$2:$AC$412)*(pokemon!$AB$2:$AB$412 &lt;&gt; "Noble Form")*(ISBLANK(pokemon!$AJ$2:$AJ$412)), pokemon!$T$2:$T$412))</f>
        <v>17</v>
      </c>
      <c r="J249">
        <f t="shared" si="12"/>
        <v>3</v>
      </c>
    </row>
    <row r="250" spans="1:10" x14ac:dyDescent="0.25">
      <c r="A250" t="s">
        <v>484</v>
      </c>
      <c r="B250" s="12" t="s">
        <v>6</v>
      </c>
      <c r="C250">
        <v>80</v>
      </c>
      <c r="D250">
        <f t="shared" si="13"/>
        <v>4</v>
      </c>
      <c r="F250" t="s">
        <v>1253</v>
      </c>
      <c r="G250" cm="1">
        <f t="array" ref="G250">COUNT(IF(($A250=pokemon!$AC$2:$AC$412)*(pokemon!$AB$2:$AB$412 &lt;&gt; "Noble Form")*(ISBLANK(pokemon!$AJ$2:$AJ$412)), pokemon!$T$2:$T$412))</f>
        <v>1</v>
      </c>
      <c r="H250" cm="1">
        <f t="array" ref="H250">MIN(IF(($A250=pokemon!$AC$2:$AC$412)*(pokemon!$AB$2:$AB$412 &lt;&gt; "Noble Form")*(ISBLANK(pokemon!$AJ$2:$AJ$412)), pokemon!$T$2:$T$412))</f>
        <v>16</v>
      </c>
      <c r="I250" cm="1">
        <f t="array" ref="I250">MAX(IF(($A250=pokemon!$AC$2:$AC$412)*(pokemon!$AB$2:$AB$412 &lt;&gt; "Noble Form")*(ISBLANK(pokemon!$AJ$2:$AJ$412)), pokemon!$T$2:$T$412))</f>
        <v>16</v>
      </c>
      <c r="J250">
        <f t="shared" si="12"/>
        <v>0</v>
      </c>
    </row>
    <row r="251" spans="1:10" x14ac:dyDescent="0.25">
      <c r="A251" t="s">
        <v>872</v>
      </c>
      <c r="B251" s="12" t="s">
        <v>6</v>
      </c>
      <c r="C251">
        <v>80</v>
      </c>
      <c r="D251">
        <f t="shared" si="13"/>
        <v>4</v>
      </c>
      <c r="E251" s="1" t="s">
        <v>1437</v>
      </c>
      <c r="F251" t="s">
        <v>634</v>
      </c>
      <c r="G251" cm="1">
        <f t="array" ref="G251">COUNT(IF(($A251=pokemon!$AC$2:$AC$412)*(pokemon!$AB$2:$AB$412 &lt;&gt; "Noble Form")*(ISBLANK(pokemon!$AJ$2:$AJ$412)), pokemon!$T$2:$T$412))</f>
        <v>1</v>
      </c>
      <c r="H251" cm="1">
        <f t="array" ref="H251">MIN(IF(($A251=pokemon!$AC$2:$AC$412)*(pokemon!$AB$2:$AB$412 &lt;&gt; "Noble Form")*(ISBLANK(pokemon!$AJ$2:$AJ$412)), pokemon!$T$2:$T$412))</f>
        <v>16</v>
      </c>
      <c r="I251" cm="1">
        <f t="array" ref="I251">MAX(IF(($A251=pokemon!$AC$2:$AC$412)*(pokemon!$AB$2:$AB$412 &lt;&gt; "Noble Form")*(ISBLANK(pokemon!$AJ$2:$AJ$412)), pokemon!$T$2:$T$412))</f>
        <v>16</v>
      </c>
      <c r="J251">
        <f t="shared" si="12"/>
        <v>0</v>
      </c>
    </row>
    <row r="252" spans="1:10" x14ac:dyDescent="0.25">
      <c r="A252" t="s">
        <v>829</v>
      </c>
      <c r="B252" s="12" t="s">
        <v>6</v>
      </c>
      <c r="C252">
        <v>90</v>
      </c>
      <c r="D252">
        <f t="shared" si="13"/>
        <v>4</v>
      </c>
      <c r="F252" t="s">
        <v>664</v>
      </c>
      <c r="G252" cm="1">
        <f t="array" ref="G252">COUNT(IF(($A252=pokemon!$AC$2:$AC$412)*(pokemon!$AB$2:$AB$412 &lt;&gt; "Noble Form")*(ISBLANK(pokemon!$AJ$2:$AJ$412)), pokemon!$T$2:$T$412))</f>
        <v>1</v>
      </c>
      <c r="H252" cm="1">
        <f t="array" ref="H252">MIN(IF(($A252=pokemon!$AC$2:$AC$412)*(pokemon!$AB$2:$AB$412 &lt;&gt; "Noble Form")*(ISBLANK(pokemon!$AJ$2:$AJ$412)), pokemon!$T$2:$T$412))</f>
        <v>14</v>
      </c>
      <c r="I252" cm="1">
        <f t="array" ref="I252">MAX(IF(($A252=pokemon!$AC$2:$AC$412)*(pokemon!$AB$2:$AB$412 &lt;&gt; "Noble Form")*(ISBLANK(pokemon!$AJ$2:$AJ$412)), pokemon!$T$2:$T$412))</f>
        <v>14</v>
      </c>
      <c r="J252">
        <f t="shared" si="12"/>
        <v>0</v>
      </c>
    </row>
    <row r="253" spans="1:10" x14ac:dyDescent="0.25">
      <c r="A253" t="s">
        <v>783</v>
      </c>
      <c r="B253" s="12" t="s">
        <v>6</v>
      </c>
      <c r="C253">
        <v>100</v>
      </c>
      <c r="D253">
        <f t="shared" si="13"/>
        <v>5</v>
      </c>
      <c r="F253" t="s">
        <v>877</v>
      </c>
      <c r="G253" cm="1">
        <f t="array" ref="G253">COUNT(IF(($A253=pokemon!$AC$2:$AC$412)*(pokemon!$AB$2:$AB$412 &lt;&gt; "Noble Form")*(ISBLANK(pokemon!$AJ$2:$AJ$412)), pokemon!$T$2:$T$412))</f>
        <v>1</v>
      </c>
      <c r="H253" cm="1">
        <f t="array" ref="H253">MIN(IF(($A253=pokemon!$AC$2:$AC$412)*(pokemon!$AB$2:$AB$412 &lt;&gt; "Noble Form")*(ISBLANK(pokemon!$AJ$2:$AJ$412)), pokemon!$T$2:$T$412))</f>
        <v>18</v>
      </c>
      <c r="I253" cm="1">
        <f t="array" ref="I253">MAX(IF(($A253=pokemon!$AC$2:$AC$412)*(pokemon!$AB$2:$AB$412 &lt;&gt; "Noble Form")*(ISBLANK(pokemon!$AJ$2:$AJ$412)), pokemon!$T$2:$T$412))</f>
        <v>18</v>
      </c>
      <c r="J253">
        <f t="shared" si="12"/>
        <v>0</v>
      </c>
    </row>
    <row r="254" spans="1:10" x14ac:dyDescent="0.25">
      <c r="A254" t="s">
        <v>480</v>
      </c>
      <c r="B254" s="12" t="s">
        <v>6</v>
      </c>
      <c r="C254">
        <v>100</v>
      </c>
      <c r="D254">
        <f t="shared" si="13"/>
        <v>5</v>
      </c>
      <c r="F254" t="s">
        <v>1146</v>
      </c>
      <c r="G254" cm="1">
        <f t="array" ref="G254">COUNT(IF(($A254=pokemon!$AC$2:$AC$412)*(pokemon!$AB$2:$AB$412 &lt;&gt; "Noble Form")*(ISBLANK(pokemon!$AJ$2:$AJ$412)), pokemon!$T$2:$T$412))</f>
        <v>5</v>
      </c>
      <c r="H254" cm="1">
        <f t="array" ref="H254">MIN(IF(($A254=pokemon!$AC$2:$AC$412)*(pokemon!$AB$2:$AB$412 &lt;&gt; "Noble Form")*(ISBLANK(pokemon!$AJ$2:$AJ$412)), pokemon!$T$2:$T$412))</f>
        <v>17</v>
      </c>
      <c r="I254" cm="1">
        <f t="array" ref="I254">MAX(IF(($A254=pokemon!$AC$2:$AC$412)*(pokemon!$AB$2:$AB$412 &lt;&gt; "Noble Form")*(ISBLANK(pokemon!$AJ$2:$AJ$412)), pokemon!$T$2:$T$412))</f>
        <v>20</v>
      </c>
      <c r="J254">
        <f t="shared" si="12"/>
        <v>3</v>
      </c>
    </row>
    <row r="255" spans="1:10" x14ac:dyDescent="0.25">
      <c r="A255" t="s">
        <v>1187</v>
      </c>
      <c r="B255" s="12" t="s">
        <v>6</v>
      </c>
      <c r="C255">
        <v>120</v>
      </c>
      <c r="D255">
        <f t="shared" si="13"/>
        <v>6</v>
      </c>
      <c r="E255" s="1" t="s">
        <v>1438</v>
      </c>
      <c r="F255" t="s">
        <v>1441</v>
      </c>
      <c r="G255" cm="1">
        <f t="array" ref="G255">COUNT(IF(($A255=pokemon!$AC$2:$AC$412)*(pokemon!$AB$2:$AB$412 &lt;&gt; "Noble Form")*(ISBLANK(pokemon!$AJ$2:$AJ$412)), pokemon!$T$2:$T$412))</f>
        <v>1</v>
      </c>
      <c r="H255" cm="1">
        <f t="array" ref="H255">MIN(IF(($A255=pokemon!$AC$2:$AC$412)*(pokemon!$AB$2:$AB$412 &lt;&gt; "Noble Form")*(ISBLANK(pokemon!$AJ$2:$AJ$412)), pokemon!$T$2:$T$412))</f>
        <v>24</v>
      </c>
      <c r="I255" cm="1">
        <f t="array" ref="I255">MAX(IF(($A255=pokemon!$AC$2:$AC$412)*(pokemon!$AB$2:$AB$412 &lt;&gt; "Noble Form")*(ISBLANK(pokemon!$AJ$2:$AJ$412)), pokemon!$T$2:$T$412))</f>
        <v>24</v>
      </c>
      <c r="J255">
        <f t="shared" si="12"/>
        <v>0</v>
      </c>
    </row>
    <row r="256" spans="1:10" x14ac:dyDescent="0.25">
      <c r="A256" t="s">
        <v>1359</v>
      </c>
      <c r="B256" s="12" t="s">
        <v>6</v>
      </c>
      <c r="C256">
        <v>100</v>
      </c>
      <c r="D256">
        <f t="shared" si="13"/>
        <v>5</v>
      </c>
      <c r="F256" t="s">
        <v>1091</v>
      </c>
      <c r="G256" cm="1">
        <f t="array" ref="G256">COUNT(IF(($A256=pokemon!$AC$2:$AC$412)*(pokemon!$AB$2:$AB$412 &lt;&gt; "Noble Form")*(ISBLANK(pokemon!$AJ$2:$AJ$412)), pokemon!$T$2:$T$412))</f>
        <v>1</v>
      </c>
      <c r="H256" cm="1">
        <f t="array" ref="H256">MIN(IF(($A256=pokemon!$AC$2:$AC$412)*(pokemon!$AB$2:$AB$412 &lt;&gt; "Noble Form")*(ISBLANK(pokemon!$AJ$2:$AJ$412)), pokemon!$T$2:$T$412))</f>
        <v>21</v>
      </c>
      <c r="I256" cm="1">
        <f t="array" ref="I256">MAX(IF(($A256=pokemon!$AC$2:$AC$412)*(pokemon!$AB$2:$AB$412 &lt;&gt; "Noble Form")*(ISBLANK(pokemon!$AJ$2:$AJ$412)), pokemon!$T$2:$T$412))</f>
        <v>21</v>
      </c>
      <c r="J256">
        <f t="shared" ref="J256" si="14">I256-H256</f>
        <v>0</v>
      </c>
    </row>
  </sheetData>
  <sortState xmlns:xlrd2="http://schemas.microsoft.com/office/spreadsheetml/2017/richdata2" ref="A2:J255">
    <sortCondition ref="B2:B255"/>
    <sortCondition ref="D2:D255"/>
    <sortCondition ref="F2:F255"/>
    <sortCondition ref="A2:A255"/>
  </sortState>
  <phoneticPr fontId="18" type="noConversion"/>
  <conditionalFormatting sqref="A132:A138">
    <cfRule type="expression" dxfId="1" priority="22">
      <formula>NOT(ISNA(VLOOKUP(A132,XEI:XEI,1,FALSE)))</formula>
    </cfRule>
  </conditionalFormatting>
  <conditionalFormatting sqref="C2:C12 C226">
    <cfRule type="expression" priority="15">
      <formula>MOD((C2-10),20)=0</formula>
    </cfRule>
  </conditionalFormatting>
  <conditionalFormatting sqref="C7 C11 C13:C32 C34:C255">
    <cfRule type="expression" dxfId="0" priority="13">
      <formula>MOD((C7-10),20)=0</formula>
    </cfRule>
  </conditionalFormatting>
  <conditionalFormatting sqref="C33">
    <cfRule type="expression" priority="1">
      <formula>MOD((C33-10),20)=0</formula>
    </cfRule>
  </conditionalFormatting>
  <conditionalFormatting sqref="G1:G1048576">
    <cfRule type="colorScale" priority="2">
      <colorScale>
        <cfvo type="min"/>
        <cfvo type="max"/>
        <color rgb="FFFCFCFF"/>
        <color rgb="FFF8696B"/>
      </colorScale>
    </cfRule>
  </conditionalFormatting>
  <conditionalFormatting sqref="G257:G1048576 G1">
    <cfRule type="colorScale" priority="3">
      <colorScale>
        <cfvo type="min"/>
        <cfvo type="max"/>
        <color rgb="FFFCFCFF"/>
        <color rgb="FFF8696B"/>
      </colorScale>
    </cfRule>
  </conditionalFormatting>
  <conditionalFormatting sqref="J1:J1048576">
    <cfRule type="colorScale" priority="4">
      <colorScale>
        <cfvo type="min"/>
        <cfvo type="max"/>
        <color rgb="FFFCFCFF"/>
        <color rgb="FFF8696B"/>
      </colorScale>
    </cfRule>
    <cfRule type="colorScale" priority="5">
      <colorScale>
        <cfvo type="min"/>
        <cfvo type="percentile" val="50"/>
        <cfvo type="max"/>
        <color rgb="FF63BE7B"/>
        <color rgb="FFFFEB84"/>
        <color rgb="FFF8696B"/>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50280-6A16-4374-AAEC-6C6C8F25DF8F}">
  <dimension ref="A1:H55"/>
  <sheetViews>
    <sheetView workbookViewId="0">
      <selection activeCell="K10" sqref="K10"/>
    </sheetView>
  </sheetViews>
  <sheetFormatPr defaultRowHeight="15" x14ac:dyDescent="0.25"/>
  <cols>
    <col min="1" max="1" width="9.5703125" bestFit="1" customWidth="1"/>
    <col min="2" max="2" width="10.7109375" bestFit="1" customWidth="1"/>
    <col min="3" max="3" width="10.7109375" customWidth="1"/>
    <col min="4" max="5" width="9.7109375" bestFit="1" customWidth="1"/>
    <col min="6" max="6" width="9.85546875" bestFit="1" customWidth="1"/>
    <col min="7" max="7" width="12" bestFit="1" customWidth="1"/>
  </cols>
  <sheetData>
    <row r="1" spans="1:7" x14ac:dyDescent="0.25">
      <c r="C1" t="s">
        <v>1196</v>
      </c>
      <c r="D1" t="s">
        <v>603</v>
      </c>
      <c r="E1" t="s">
        <v>604</v>
      </c>
      <c r="F1" t="s">
        <v>605</v>
      </c>
      <c r="G1" t="s">
        <v>559</v>
      </c>
    </row>
    <row r="2" spans="1:7" x14ac:dyDescent="0.25">
      <c r="A2" t="s">
        <v>301</v>
      </c>
      <c r="B2" t="s">
        <v>299</v>
      </c>
      <c r="C2">
        <f>COUNTIFS(pokemon!$L:$L, $A2, pokemon!$M:$M, $B2, pokemon!$AI:$AI, C$1, pokemon!$AM:$AM, "&lt;=1")</f>
        <v>1</v>
      </c>
      <c r="D2">
        <f>COUNTIFS(pokemon!$L:$L, $A2, pokemon!$M:$M, $B2, pokemon!$AI:$AI, D$1, pokemon!$AM:$AM, "&lt;=1")</f>
        <v>6</v>
      </c>
      <c r="E2">
        <f>COUNTIFS(pokemon!$L:$L, $A2, pokemon!$M:$M, $B2, pokemon!$AI:$AI, E$1, pokemon!$AM:$AM, "&lt;=1")</f>
        <v>6</v>
      </c>
      <c r="F2">
        <f>COUNTIFS(pokemon!$L:$L, $A2, pokemon!$M:$M, $B2, pokemon!$AI:$AI, F$1, pokemon!$AM:$AM, "&lt;=1")</f>
        <v>7</v>
      </c>
      <c r="G2">
        <f>SUM(C2,D2,E2,F2)</f>
        <v>20</v>
      </c>
    </row>
    <row r="3" spans="1:7" x14ac:dyDescent="0.25">
      <c r="A3" t="s">
        <v>301</v>
      </c>
      <c r="B3" t="s">
        <v>300</v>
      </c>
      <c r="C3">
        <f>COUNTIFS(pokemon!$L:$L, $A3, pokemon!$M:$M, $B3, pokemon!$AI:$AI, C$1, pokemon!$AM:$AM, "&lt;=1")</f>
        <v>0</v>
      </c>
      <c r="D3">
        <f>COUNTIFS(pokemon!$L:$L, $A3, pokemon!$M:$M, $B3, pokemon!$AI:$AI, D$1, pokemon!$AM:$AM, "&lt;=1")</f>
        <v>9</v>
      </c>
      <c r="E3">
        <f>COUNTIFS(pokemon!$L:$L, $A3, pokemon!$M:$M, $B3, pokemon!$AI:$AI, E$1, pokemon!$AM:$AM, "&lt;=1")</f>
        <v>8</v>
      </c>
      <c r="F3">
        <f>COUNTIFS(pokemon!$L:$L, $A3, pokemon!$M:$M, $B3, pokemon!$AI:$AI, F$1, pokemon!$AM:$AM, "&lt;=1")</f>
        <v>7</v>
      </c>
      <c r="G3">
        <f t="shared" ref="G3:G14" si="0">SUM(C3,D3,E3,F3)</f>
        <v>24</v>
      </c>
    </row>
    <row r="4" spans="1:7" x14ac:dyDescent="0.25">
      <c r="A4" t="s">
        <v>301</v>
      </c>
      <c r="B4" t="s">
        <v>302</v>
      </c>
      <c r="C4">
        <f>COUNTIFS(pokemon!$L:$L, $A4, pokemon!$M:$M, $B4, pokemon!$AI:$AI, C$1, pokemon!$AM:$AM, "&lt;=1")</f>
        <v>3</v>
      </c>
      <c r="D4">
        <f>COUNTIFS(pokemon!$L:$L, $A4, pokemon!$M:$M, $B4, pokemon!$AI:$AI, D$1, pokemon!$AM:$AM, "&lt;=1")</f>
        <v>6</v>
      </c>
      <c r="E4">
        <f>COUNTIFS(pokemon!$L:$L, $A4, pokemon!$M:$M, $B4, pokemon!$AI:$AI, E$1, pokemon!$AM:$AM, "&lt;=1")</f>
        <v>9</v>
      </c>
      <c r="F4">
        <f>COUNTIFS(pokemon!$L:$L, $A4, pokemon!$M:$M, $B4, pokemon!$AI:$AI, F$1, pokemon!$AM:$AM, "&lt;=1")</f>
        <v>11</v>
      </c>
      <c r="G4">
        <f t="shared" si="0"/>
        <v>29</v>
      </c>
    </row>
    <row r="5" spans="1:7" x14ac:dyDescent="0.25">
      <c r="A5" t="s">
        <v>298</v>
      </c>
      <c r="B5" t="s">
        <v>299</v>
      </c>
      <c r="C5">
        <f>COUNTIFS(pokemon!$L:$L, $A5, pokemon!$M:$M, $B5, pokemon!$AI:$AI, C$1, pokemon!$AM:$AM, "&lt;=1")</f>
        <v>1</v>
      </c>
      <c r="D5">
        <f>COUNTIFS(pokemon!$L:$L, $A5, pokemon!$M:$M, $B5, pokemon!$AI:$AI, D$1, pokemon!$AM:$AM, "&lt;=1")</f>
        <v>8</v>
      </c>
      <c r="E5">
        <f>COUNTIFS(pokemon!$L:$L, $A5, pokemon!$M:$M, $B5, pokemon!$AI:$AI, E$1, pokemon!$AM:$AM, "&lt;=1")</f>
        <v>8</v>
      </c>
      <c r="F5">
        <f>COUNTIFS(pokemon!$L:$L, $A5, pokemon!$M:$M, $B5, pokemon!$AI:$AI, F$1, pokemon!$AM:$AM, "&lt;=1")</f>
        <v>10</v>
      </c>
      <c r="G5">
        <f t="shared" si="0"/>
        <v>27</v>
      </c>
    </row>
    <row r="6" spans="1:7" x14ac:dyDescent="0.25">
      <c r="A6" t="s">
        <v>298</v>
      </c>
      <c r="B6" t="s">
        <v>300</v>
      </c>
      <c r="C6">
        <f>COUNTIFS(pokemon!$L:$L, $A6, pokemon!$M:$M, $B6, pokemon!$AI:$AI, C$1, pokemon!$AM:$AM, "&lt;=1")</f>
        <v>3</v>
      </c>
      <c r="D6">
        <f>COUNTIFS(pokemon!$L:$L, $A6, pokemon!$M:$M, $B6, pokemon!$AI:$AI, D$1, pokemon!$AM:$AM, "&lt;=1")</f>
        <v>5</v>
      </c>
      <c r="E6">
        <f>COUNTIFS(pokemon!$L:$L, $A6, pokemon!$M:$M, $B6, pokemon!$AI:$AI, E$1, pokemon!$AM:$AM, "&lt;=1")</f>
        <v>10</v>
      </c>
      <c r="F6">
        <f>COUNTIFS(pokemon!$L:$L, $A6, pokemon!$M:$M, $B6, pokemon!$AI:$AI, F$1, pokemon!$AM:$AM, "&lt;=1")</f>
        <v>7</v>
      </c>
      <c r="G6">
        <f t="shared" si="0"/>
        <v>25</v>
      </c>
    </row>
    <row r="7" spans="1:7" x14ac:dyDescent="0.25">
      <c r="A7" t="s">
        <v>298</v>
      </c>
      <c r="B7" t="s">
        <v>302</v>
      </c>
      <c r="C7">
        <f>COUNTIFS(pokemon!$L:$L, $A7, pokemon!$M:$M, $B7, pokemon!$AI:$AI, C$1, pokemon!$AM:$AM, "&lt;=1")</f>
        <v>1</v>
      </c>
      <c r="D7">
        <f>COUNTIFS(pokemon!$L:$L, $A7, pokemon!$M:$M, $B7, pokemon!$AI:$AI, D$1, pokemon!$AM:$AM, "&lt;=1")</f>
        <v>7</v>
      </c>
      <c r="E7">
        <f>COUNTIFS(pokemon!$L:$L, $A7, pokemon!$M:$M, $B7, pokemon!$AI:$AI, E$1, pokemon!$AM:$AM, "&lt;=1")</f>
        <v>8</v>
      </c>
      <c r="F7">
        <f>COUNTIFS(pokemon!$L:$L, $A7, pokemon!$M:$M, $B7, pokemon!$AI:$AI, F$1, pokemon!$AM:$AM, "&lt;=1")</f>
        <v>9</v>
      </c>
      <c r="G7">
        <f t="shared" si="0"/>
        <v>25</v>
      </c>
    </row>
    <row r="8" spans="1:7" x14ac:dyDescent="0.25">
      <c r="A8" t="s">
        <v>304</v>
      </c>
      <c r="B8" t="s">
        <v>299</v>
      </c>
      <c r="C8">
        <f>COUNTIFS(pokemon!$L:$L, $A8, pokemon!$M:$M, $B8, pokemon!$AI:$AI, C$1, pokemon!$AM:$AM, "&lt;=1")</f>
        <v>1</v>
      </c>
      <c r="D8">
        <f>COUNTIFS(pokemon!$L:$L, $A8, pokemon!$M:$M, $B8, pokemon!$AI:$AI, D$1, pokemon!$AM:$AM, "&lt;=1")</f>
        <v>6</v>
      </c>
      <c r="E8">
        <f>COUNTIFS(pokemon!$L:$L, $A8, pokemon!$M:$M, $B8, pokemon!$AI:$AI, E$1, pokemon!$AM:$AM, "&lt;=1")</f>
        <v>9</v>
      </c>
      <c r="F8">
        <f>COUNTIFS(pokemon!$L:$L, $A8, pokemon!$M:$M, $B8, pokemon!$AI:$AI, F$1, pokemon!$AM:$AM, "&lt;=1")</f>
        <v>10</v>
      </c>
      <c r="G8">
        <f t="shared" si="0"/>
        <v>26</v>
      </c>
    </row>
    <row r="9" spans="1:7" x14ac:dyDescent="0.25">
      <c r="A9" t="s">
        <v>304</v>
      </c>
      <c r="B9" t="s">
        <v>300</v>
      </c>
      <c r="C9">
        <f>COUNTIFS(pokemon!$L:$L, $A9, pokemon!$M:$M, $B9, pokemon!$AI:$AI, C$1, pokemon!$AM:$AM, "&lt;=1")</f>
        <v>2</v>
      </c>
      <c r="D9">
        <f>COUNTIFS(pokemon!$L:$L, $A9, pokemon!$M:$M, $B9, pokemon!$AI:$AI, D$1, pokemon!$AM:$AM, "&lt;=1")</f>
        <v>5</v>
      </c>
      <c r="E9">
        <f>COUNTIFS(pokemon!$L:$L, $A9, pokemon!$M:$M, $B9, pokemon!$AI:$AI, E$1, pokemon!$AM:$AM, "&lt;=1")</f>
        <v>9</v>
      </c>
      <c r="F9">
        <f>COUNTIFS(pokemon!$L:$L, $A9, pokemon!$M:$M, $B9, pokemon!$AI:$AI, F$1, pokemon!$AM:$AM, "&lt;=1")</f>
        <v>8</v>
      </c>
      <c r="G9">
        <f t="shared" si="0"/>
        <v>24</v>
      </c>
    </row>
    <row r="10" spans="1:7" x14ac:dyDescent="0.25">
      <c r="A10" t="s">
        <v>304</v>
      </c>
      <c r="B10" t="s">
        <v>302</v>
      </c>
      <c r="C10">
        <f>COUNTIFS(pokemon!$L:$L, $A10, pokemon!$M:$M, $B10, pokemon!$AI:$AI, C$1, pokemon!$AM:$AM, "&lt;=1")</f>
        <v>1</v>
      </c>
      <c r="D10">
        <f>COUNTIFS(pokemon!$L:$L, $A10, pokemon!$M:$M, $B10, pokemon!$AI:$AI, D$1, pokemon!$AM:$AM, "&lt;=1")</f>
        <v>8</v>
      </c>
      <c r="E10">
        <f>COUNTIFS(pokemon!$L:$L, $A10, pokemon!$M:$M, $B10, pokemon!$AI:$AI, E$1, pokemon!$AM:$AM, "&lt;=1")</f>
        <v>8</v>
      </c>
      <c r="F10">
        <f>COUNTIFS(pokemon!$L:$L, $A10, pokemon!$M:$M, $B10, pokemon!$AI:$AI, F$1, pokemon!$AM:$AM, "&lt;=1")</f>
        <v>11</v>
      </c>
      <c r="G10">
        <f t="shared" si="0"/>
        <v>28</v>
      </c>
    </row>
    <row r="11" spans="1:7" x14ac:dyDescent="0.25">
      <c r="A11" t="s">
        <v>303</v>
      </c>
      <c r="B11" t="s">
        <v>299</v>
      </c>
      <c r="C11">
        <f>COUNTIFS(pokemon!$L:$L, $A11, pokemon!$M:$M, $B11, pokemon!$AI:$AI, C$1, pokemon!$AM:$AM, "&lt;=1")</f>
        <v>3</v>
      </c>
      <c r="D11">
        <f>COUNTIFS(pokemon!$L:$L, $A11, pokemon!$M:$M, $B11, pokemon!$AI:$AI, D$1, pokemon!$AM:$AM, "&lt;=1")</f>
        <v>5</v>
      </c>
      <c r="E11">
        <f>COUNTIFS(pokemon!$L:$L, $A11, pokemon!$M:$M, $B11, pokemon!$AI:$AI, E$1, pokemon!$AM:$AM, "&lt;=1")</f>
        <v>7</v>
      </c>
      <c r="F11">
        <f>COUNTIFS(pokemon!$L:$L, $A11, pokemon!$M:$M, $B11, pokemon!$AI:$AI, F$1, pokemon!$AM:$AM, "&lt;=1")</f>
        <v>5</v>
      </c>
      <c r="G11">
        <f t="shared" si="0"/>
        <v>20</v>
      </c>
    </row>
    <row r="12" spans="1:7" x14ac:dyDescent="0.25">
      <c r="A12" t="s">
        <v>303</v>
      </c>
      <c r="B12" t="s">
        <v>300</v>
      </c>
      <c r="C12">
        <f>COUNTIFS(pokemon!$L:$L, $A12, pokemon!$M:$M, $B12, pokemon!$AI:$AI, C$1, pokemon!$AM:$AM, "&lt;=1")</f>
        <v>0</v>
      </c>
      <c r="D12">
        <f>COUNTIFS(pokemon!$L:$L, $A12, pokemon!$M:$M, $B12, pokemon!$AI:$AI, D$1, pokemon!$AM:$AM, "&lt;=1")</f>
        <v>6</v>
      </c>
      <c r="E12">
        <f>COUNTIFS(pokemon!$L:$L, $A12, pokemon!$M:$M, $B12, pokemon!$AI:$AI, E$1, pokemon!$AM:$AM, "&lt;=1")</f>
        <v>5</v>
      </c>
      <c r="F12">
        <f>COUNTIFS(pokemon!$L:$L, $A12, pokemon!$M:$M, $B12, pokemon!$AI:$AI, F$1, pokemon!$AM:$AM, "&lt;=1")</f>
        <v>4</v>
      </c>
      <c r="G12">
        <f t="shared" si="0"/>
        <v>15</v>
      </c>
    </row>
    <row r="13" spans="1:7" x14ac:dyDescent="0.25">
      <c r="A13" t="s">
        <v>303</v>
      </c>
      <c r="B13" t="s">
        <v>302</v>
      </c>
      <c r="C13">
        <f>COUNTIFS(pokemon!$L:$L, $A13, pokemon!$M:$M, $B13, pokemon!$AI:$AI, C$1, pokemon!$AM:$AM, "&lt;=1")</f>
        <v>0</v>
      </c>
      <c r="D13">
        <f>COUNTIFS(pokemon!$L:$L, $A13, pokemon!$M:$M, $B13, pokemon!$AI:$AI, D$1, pokemon!$AM:$AM, "&lt;=1")</f>
        <v>7</v>
      </c>
      <c r="E13">
        <f>COUNTIFS(pokemon!$L:$L, $A13, pokemon!$M:$M, $B13, pokemon!$AI:$AI, E$1, pokemon!$AM:$AM, "&lt;=1")</f>
        <v>7</v>
      </c>
      <c r="F13">
        <f>COUNTIFS(pokemon!$L:$L, $A13, pokemon!$M:$M, $B13, pokemon!$AI:$AI, F$1, pokemon!$AM:$AM, "&lt;=1")</f>
        <v>4</v>
      </c>
      <c r="G13">
        <f t="shared" si="0"/>
        <v>18</v>
      </c>
    </row>
    <row r="14" spans="1:7" x14ac:dyDescent="0.25">
      <c r="B14" t="s">
        <v>551</v>
      </c>
      <c r="C14">
        <f>COUNTIFS(pokemon!$M:$M, $B14, pokemon!$AI:$AI, C$1, pokemon!$AM:$AM, "&lt;=1")</f>
        <v>2</v>
      </c>
      <c r="D14">
        <f>COUNTIFS(pokemon!$M:$M, $B14, pokemon!$AI:$AI, D$1, pokemon!$AM:$AM, "&lt;=1")</f>
        <v>4</v>
      </c>
      <c r="E14">
        <f>COUNTIFS(pokemon!$M:$M, $B14, pokemon!$AI:$AI, E$1, pokemon!$AM:$AM, "&lt;=1")</f>
        <v>6</v>
      </c>
      <c r="F14">
        <f>COUNTIFS(pokemon!$M:$M, $B14, pokemon!$AI:$AI, F$1, pokemon!$AM:$AM, "&lt;=1")</f>
        <v>6</v>
      </c>
      <c r="G14">
        <f t="shared" si="0"/>
        <v>18</v>
      </c>
    </row>
    <row r="15" spans="1:7" x14ac:dyDescent="0.25">
      <c r="C15">
        <f>SUM(C2:C14)</f>
        <v>18</v>
      </c>
      <c r="D15">
        <f>SUM(D2:D14)</f>
        <v>82</v>
      </c>
      <c r="E15">
        <f>SUM(E2:E14)</f>
        <v>100</v>
      </c>
      <c r="F15">
        <f>SUM(F2:F14)</f>
        <v>99</v>
      </c>
      <c r="G15">
        <f>SUM(D15:F15)</f>
        <v>281</v>
      </c>
    </row>
    <row r="17" spans="1:7" x14ac:dyDescent="0.25">
      <c r="E17" t="s">
        <v>630</v>
      </c>
      <c r="F17" t="s">
        <v>631</v>
      </c>
      <c r="G17" t="s">
        <v>632</v>
      </c>
    </row>
    <row r="18" spans="1:7" x14ac:dyDescent="0.25">
      <c r="A18" t="s">
        <v>8</v>
      </c>
      <c r="B18">
        <f>COUNTIFS(pokemon!C:C, $A18, pokemon!$AH:$AH, 0, pokemon!$AJ:$AJ, "")</f>
        <v>33</v>
      </c>
      <c r="D18">
        <f>COUNTIFS(pokemon!D:D, $A18, pokemon!$AH:$AH, 0, pokemon!$AJ:$AJ, "")</f>
        <v>0</v>
      </c>
      <c r="E18">
        <f t="shared" ref="E18:E35" si="1">SUM(B18,D18)</f>
        <v>33</v>
      </c>
      <c r="F18">
        <f>SUMIF(moves!B:B, A18, moves!G:G)</f>
        <v>39</v>
      </c>
      <c r="G18" s="29">
        <f>F18/E18</f>
        <v>1.1818181818181819</v>
      </c>
    </row>
    <row r="19" spans="1:7" x14ac:dyDescent="0.25">
      <c r="A19" t="s">
        <v>4</v>
      </c>
      <c r="B19">
        <f>COUNTIFS(pokemon!C:C, $A19, pokemon!$AH:$AH, 0, pokemon!$AJ:$AJ, "")</f>
        <v>21</v>
      </c>
      <c r="D19">
        <f>COUNTIFS(pokemon!D:D, $A19, pokemon!$AH:$AH, 0, pokemon!$AJ:$AJ, "")</f>
        <v>9</v>
      </c>
      <c r="E19">
        <f t="shared" si="1"/>
        <v>30</v>
      </c>
      <c r="F19">
        <f>SUMIF(moves!B:B, A19, moves!G:G)</f>
        <v>25</v>
      </c>
      <c r="G19" s="29">
        <f t="shared" ref="G19:G34" si="2">F19/E19</f>
        <v>0.83333333333333337</v>
      </c>
    </row>
    <row r="20" spans="1:7" x14ac:dyDescent="0.25">
      <c r="A20" t="s">
        <v>6</v>
      </c>
      <c r="B20">
        <f>COUNTIFS(pokemon!C:C, $A20, pokemon!$AH:$AH, 0, pokemon!$AJ:$AJ, "")</f>
        <v>43</v>
      </c>
      <c r="D20">
        <f>COUNTIFS(pokemon!D:D, $A20, pokemon!$AH:$AH, 0, pokemon!$AJ:$AJ, "")</f>
        <v>5</v>
      </c>
      <c r="E20">
        <f t="shared" si="1"/>
        <v>48</v>
      </c>
      <c r="F20">
        <f>SUMIF(moves!B:B, A20, moves!G:G)</f>
        <v>30</v>
      </c>
      <c r="G20" s="29">
        <f t="shared" si="2"/>
        <v>0.625</v>
      </c>
    </row>
    <row r="21" spans="1:7" x14ac:dyDescent="0.25">
      <c r="A21" t="s">
        <v>11</v>
      </c>
      <c r="B21">
        <f>COUNTIFS(pokemon!C:C, $A21, pokemon!$AH:$AH, 0, pokemon!$AJ:$AJ, "")</f>
        <v>22</v>
      </c>
      <c r="D21">
        <f>COUNTIFS(pokemon!D:D, $A21, pokemon!$AH:$AH, 0, pokemon!$AJ:$AJ, "")</f>
        <v>0</v>
      </c>
      <c r="E21">
        <f t="shared" si="1"/>
        <v>22</v>
      </c>
      <c r="F21">
        <f>SUMIF(moves!B:B, A21, moves!G:G)</f>
        <v>19</v>
      </c>
      <c r="G21" s="29">
        <f t="shared" si="2"/>
        <v>0.86363636363636365</v>
      </c>
    </row>
    <row r="22" spans="1:7" x14ac:dyDescent="0.25">
      <c r="A22" t="s">
        <v>2</v>
      </c>
      <c r="B22">
        <f>COUNTIFS(pokemon!C:C, $A22, pokemon!$AH:$AH, 0, pokemon!$AJ:$AJ, "")</f>
        <v>23</v>
      </c>
      <c r="D22">
        <f>COUNTIFS(pokemon!D:D, $A22, pokemon!$AH:$AH, 0, pokemon!$AJ:$AJ, "")</f>
        <v>4</v>
      </c>
      <c r="E22">
        <f t="shared" si="1"/>
        <v>27</v>
      </c>
      <c r="F22">
        <f>SUMIF(moves!B:B, A22, moves!G:G)</f>
        <v>20</v>
      </c>
      <c r="G22" s="29">
        <f t="shared" si="2"/>
        <v>0.7407407407407407</v>
      </c>
    </row>
    <row r="23" spans="1:7" x14ac:dyDescent="0.25">
      <c r="A23" t="s">
        <v>14</v>
      </c>
      <c r="B23">
        <f>COUNTIFS(pokemon!C:C, $A23, pokemon!$AH:$AH, 0, pokemon!$AJ:$AJ, "")</f>
        <v>13</v>
      </c>
      <c r="D23">
        <f>COUNTIFS(pokemon!D:D, $A23, pokemon!$AH:$AH, 0, pokemon!$AJ:$AJ, "")</f>
        <v>4</v>
      </c>
      <c r="E23">
        <f t="shared" si="1"/>
        <v>17</v>
      </c>
      <c r="F23">
        <f>SUMIF(moves!B:B, A23, moves!G:G)</f>
        <v>16</v>
      </c>
      <c r="G23" s="29">
        <f t="shared" si="2"/>
        <v>0.94117647058823528</v>
      </c>
    </row>
    <row r="24" spans="1:7" x14ac:dyDescent="0.25">
      <c r="A24" t="s">
        <v>22</v>
      </c>
      <c r="B24">
        <f>COUNTIFS(pokemon!C:C, $A24, pokemon!$AH:$AH, 0, pokemon!$AJ:$AJ, "")</f>
        <v>11</v>
      </c>
      <c r="D24">
        <f>COUNTIFS(pokemon!D:D, $A24, pokemon!$AH:$AH, 0, pokemon!$AJ:$AJ, "")</f>
        <v>8</v>
      </c>
      <c r="E24">
        <f t="shared" si="1"/>
        <v>19</v>
      </c>
      <c r="F24">
        <f>SUMIF(moves!B:B, A24, moves!G:G)</f>
        <v>13</v>
      </c>
      <c r="G24" s="29">
        <f t="shared" si="2"/>
        <v>0.68421052631578949</v>
      </c>
    </row>
    <row r="25" spans="1:7" x14ac:dyDescent="0.25">
      <c r="A25" t="s">
        <v>3</v>
      </c>
      <c r="B25">
        <f>COUNTIFS(pokemon!C:C, $A25, pokemon!$AH:$AH, 0, pokemon!$AJ:$AJ, "")</f>
        <v>15</v>
      </c>
      <c r="D25">
        <f>COUNTIFS(pokemon!D:D, $A25, pokemon!$AH:$AH, 0, pokemon!$AJ:$AJ, "")</f>
        <v>11</v>
      </c>
      <c r="E25">
        <f t="shared" si="1"/>
        <v>26</v>
      </c>
      <c r="F25">
        <f>SUMIF(moves!B:B, A25, moves!G:G)</f>
        <v>16</v>
      </c>
      <c r="G25" s="29">
        <f t="shared" si="2"/>
        <v>0.61538461538461542</v>
      </c>
    </row>
    <row r="26" spans="1:7" x14ac:dyDescent="0.25">
      <c r="A26" t="s">
        <v>13</v>
      </c>
      <c r="B26">
        <f>COUNTIFS(pokemon!C:C, $A26, pokemon!$AH:$AH, 0, pokemon!$AJ:$AJ, "")</f>
        <v>9</v>
      </c>
      <c r="D26">
        <f>COUNTIFS(pokemon!D:D, $A26, pokemon!$AH:$AH, 0, pokemon!$AJ:$AJ, "")</f>
        <v>21</v>
      </c>
      <c r="E26">
        <f t="shared" si="1"/>
        <v>30</v>
      </c>
      <c r="F26">
        <f>SUMIF(moves!B:B, A26, moves!G:G)</f>
        <v>14</v>
      </c>
      <c r="G26" s="29">
        <f t="shared" si="2"/>
        <v>0.46666666666666667</v>
      </c>
    </row>
    <row r="27" spans="1:7" x14ac:dyDescent="0.25">
      <c r="A27" t="s">
        <v>5</v>
      </c>
      <c r="B27">
        <f>COUNTIFS(pokemon!C:C, $A27, pokemon!$AH:$AH, 0, pokemon!$AJ:$AJ, "")</f>
        <v>0</v>
      </c>
      <c r="D27">
        <f>COUNTIFS(pokemon!D:D, $A27, pokemon!$AH:$AH, 0, pokemon!$AJ:$AJ, "")</f>
        <v>40</v>
      </c>
      <c r="E27">
        <f t="shared" si="1"/>
        <v>40</v>
      </c>
      <c r="F27">
        <f>SUMIF(moves!B:B, A27, moves!G:G)</f>
        <v>15</v>
      </c>
      <c r="G27" s="29">
        <f t="shared" si="2"/>
        <v>0.375</v>
      </c>
    </row>
    <row r="28" spans="1:7" x14ac:dyDescent="0.25">
      <c r="A28" t="s">
        <v>26</v>
      </c>
      <c r="B28">
        <f>COUNTIFS(pokemon!C:C, $A28, pokemon!$AH:$AH, 0, pokemon!$AJ:$AJ, "")</f>
        <v>19</v>
      </c>
      <c r="D28">
        <f>COUNTIFS(pokemon!D:D, $A28, pokemon!$AH:$AH, 0, pokemon!$AJ:$AJ, "")</f>
        <v>14</v>
      </c>
      <c r="E28">
        <f t="shared" si="1"/>
        <v>33</v>
      </c>
      <c r="F28">
        <f>SUMIF(moves!B:B, A28, moves!G:G)</f>
        <v>25</v>
      </c>
      <c r="G28" s="29">
        <f t="shared" si="2"/>
        <v>0.75757575757575757</v>
      </c>
    </row>
    <row r="29" spans="1:7" x14ac:dyDescent="0.25">
      <c r="A29" t="s">
        <v>7</v>
      </c>
      <c r="B29">
        <f>COUNTIFS(pokemon!C:C, $A29, pokemon!$AH:$AH, 0, pokemon!$AJ:$AJ, "")</f>
        <v>25</v>
      </c>
      <c r="D29">
        <f>COUNTIFS(pokemon!D:D, $A29, pokemon!$AH:$AH, 0, pokemon!$AJ:$AJ, "")</f>
        <v>1</v>
      </c>
      <c r="E29">
        <f t="shared" si="1"/>
        <v>26</v>
      </c>
      <c r="F29">
        <f>SUMIF(moves!B:B, A29, moves!G:G)</f>
        <v>17</v>
      </c>
      <c r="G29" s="29">
        <f t="shared" si="2"/>
        <v>0.65384615384615385</v>
      </c>
    </row>
    <row r="30" spans="1:7" x14ac:dyDescent="0.25">
      <c r="A30" t="s">
        <v>33</v>
      </c>
      <c r="B30">
        <f>COUNTIFS(pokemon!C:C, $A30, pokemon!$AH:$AH, 0, pokemon!$AJ:$AJ, "")</f>
        <v>22</v>
      </c>
      <c r="D30">
        <f>COUNTIFS(pokemon!D:D, $A30, pokemon!$AH:$AH, 0, pokemon!$AJ:$AJ, "")</f>
        <v>4</v>
      </c>
      <c r="E30">
        <f t="shared" si="1"/>
        <v>26</v>
      </c>
      <c r="F30">
        <f>SUMIF(moves!B:B, A30, moves!G:G)</f>
        <v>21</v>
      </c>
      <c r="G30" s="29">
        <f t="shared" si="2"/>
        <v>0.80769230769230771</v>
      </c>
    </row>
    <row r="31" spans="1:7" x14ac:dyDescent="0.25">
      <c r="A31" t="s">
        <v>42</v>
      </c>
      <c r="B31">
        <f>COUNTIFS(pokemon!C:C, $A31, pokemon!$AH:$AH, 0, pokemon!$AJ:$AJ, "")</f>
        <v>15</v>
      </c>
      <c r="D31">
        <f>COUNTIFS(pokemon!D:D, $A31, pokemon!$AH:$AH, 0, pokemon!$AJ:$AJ, "")</f>
        <v>8</v>
      </c>
      <c r="E31">
        <f t="shared" si="1"/>
        <v>23</v>
      </c>
      <c r="F31">
        <f>SUMIF(moves!B:B, A31, moves!G:G)</f>
        <v>14</v>
      </c>
      <c r="G31" s="29">
        <f t="shared" si="2"/>
        <v>0.60869565217391308</v>
      </c>
    </row>
    <row r="32" spans="1:7" x14ac:dyDescent="0.25">
      <c r="A32" t="s">
        <v>67</v>
      </c>
      <c r="B32">
        <f>COUNTIFS(pokemon!C:C, $A32, pokemon!$AH:$AH, 0, pokemon!$AJ:$AJ, "")</f>
        <v>13</v>
      </c>
      <c r="D32">
        <f>COUNTIFS(pokemon!D:D, $A32, pokemon!$AH:$AH, 0, pokemon!$AJ:$AJ, "")</f>
        <v>8</v>
      </c>
      <c r="E32">
        <f t="shared" si="1"/>
        <v>21</v>
      </c>
      <c r="F32">
        <f>SUMIF(moves!B:B, A32, moves!G:G)</f>
        <v>16</v>
      </c>
      <c r="G32" s="29">
        <f t="shared" si="2"/>
        <v>0.76190476190476186</v>
      </c>
    </row>
    <row r="33" spans="1:8" x14ac:dyDescent="0.25">
      <c r="A33" t="s">
        <v>9</v>
      </c>
      <c r="B33">
        <f>COUNTIFS(pokemon!C:C, $A33, pokemon!$AH:$AH, 0, pokemon!$AJ:$AJ, "")</f>
        <v>16</v>
      </c>
      <c r="D33">
        <f>COUNTIFS(pokemon!D:D, $A33, pokemon!$AH:$AH, 0, pokemon!$AJ:$AJ, "")</f>
        <v>6</v>
      </c>
      <c r="E33">
        <f t="shared" si="1"/>
        <v>22</v>
      </c>
      <c r="F33">
        <f>SUMIF(moves!B:B, A33, moves!G:G)</f>
        <v>20</v>
      </c>
      <c r="G33" s="29">
        <f t="shared" si="2"/>
        <v>0.90909090909090906</v>
      </c>
    </row>
    <row r="34" spans="1:8" x14ac:dyDescent="0.25">
      <c r="A34" t="s">
        <v>39</v>
      </c>
      <c r="B34">
        <f>COUNTIFS(pokemon!C:C, $A34, pokemon!$AH:$AH, 0, pokemon!$AJ:$AJ, "")</f>
        <v>12</v>
      </c>
      <c r="D34">
        <f>COUNTIFS(pokemon!D:D, $A34, pokemon!$AH:$AH, 0, pokemon!$AJ:$AJ, "")</f>
        <v>13</v>
      </c>
      <c r="E34">
        <f t="shared" si="1"/>
        <v>25</v>
      </c>
      <c r="F34">
        <f>SUMIF(moves!B:B, A34, moves!G:G)</f>
        <v>19</v>
      </c>
      <c r="G34" s="29">
        <f t="shared" si="2"/>
        <v>0.76</v>
      </c>
    </row>
    <row r="35" spans="1:8" x14ac:dyDescent="0.25">
      <c r="A35" t="s">
        <v>16</v>
      </c>
      <c r="B35">
        <f>COUNTIFS(pokemon!C:C, $A35, pokemon!$AH:$AH, 0, pokemon!$AJ:$AJ, "")</f>
        <v>7</v>
      </c>
      <c r="D35">
        <f>COUNTIFS(pokemon!D:D, $A35, pokemon!$AH:$AH, 0, pokemon!$AJ:$AJ, "")</f>
        <v>13</v>
      </c>
      <c r="E35">
        <f t="shared" si="1"/>
        <v>20</v>
      </c>
      <c r="F35">
        <f>SUMIF(moves!B:B, A35, moves!G:G)</f>
        <v>13</v>
      </c>
      <c r="G35" s="29">
        <f>F35/E35</f>
        <v>0.65</v>
      </c>
    </row>
    <row r="37" spans="1:8" x14ac:dyDescent="0.25">
      <c r="B37" t="s">
        <v>1196</v>
      </c>
      <c r="D37" t="s">
        <v>603</v>
      </c>
      <c r="E37" t="s">
        <v>604</v>
      </c>
      <c r="F37" t="s">
        <v>605</v>
      </c>
      <c r="G37" t="s">
        <v>1185</v>
      </c>
      <c r="H37" t="s">
        <v>559</v>
      </c>
    </row>
    <row r="38" spans="1:8" x14ac:dyDescent="0.25">
      <c r="A38" t="s">
        <v>8</v>
      </c>
      <c r="B38">
        <f>COUNTIFS(pokemon!$C:$C, $A38, pokemon!$AI:$AI, B$37, pokemon!$AM:$AM, "&lt;=1")+COUNTIFS(pokemon!$D:$D, $A38, pokemon!$AI:$AI, B$37, pokemon!$AM:$AM, "&lt;=1")</f>
        <v>2</v>
      </c>
      <c r="D38">
        <f>COUNTIFS(pokemon!$C:$C, $A38, pokemon!$AI:$AI, D$37, pokemon!$AM:$AM, "&lt;=1")+COUNTIFS(pokemon!$D:$D, $A38, pokemon!$AI:$AI, D$37, pokemon!$AM:$AM, "&lt;=1")</f>
        <v>9</v>
      </c>
      <c r="E38">
        <f>COUNTIFS(pokemon!$C:$C, $A38, pokemon!$AI:$AI, E$37, pokemon!$AM:$AM, "&lt;=1")+COUNTIFS(pokemon!$D:$D, $A38, pokemon!$AI:$AI, E$37, pokemon!$AM:$AM, "&lt;=1")</f>
        <v>13</v>
      </c>
      <c r="F38">
        <f>COUNTIFS(pokemon!$C:$C, $A38, pokemon!$AI:$AI, F$37, pokemon!$AM:$AM, "&lt;=1")+COUNTIFS(pokemon!$D:$D, $A38, pokemon!$AI:$AI, F$37, pokemon!$AM:$AM, "&lt;=1")</f>
        <v>9</v>
      </c>
      <c r="G38">
        <f>COUNTIFS(pokemon!$C:$C, $A38, pokemon!$AI:$AI, G$37, pokemon!$AM:$AM, "&lt;=1")+COUNTIFS(pokemon!$D:$D, $A38, pokemon!$AI:$AI, G$37, pokemon!$AM:$AM, "&lt;=1")</f>
        <v>2</v>
      </c>
      <c r="H38">
        <f>SUM(B38:G38)</f>
        <v>35</v>
      </c>
    </row>
    <row r="39" spans="1:8" x14ac:dyDescent="0.25">
      <c r="A39" t="s">
        <v>4</v>
      </c>
      <c r="B39">
        <f>COUNTIFS(pokemon!$C:$C, $A39, pokemon!$AI:$AI, B$37, pokemon!$AM:$AM, "&lt;=1")+COUNTIFS(pokemon!$D:$D, $A39, pokemon!$AI:$AI, B$37, pokemon!$AM:$AM, "&lt;=1")</f>
        <v>3</v>
      </c>
      <c r="D39">
        <f>COUNTIFS(pokemon!$C:$C, $A39, pokemon!$AI:$AI, D$37, pokemon!$AM:$AM, "&lt;=1")+COUNTIFS(pokemon!$D:$D, $A39, pokemon!$AI:$AI, D$37, pokemon!$AM:$AM, "&lt;=1")</f>
        <v>5</v>
      </c>
      <c r="E39">
        <f>COUNTIFS(pokemon!$C:$C, $A39, pokemon!$AI:$AI, E$37, pokemon!$AM:$AM, "&lt;=1")+COUNTIFS(pokemon!$D:$D, $A39, pokemon!$AI:$AI, E$37, pokemon!$AM:$AM, "&lt;=1")</f>
        <v>7</v>
      </c>
      <c r="F39">
        <f>COUNTIFS(pokemon!$C:$C, $A39, pokemon!$AI:$AI, F$37, pokemon!$AM:$AM, "&lt;=1")+COUNTIFS(pokemon!$D:$D, $A39, pokemon!$AI:$AI, F$37, pokemon!$AM:$AM, "&lt;=1")</f>
        <v>13</v>
      </c>
      <c r="G39">
        <f>COUNTIFS(pokemon!$C:$C, $A39, pokemon!$AI:$AI, G$37, pokemon!$AM:$AM, "&lt;=1")+COUNTIFS(pokemon!$D:$D, $A39, pokemon!$AI:$AI, G$37, pokemon!$AM:$AM, "&lt;=1")</f>
        <v>4</v>
      </c>
      <c r="H39">
        <f t="shared" ref="H39:H55" si="3">SUM(B39:G39)</f>
        <v>32</v>
      </c>
    </row>
    <row r="40" spans="1:8" x14ac:dyDescent="0.25">
      <c r="A40" t="s">
        <v>6</v>
      </c>
      <c r="B40">
        <f>COUNTIFS(pokemon!$C:$C, $A40, pokemon!$AI:$AI, B$37, pokemon!$AM:$AM, "&lt;=1")+COUNTIFS(pokemon!$D:$D, $A40, pokemon!$AI:$AI, B$37, pokemon!$AM:$AM, "&lt;=1")</f>
        <v>3</v>
      </c>
      <c r="D40">
        <f>COUNTIFS(pokemon!$C:$C, $A40, pokemon!$AI:$AI, D$37, pokemon!$AM:$AM, "&lt;=1")+COUNTIFS(pokemon!$D:$D, $A40, pokemon!$AI:$AI, D$37, pokemon!$AM:$AM, "&lt;=1")</f>
        <v>17</v>
      </c>
      <c r="E40">
        <f>COUNTIFS(pokemon!$C:$C, $A40, pokemon!$AI:$AI, E$37, pokemon!$AM:$AM, "&lt;=1")+COUNTIFS(pokemon!$D:$D, $A40, pokemon!$AI:$AI, E$37, pokemon!$AM:$AM, "&lt;=1")</f>
        <v>16</v>
      </c>
      <c r="F40">
        <f>COUNTIFS(pokemon!$C:$C, $A40, pokemon!$AI:$AI, F$37, pokemon!$AM:$AM, "&lt;=1")+COUNTIFS(pokemon!$D:$D, $A40, pokemon!$AI:$AI, F$37, pokemon!$AM:$AM, "&lt;=1")</f>
        <v>12</v>
      </c>
      <c r="G40">
        <f>COUNTIFS(pokemon!$C:$C, $A40, pokemon!$AI:$AI, G$37, pokemon!$AM:$AM, "&lt;=1")+COUNTIFS(pokemon!$D:$D, $A40, pokemon!$AI:$AI, G$37, pokemon!$AM:$AM, "&lt;=1")</f>
        <v>3</v>
      </c>
      <c r="H40">
        <f t="shared" si="3"/>
        <v>51</v>
      </c>
    </row>
    <row r="41" spans="1:8" x14ac:dyDescent="0.25">
      <c r="A41" t="s">
        <v>11</v>
      </c>
      <c r="B41">
        <f>COUNTIFS(pokemon!$C:$C, $A41, pokemon!$AI:$AI, B$37, pokemon!$AM:$AM, "&lt;=1")+COUNTIFS(pokemon!$D:$D, $A41, pokemon!$AI:$AI, B$37, pokemon!$AM:$AM, "&lt;=1")</f>
        <v>2</v>
      </c>
      <c r="D41">
        <f>COUNTIFS(pokemon!$C:$C, $A41, pokemon!$AI:$AI, D$37, pokemon!$AM:$AM, "&lt;=1")+COUNTIFS(pokemon!$D:$D, $A41, pokemon!$AI:$AI, D$37, pokemon!$AM:$AM, "&lt;=1")</f>
        <v>3</v>
      </c>
      <c r="E41">
        <f>COUNTIFS(pokemon!$C:$C, $A41, pokemon!$AI:$AI, E$37, pokemon!$AM:$AM, "&lt;=1")+COUNTIFS(pokemon!$D:$D, $A41, pokemon!$AI:$AI, E$37, pokemon!$AM:$AM, "&lt;=1")</f>
        <v>7</v>
      </c>
      <c r="F41">
        <f>COUNTIFS(pokemon!$C:$C, $A41, pokemon!$AI:$AI, F$37, pokemon!$AM:$AM, "&lt;=1")+COUNTIFS(pokemon!$D:$D, $A41, pokemon!$AI:$AI, F$37, pokemon!$AM:$AM, "&lt;=1")</f>
        <v>8</v>
      </c>
      <c r="G41">
        <f>COUNTIFS(pokemon!$C:$C, $A41, pokemon!$AI:$AI, G$37, pokemon!$AM:$AM, "&lt;=1")+COUNTIFS(pokemon!$D:$D, $A41, pokemon!$AI:$AI, G$37, pokemon!$AM:$AM, "&lt;=1")</f>
        <v>5</v>
      </c>
      <c r="H41">
        <f t="shared" si="3"/>
        <v>25</v>
      </c>
    </row>
    <row r="42" spans="1:8" x14ac:dyDescent="0.25">
      <c r="A42" t="s">
        <v>2</v>
      </c>
      <c r="B42">
        <f>COUNTIFS(pokemon!$C:$C, $A42, pokemon!$AI:$AI, B$37, pokemon!$AM:$AM, "&lt;=1")+COUNTIFS(pokemon!$D:$D, $A42, pokemon!$AI:$AI, B$37, pokemon!$AM:$AM, "&lt;=1")</f>
        <v>3</v>
      </c>
      <c r="D42">
        <f>COUNTIFS(pokemon!$C:$C, $A42, pokemon!$AI:$AI, D$37, pokemon!$AM:$AM, "&lt;=1")+COUNTIFS(pokemon!$D:$D, $A42, pokemon!$AI:$AI, D$37, pokemon!$AM:$AM, "&lt;=1")</f>
        <v>5</v>
      </c>
      <c r="E42">
        <f>COUNTIFS(pokemon!$C:$C, $A42, pokemon!$AI:$AI, E$37, pokemon!$AM:$AM, "&lt;=1")+COUNTIFS(pokemon!$D:$D, $A42, pokemon!$AI:$AI, E$37, pokemon!$AM:$AM, "&lt;=1")</f>
        <v>10</v>
      </c>
      <c r="F42">
        <f>COUNTIFS(pokemon!$C:$C, $A42, pokemon!$AI:$AI, F$37, pokemon!$AM:$AM, "&lt;=1")+COUNTIFS(pokemon!$D:$D, $A42, pokemon!$AI:$AI, F$37, pokemon!$AM:$AM, "&lt;=1")</f>
        <v>7</v>
      </c>
      <c r="G42">
        <f>COUNTIFS(pokemon!$C:$C, $A42, pokemon!$AI:$AI, G$37, pokemon!$AM:$AM, "&lt;=1")+COUNTIFS(pokemon!$D:$D, $A42, pokemon!$AI:$AI, G$37, pokemon!$AM:$AM, "&lt;=1")</f>
        <v>3</v>
      </c>
      <c r="H42">
        <f t="shared" si="3"/>
        <v>28</v>
      </c>
    </row>
    <row r="43" spans="1:8" x14ac:dyDescent="0.25">
      <c r="A43" t="s">
        <v>14</v>
      </c>
      <c r="B43">
        <f>COUNTIFS(pokemon!$C:$C, $A43, pokemon!$AI:$AI, B$37, pokemon!$AM:$AM, "&lt;=1")+COUNTIFS(pokemon!$D:$D, $A43, pokemon!$AI:$AI, B$37, pokemon!$AM:$AM, "&lt;=1")</f>
        <v>2</v>
      </c>
      <c r="D43">
        <f>COUNTIFS(pokemon!$C:$C, $A43, pokemon!$AI:$AI, D$37, pokemon!$AM:$AM, "&lt;=1")+COUNTIFS(pokemon!$D:$D, $A43, pokemon!$AI:$AI, D$37, pokemon!$AM:$AM, "&lt;=1")</f>
        <v>3</v>
      </c>
      <c r="E43">
        <f>COUNTIFS(pokemon!$C:$C, $A43, pokemon!$AI:$AI, E$37, pokemon!$AM:$AM, "&lt;=1")+COUNTIFS(pokemon!$D:$D, $A43, pokemon!$AI:$AI, E$37, pokemon!$AM:$AM, "&lt;=1")</f>
        <v>6</v>
      </c>
      <c r="F43">
        <f>COUNTIFS(pokemon!$C:$C, $A43, pokemon!$AI:$AI, F$37, pokemon!$AM:$AM, "&lt;=1")+COUNTIFS(pokemon!$D:$D, $A43, pokemon!$AI:$AI, F$37, pokemon!$AM:$AM, "&lt;=1")</f>
        <v>6</v>
      </c>
      <c r="G43">
        <f>COUNTIFS(pokemon!$C:$C, $A43, pokemon!$AI:$AI, G$37, pokemon!$AM:$AM, "&lt;=1")+COUNTIFS(pokemon!$D:$D, $A43, pokemon!$AI:$AI, G$37, pokemon!$AM:$AM, "&lt;=1")</f>
        <v>4</v>
      </c>
      <c r="H43">
        <f t="shared" si="3"/>
        <v>21</v>
      </c>
    </row>
    <row r="44" spans="1:8" x14ac:dyDescent="0.25">
      <c r="A44" t="s">
        <v>22</v>
      </c>
      <c r="B44">
        <f>COUNTIFS(pokemon!$C:$C, $A44, pokemon!$AI:$AI, B$37, pokemon!$AM:$AM, "&lt;=1")+COUNTIFS(pokemon!$D:$D, $A44, pokemon!$AI:$AI, B$37, pokemon!$AM:$AM, "&lt;=1")</f>
        <v>1</v>
      </c>
      <c r="D44">
        <f>COUNTIFS(pokemon!$C:$C, $A44, pokemon!$AI:$AI, D$37, pokemon!$AM:$AM, "&lt;=1")+COUNTIFS(pokemon!$D:$D, $A44, pokemon!$AI:$AI, D$37, pokemon!$AM:$AM, "&lt;=1")</f>
        <v>4</v>
      </c>
      <c r="E44">
        <f>COUNTIFS(pokemon!$C:$C, $A44, pokemon!$AI:$AI, E$37, pokemon!$AM:$AM, "&lt;=1")+COUNTIFS(pokemon!$D:$D, $A44, pokemon!$AI:$AI, E$37, pokemon!$AM:$AM, "&lt;=1")</f>
        <v>5</v>
      </c>
      <c r="F44">
        <f>COUNTIFS(pokemon!$C:$C, $A44, pokemon!$AI:$AI, F$37, pokemon!$AM:$AM, "&lt;=1")+COUNTIFS(pokemon!$D:$D, $A44, pokemon!$AI:$AI, F$37, pokemon!$AM:$AM, "&lt;=1")</f>
        <v>7</v>
      </c>
      <c r="G44">
        <f>COUNTIFS(pokemon!$C:$C, $A44, pokemon!$AI:$AI, G$37, pokemon!$AM:$AM, "&lt;=1")+COUNTIFS(pokemon!$D:$D, $A44, pokemon!$AI:$AI, G$37, pokemon!$AM:$AM, "&lt;=1")</f>
        <v>1</v>
      </c>
      <c r="H44">
        <f t="shared" si="3"/>
        <v>18</v>
      </c>
    </row>
    <row r="45" spans="1:8" x14ac:dyDescent="0.25">
      <c r="A45" t="s">
        <v>3</v>
      </c>
      <c r="B45">
        <f>COUNTIFS(pokemon!$C:$C, $A45, pokemon!$AI:$AI, B$37, pokemon!$AM:$AM, "&lt;=1")+COUNTIFS(pokemon!$D:$D, $A45, pokemon!$AI:$AI, B$37, pokemon!$AM:$AM, "&lt;=1")</f>
        <v>2</v>
      </c>
      <c r="D45">
        <f>COUNTIFS(pokemon!$C:$C, $A45, pokemon!$AI:$AI, D$37, pokemon!$AM:$AM, "&lt;=1")+COUNTIFS(pokemon!$D:$D, $A45, pokemon!$AI:$AI, D$37, pokemon!$AM:$AM, "&lt;=1")</f>
        <v>8</v>
      </c>
      <c r="E45">
        <f>COUNTIFS(pokemon!$C:$C, $A45, pokemon!$AI:$AI, E$37, pokemon!$AM:$AM, "&lt;=1")+COUNTIFS(pokemon!$D:$D, $A45, pokemon!$AI:$AI, E$37, pokemon!$AM:$AM, "&lt;=1")</f>
        <v>6</v>
      </c>
      <c r="F45">
        <f>COUNTIFS(pokemon!$C:$C, $A45, pokemon!$AI:$AI, F$37, pokemon!$AM:$AM, "&lt;=1")+COUNTIFS(pokemon!$D:$D, $A45, pokemon!$AI:$AI, F$37, pokemon!$AM:$AM, "&lt;=1")</f>
        <v>9</v>
      </c>
      <c r="G45">
        <f>COUNTIFS(pokemon!$C:$C, $A45, pokemon!$AI:$AI, G$37, pokemon!$AM:$AM, "&lt;=1")+COUNTIFS(pokemon!$D:$D, $A45, pokemon!$AI:$AI, G$37, pokemon!$AM:$AM, "&lt;=1")</f>
        <v>1</v>
      </c>
      <c r="H45">
        <f t="shared" si="3"/>
        <v>26</v>
      </c>
    </row>
    <row r="46" spans="1:8" x14ac:dyDescent="0.25">
      <c r="A46" t="s">
        <v>13</v>
      </c>
      <c r="B46">
        <f>COUNTIFS(pokemon!$C:$C, $A46, pokemon!$AI:$AI, B$37, pokemon!$AM:$AM, "&lt;=1")+COUNTIFS(pokemon!$D:$D, $A46, pokemon!$AI:$AI, B$37, pokemon!$AM:$AM, "&lt;=1")</f>
        <v>1</v>
      </c>
      <c r="D46">
        <f>COUNTIFS(pokemon!$C:$C, $A46, pokemon!$AI:$AI, D$37, pokemon!$AM:$AM, "&lt;=1")+COUNTIFS(pokemon!$D:$D, $A46, pokemon!$AI:$AI, D$37, pokemon!$AM:$AM, "&lt;=1")</f>
        <v>7</v>
      </c>
      <c r="E46">
        <f>COUNTIFS(pokemon!$C:$C, $A46, pokemon!$AI:$AI, E$37, pokemon!$AM:$AM, "&lt;=1")+COUNTIFS(pokemon!$D:$D, $A46, pokemon!$AI:$AI, E$37, pokemon!$AM:$AM, "&lt;=1")</f>
        <v>12</v>
      </c>
      <c r="F46">
        <f>COUNTIFS(pokemon!$C:$C, $A46, pokemon!$AI:$AI, F$37, pokemon!$AM:$AM, "&lt;=1")+COUNTIFS(pokemon!$D:$D, $A46, pokemon!$AI:$AI, F$37, pokemon!$AM:$AM, "&lt;=1")</f>
        <v>9</v>
      </c>
      <c r="G46">
        <f>COUNTIFS(pokemon!$C:$C, $A46, pokemon!$AI:$AI, G$37, pokemon!$AM:$AM, "&lt;=1")+COUNTIFS(pokemon!$D:$D, $A46, pokemon!$AI:$AI, G$37, pokemon!$AM:$AM, "&lt;=1")</f>
        <v>1</v>
      </c>
      <c r="H46">
        <f t="shared" si="3"/>
        <v>30</v>
      </c>
    </row>
    <row r="47" spans="1:8" x14ac:dyDescent="0.25">
      <c r="A47" t="s">
        <v>5</v>
      </c>
      <c r="B47">
        <f>COUNTIFS(pokemon!$C:$C, $A47, pokemon!$AI:$AI, B$37, pokemon!$AM:$AM, "&lt;=1")+COUNTIFS(pokemon!$D:$D, $A47, pokemon!$AI:$AI, B$37, pokemon!$AM:$AM, "&lt;=1")</f>
        <v>2</v>
      </c>
      <c r="D47">
        <f>COUNTIFS(pokemon!$C:$C, $A47, pokemon!$AI:$AI, D$37, pokemon!$AM:$AM, "&lt;=1")+COUNTIFS(pokemon!$D:$D, $A47, pokemon!$AI:$AI, D$37, pokemon!$AM:$AM, "&lt;=1")</f>
        <v>7</v>
      </c>
      <c r="E47">
        <f>COUNTIFS(pokemon!$C:$C, $A47, pokemon!$AI:$AI, E$37, pokemon!$AM:$AM, "&lt;=1")+COUNTIFS(pokemon!$D:$D, $A47, pokemon!$AI:$AI, E$37, pokemon!$AM:$AM, "&lt;=1")</f>
        <v>16</v>
      </c>
      <c r="F47">
        <f>COUNTIFS(pokemon!$C:$C, $A47, pokemon!$AI:$AI, F$37, pokemon!$AM:$AM, "&lt;=1")+COUNTIFS(pokemon!$D:$D, $A47, pokemon!$AI:$AI, F$37, pokemon!$AM:$AM, "&lt;=1")</f>
        <v>13</v>
      </c>
      <c r="G47">
        <f>COUNTIFS(pokemon!$C:$C, $A47, pokemon!$AI:$AI, G$37, pokemon!$AM:$AM, "&lt;=1")+COUNTIFS(pokemon!$D:$D, $A47, pokemon!$AI:$AI, G$37, pokemon!$AM:$AM, "&lt;=1")</f>
        <v>4</v>
      </c>
      <c r="H47">
        <f t="shared" si="3"/>
        <v>42</v>
      </c>
    </row>
    <row r="48" spans="1:8" x14ac:dyDescent="0.25">
      <c r="A48" t="s">
        <v>26</v>
      </c>
      <c r="B48">
        <f>COUNTIFS(pokemon!$C:$C, $A48, pokemon!$AI:$AI, B$37, pokemon!$AM:$AM, "&lt;=1")+COUNTIFS(pokemon!$D:$D, $A48, pokemon!$AI:$AI, B$37, pokemon!$AM:$AM, "&lt;=1")</f>
        <v>0</v>
      </c>
      <c r="D48">
        <f>COUNTIFS(pokemon!$C:$C, $A48, pokemon!$AI:$AI, D$37, pokemon!$AM:$AM, "&lt;=1")+COUNTIFS(pokemon!$D:$D, $A48, pokemon!$AI:$AI, D$37, pokemon!$AM:$AM, "&lt;=1")</f>
        <v>11</v>
      </c>
      <c r="E48">
        <f>COUNTIFS(pokemon!$C:$C, $A48, pokemon!$AI:$AI, E$37, pokemon!$AM:$AM, "&lt;=1")+COUNTIFS(pokemon!$D:$D, $A48, pokemon!$AI:$AI, E$37, pokemon!$AM:$AM, "&lt;=1")</f>
        <v>8</v>
      </c>
      <c r="F48">
        <f>COUNTIFS(pokemon!$C:$C, $A48, pokemon!$AI:$AI, F$37, pokemon!$AM:$AM, "&lt;=1")+COUNTIFS(pokemon!$D:$D, $A48, pokemon!$AI:$AI, F$37, pokemon!$AM:$AM, "&lt;=1")</f>
        <v>9</v>
      </c>
      <c r="G48">
        <f>COUNTIFS(pokemon!$C:$C, $A48, pokemon!$AI:$AI, G$37, pokemon!$AM:$AM, "&lt;=1")+COUNTIFS(pokemon!$D:$D, $A48, pokemon!$AI:$AI, G$37, pokemon!$AM:$AM, "&lt;=1")</f>
        <v>6</v>
      </c>
      <c r="H48">
        <f t="shared" si="3"/>
        <v>34</v>
      </c>
    </row>
    <row r="49" spans="1:8" x14ac:dyDescent="0.25">
      <c r="A49" t="s">
        <v>7</v>
      </c>
      <c r="B49">
        <f>COUNTIFS(pokemon!$C:$C, $A49, pokemon!$AI:$AI, B$37, pokemon!$AM:$AM, "&lt;=1")+COUNTIFS(pokemon!$D:$D, $A49, pokemon!$AI:$AI, B$37, pokemon!$AM:$AM, "&lt;=1")</f>
        <v>0</v>
      </c>
      <c r="D49">
        <f>COUNTIFS(pokemon!$C:$C, $A49, pokemon!$AI:$AI, D$37, pokemon!$AM:$AM, "&lt;=1")+COUNTIFS(pokemon!$D:$D, $A49, pokemon!$AI:$AI, D$37, pokemon!$AM:$AM, "&lt;=1")</f>
        <v>9</v>
      </c>
      <c r="E49">
        <f>COUNTIFS(pokemon!$C:$C, $A49, pokemon!$AI:$AI, E$37, pokemon!$AM:$AM, "&lt;=1")+COUNTIFS(pokemon!$D:$D, $A49, pokemon!$AI:$AI, E$37, pokemon!$AM:$AM, "&lt;=1")</f>
        <v>8</v>
      </c>
      <c r="F49">
        <f>COUNTIFS(pokemon!$C:$C, $A49, pokemon!$AI:$AI, F$37, pokemon!$AM:$AM, "&lt;=1")+COUNTIFS(pokemon!$D:$D, $A49, pokemon!$AI:$AI, F$37, pokemon!$AM:$AM, "&lt;=1")</f>
        <v>5</v>
      </c>
      <c r="G49">
        <f>COUNTIFS(pokemon!$C:$C, $A49, pokemon!$AI:$AI, G$37, pokemon!$AM:$AM, "&lt;=1")+COUNTIFS(pokemon!$D:$D, $A49, pokemon!$AI:$AI, G$37, pokemon!$AM:$AM, "&lt;=1")</f>
        <v>1</v>
      </c>
      <c r="H49">
        <f t="shared" si="3"/>
        <v>23</v>
      </c>
    </row>
    <row r="50" spans="1:8" x14ac:dyDescent="0.25">
      <c r="A50" t="s">
        <v>33</v>
      </c>
      <c r="B50">
        <f>COUNTIFS(pokemon!$C:$C, $A50, pokemon!$AI:$AI, B$37, pokemon!$AM:$AM, "&lt;=1")+COUNTIFS(pokemon!$D:$D, $A50, pokemon!$AI:$AI, B$37, pokemon!$AM:$AM, "&lt;=1")</f>
        <v>0</v>
      </c>
      <c r="D50">
        <f>COUNTIFS(pokemon!$C:$C, $A50, pokemon!$AI:$AI, D$37, pokemon!$AM:$AM, "&lt;=1")+COUNTIFS(pokemon!$D:$D, $A50, pokemon!$AI:$AI, D$37, pokemon!$AM:$AM, "&lt;=1")</f>
        <v>5</v>
      </c>
      <c r="E50">
        <f>COUNTIFS(pokemon!$C:$C, $A50, pokemon!$AI:$AI, E$37, pokemon!$AM:$AM, "&lt;=1")+COUNTIFS(pokemon!$D:$D, $A50, pokemon!$AI:$AI, E$37, pokemon!$AM:$AM, "&lt;=1")</f>
        <v>12</v>
      </c>
      <c r="F50">
        <f>COUNTIFS(pokemon!$C:$C, $A50, pokemon!$AI:$AI, F$37, pokemon!$AM:$AM, "&lt;=1")+COUNTIFS(pokemon!$D:$D, $A50, pokemon!$AI:$AI, F$37, pokemon!$AM:$AM, "&lt;=1")</f>
        <v>6</v>
      </c>
      <c r="G50">
        <f>COUNTIFS(pokemon!$C:$C, $A50, pokemon!$AI:$AI, G$37, pokemon!$AM:$AM, "&lt;=1")+COUNTIFS(pokemon!$D:$D, $A50, pokemon!$AI:$AI, G$37, pokemon!$AM:$AM, "&lt;=1")</f>
        <v>2</v>
      </c>
      <c r="H50">
        <f t="shared" si="3"/>
        <v>25</v>
      </c>
    </row>
    <row r="51" spans="1:8" x14ac:dyDescent="0.25">
      <c r="A51" t="s">
        <v>42</v>
      </c>
      <c r="B51">
        <f>COUNTIFS(pokemon!$C:$C, $A51, pokemon!$AI:$AI, B$37, pokemon!$AM:$AM, "&lt;=1")+COUNTIFS(pokemon!$D:$D, $A51, pokemon!$AI:$AI, B$37, pokemon!$AM:$AM, "&lt;=1")</f>
        <v>2</v>
      </c>
      <c r="D51">
        <f>COUNTIFS(pokemon!$C:$C, $A51, pokemon!$AI:$AI, D$37, pokemon!$AM:$AM, "&lt;=1")+COUNTIFS(pokemon!$D:$D, $A51, pokemon!$AI:$AI, D$37, pokemon!$AM:$AM, "&lt;=1")</f>
        <v>3</v>
      </c>
      <c r="E51">
        <f>COUNTIFS(pokemon!$C:$C, $A51, pokemon!$AI:$AI, E$37, pokemon!$AM:$AM, "&lt;=1")+COUNTIFS(pokemon!$D:$D, $A51, pokemon!$AI:$AI, E$37, pokemon!$AM:$AM, "&lt;=1")</f>
        <v>6</v>
      </c>
      <c r="F51">
        <f>COUNTIFS(pokemon!$C:$C, $A51, pokemon!$AI:$AI, F$37, pokemon!$AM:$AM, "&lt;=1")+COUNTIFS(pokemon!$D:$D, $A51, pokemon!$AI:$AI, F$37, pokemon!$AM:$AM, "&lt;=1")</f>
        <v>9</v>
      </c>
      <c r="G51">
        <f>COUNTIFS(pokemon!$C:$C, $A51, pokemon!$AI:$AI, G$37, pokemon!$AM:$AM, "&lt;=1")+COUNTIFS(pokemon!$D:$D, $A51, pokemon!$AI:$AI, G$37, pokemon!$AM:$AM, "&lt;=1")</f>
        <v>4</v>
      </c>
      <c r="H51">
        <f t="shared" si="3"/>
        <v>24</v>
      </c>
    </row>
    <row r="52" spans="1:8" x14ac:dyDescent="0.25">
      <c r="A52" t="s">
        <v>67</v>
      </c>
      <c r="B52">
        <f>COUNTIFS(pokemon!$C:$C, $A52, pokemon!$AI:$AI, B$37, pokemon!$AM:$AM, "&lt;=1")+COUNTIFS(pokemon!$D:$D, $A52, pokemon!$AI:$AI, B$37, pokemon!$AM:$AM, "&lt;=1")</f>
        <v>0</v>
      </c>
      <c r="D52">
        <f>COUNTIFS(pokemon!$C:$C, $A52, pokemon!$AI:$AI, D$37, pokemon!$AM:$AM, "&lt;=1")+COUNTIFS(pokemon!$D:$D, $A52, pokemon!$AI:$AI, D$37, pokemon!$AM:$AM, "&lt;=1")</f>
        <v>5</v>
      </c>
      <c r="E52">
        <f>COUNTIFS(pokemon!$C:$C, $A52, pokemon!$AI:$AI, E$37, pokemon!$AM:$AM, "&lt;=1")+COUNTIFS(pokemon!$D:$D, $A52, pokemon!$AI:$AI, E$37, pokemon!$AM:$AM, "&lt;=1")</f>
        <v>8</v>
      </c>
      <c r="F52">
        <f>COUNTIFS(pokemon!$C:$C, $A52, pokemon!$AI:$AI, F$37, pokemon!$AM:$AM, "&lt;=1")+COUNTIFS(pokemon!$D:$D, $A52, pokemon!$AI:$AI, F$37, pokemon!$AM:$AM, "&lt;=1")</f>
        <v>6</v>
      </c>
      <c r="G52">
        <f>COUNTIFS(pokemon!$C:$C, $A52, pokemon!$AI:$AI, G$37, pokemon!$AM:$AM, "&lt;=1")+COUNTIFS(pokemon!$D:$D, $A52, pokemon!$AI:$AI, G$37, pokemon!$AM:$AM, "&lt;=1")</f>
        <v>5</v>
      </c>
      <c r="H52">
        <f t="shared" si="3"/>
        <v>24</v>
      </c>
    </row>
    <row r="53" spans="1:8" x14ac:dyDescent="0.25">
      <c r="A53" t="s">
        <v>9</v>
      </c>
      <c r="B53">
        <f>COUNTIFS(pokemon!$C:$C, $A53, pokemon!$AI:$AI, B$37, pokemon!$AM:$AM, "&lt;=1")+COUNTIFS(pokemon!$D:$D, $A53, pokemon!$AI:$AI, B$37, pokemon!$AM:$AM, "&lt;=1")</f>
        <v>0</v>
      </c>
      <c r="D53">
        <f>COUNTIFS(pokemon!$C:$C, $A53, pokemon!$AI:$AI, D$37, pokemon!$AM:$AM, "&lt;=1")+COUNTIFS(pokemon!$D:$D, $A53, pokemon!$AI:$AI, D$37, pokemon!$AM:$AM, "&lt;=1")</f>
        <v>5</v>
      </c>
      <c r="E53">
        <f>COUNTIFS(pokemon!$C:$C, $A53, pokemon!$AI:$AI, E$37, pokemon!$AM:$AM, "&lt;=1")+COUNTIFS(pokemon!$D:$D, $A53, pokemon!$AI:$AI, E$37, pokemon!$AM:$AM, "&lt;=1")</f>
        <v>6</v>
      </c>
      <c r="F53">
        <f>COUNTIFS(pokemon!$C:$C, $A53, pokemon!$AI:$AI, F$37, pokemon!$AM:$AM, "&lt;=1")+COUNTIFS(pokemon!$D:$D, $A53, pokemon!$AI:$AI, F$37, pokemon!$AM:$AM, "&lt;=1")</f>
        <v>9</v>
      </c>
      <c r="G53">
        <f>COUNTIFS(pokemon!$C:$C, $A53, pokemon!$AI:$AI, G$37, pokemon!$AM:$AM, "&lt;=1")+COUNTIFS(pokemon!$D:$D, $A53, pokemon!$AI:$AI, G$37, pokemon!$AM:$AM, "&lt;=1")</f>
        <v>3</v>
      </c>
      <c r="H53">
        <f t="shared" si="3"/>
        <v>23</v>
      </c>
    </row>
    <row r="54" spans="1:8" x14ac:dyDescent="0.25">
      <c r="A54" t="s">
        <v>39</v>
      </c>
      <c r="B54">
        <f>COUNTIFS(pokemon!$C:$C, $A54, pokemon!$AI:$AI, B$37, pokemon!$AM:$AM, "&lt;=1")+COUNTIFS(pokemon!$D:$D, $A54, pokemon!$AI:$AI, B$37, pokemon!$AM:$AM, "&lt;=1")</f>
        <v>0</v>
      </c>
      <c r="D54">
        <f>COUNTIFS(pokemon!$C:$C, $A54, pokemon!$AI:$AI, D$37, pokemon!$AM:$AM, "&lt;=1")+COUNTIFS(pokemon!$D:$D, $A54, pokemon!$AI:$AI, D$37, pokemon!$AM:$AM, "&lt;=1")</f>
        <v>5</v>
      </c>
      <c r="E54">
        <f>COUNTIFS(pokemon!$C:$C, $A54, pokemon!$AI:$AI, E$37, pokemon!$AM:$AM, "&lt;=1")+COUNTIFS(pokemon!$D:$D, $A54, pokemon!$AI:$AI, E$37, pokemon!$AM:$AM, "&lt;=1")</f>
        <v>5</v>
      </c>
      <c r="F54">
        <f>COUNTIFS(pokemon!$C:$C, $A54, pokemon!$AI:$AI, F$37, pokemon!$AM:$AM, "&lt;=1")+COUNTIFS(pokemon!$D:$D, $A54, pokemon!$AI:$AI, F$37, pokemon!$AM:$AM, "&lt;=1")</f>
        <v>9</v>
      </c>
      <c r="G54">
        <f>COUNTIFS(pokemon!$C:$C, $A54, pokemon!$AI:$AI, G$37, pokemon!$AM:$AM, "&lt;=1")+COUNTIFS(pokemon!$D:$D, $A54, pokemon!$AI:$AI, G$37, pokemon!$AM:$AM, "&lt;=1")</f>
        <v>4</v>
      </c>
      <c r="H54">
        <f t="shared" si="3"/>
        <v>23</v>
      </c>
    </row>
    <row r="55" spans="1:8" x14ac:dyDescent="0.25">
      <c r="A55" t="s">
        <v>16</v>
      </c>
      <c r="B55">
        <f>COUNTIFS(pokemon!$C:$C, $A55, pokemon!$AI:$AI, B$37, pokemon!$AM:$AM, "&lt;=1")+COUNTIFS(pokemon!$D:$D, $A55, pokemon!$AI:$AI, B$37, pokemon!$AM:$AM, "&lt;=1")</f>
        <v>1</v>
      </c>
      <c r="D55">
        <f>COUNTIFS(pokemon!$C:$C, $A55, pokemon!$AI:$AI, D$37, pokemon!$AM:$AM, "&lt;=1")+COUNTIFS(pokemon!$D:$D, $A55, pokemon!$AI:$AI, D$37, pokemon!$AM:$AM, "&lt;=1")</f>
        <v>8</v>
      </c>
      <c r="E55">
        <f>COUNTIFS(pokemon!$C:$C, $A55, pokemon!$AI:$AI, E$37, pokemon!$AM:$AM, "&lt;=1")+COUNTIFS(pokemon!$D:$D, $A55, pokemon!$AI:$AI, E$37, pokemon!$AM:$AM, "&lt;=1")</f>
        <v>5</v>
      </c>
      <c r="F55">
        <f>COUNTIFS(pokemon!$C:$C, $A55, pokemon!$AI:$AI, F$37, pokemon!$AM:$AM, "&lt;=1")+COUNTIFS(pokemon!$D:$D, $A55, pokemon!$AI:$AI, F$37, pokemon!$AM:$AM, "&lt;=1")</f>
        <v>6</v>
      </c>
      <c r="G55">
        <f>COUNTIFS(pokemon!$C:$C, $A55, pokemon!$AI:$AI, G$37, pokemon!$AM:$AM, "&lt;=1")+COUNTIFS(pokemon!$D:$D, $A55, pokemon!$AI:$AI, G$37, pokemon!$AM:$AM, "&lt;=1")</f>
        <v>1</v>
      </c>
      <c r="H55">
        <f t="shared" si="3"/>
        <v>21</v>
      </c>
    </row>
  </sheetData>
  <conditionalFormatting sqref="B38:C55">
    <cfRule type="colorScale" priority="2">
      <colorScale>
        <cfvo type="min"/>
        <cfvo type="percentile" val="50"/>
        <cfvo type="max"/>
        <color rgb="FFF8696B"/>
        <color rgb="FFFFEB84"/>
        <color rgb="FF63BE7B"/>
      </colorScale>
    </cfRule>
  </conditionalFormatting>
  <conditionalFormatting sqref="C2:F14">
    <cfRule type="colorScale" priority="26">
      <colorScale>
        <cfvo type="min"/>
        <cfvo type="percentile" val="50"/>
        <cfvo type="max"/>
        <color rgb="FFF8696B"/>
        <color rgb="FFFFEB84"/>
        <color rgb="FF63BE7B"/>
      </colorScale>
    </cfRule>
  </conditionalFormatting>
  <conditionalFormatting sqref="D38:D55">
    <cfRule type="colorScale" priority="11">
      <colorScale>
        <cfvo type="min"/>
        <cfvo type="percentile" val="50"/>
        <cfvo type="max"/>
        <color rgb="FFF8696B"/>
        <color rgb="FFFFEB84"/>
        <color rgb="FF63BE7B"/>
      </colorScale>
    </cfRule>
  </conditionalFormatting>
  <conditionalFormatting sqref="D16:F17 F18:F35 C2:F14">
    <cfRule type="colorScale" priority="358">
      <colorScale>
        <cfvo type="min"/>
        <cfvo type="percentile" val="50"/>
        <cfvo type="max"/>
        <color rgb="FF63BE7B"/>
        <color rgb="FFFFEB84"/>
        <color rgb="FFF8696B"/>
      </colorScale>
    </cfRule>
  </conditionalFormatting>
  <conditionalFormatting sqref="D16:F17 F18:F35">
    <cfRule type="colorScale" priority="356">
      <colorScale>
        <cfvo type="min"/>
        <cfvo type="percentile" val="50"/>
        <cfvo type="max"/>
        <color rgb="FF63BE7B"/>
        <color rgb="FFFFEB84"/>
        <color rgb="FFF8696B"/>
      </colorScale>
    </cfRule>
  </conditionalFormatting>
  <conditionalFormatting sqref="E18:E35">
    <cfRule type="colorScale" priority="27">
      <colorScale>
        <cfvo type="min"/>
        <cfvo type="percentile" val="50"/>
        <cfvo type="max"/>
        <color rgb="FFF8696B"/>
        <color rgb="FFFFEB84"/>
        <color rgb="FF63BE7B"/>
      </colorScale>
    </cfRule>
    <cfRule type="colorScale" priority="28">
      <colorScale>
        <cfvo type="min"/>
        <cfvo type="percentile" val="50"/>
        <cfvo type="max"/>
        <color rgb="FF63BE7B"/>
        <color rgb="FFFFEB84"/>
        <color rgb="FFF8696B"/>
      </colorScale>
    </cfRule>
  </conditionalFormatting>
  <conditionalFormatting sqref="E38:E55">
    <cfRule type="colorScale" priority="4">
      <colorScale>
        <cfvo type="min"/>
        <cfvo type="percentile" val="50"/>
        <cfvo type="max"/>
        <color rgb="FFF8696B"/>
        <color rgb="FFFFEB84"/>
        <color rgb="FF63BE7B"/>
      </colorScale>
    </cfRule>
  </conditionalFormatting>
  <conditionalFormatting sqref="E37:H37">
    <cfRule type="colorScale" priority="22">
      <colorScale>
        <cfvo type="min"/>
        <cfvo type="percentile" val="50"/>
        <cfvo type="max"/>
        <color rgb="FF63BE7B"/>
        <color rgb="FFFFEB84"/>
        <color rgb="FFF8696B"/>
      </colorScale>
    </cfRule>
    <cfRule type="colorScale" priority="23">
      <colorScale>
        <cfvo type="min"/>
        <cfvo type="percentile" val="50"/>
        <cfvo type="max"/>
        <color rgb="FF63BE7B"/>
        <color rgb="FFFFEB84"/>
        <color rgb="FFF8696B"/>
      </colorScale>
    </cfRule>
  </conditionalFormatting>
  <conditionalFormatting sqref="F18:F35">
    <cfRule type="colorScale" priority="25">
      <colorScale>
        <cfvo type="min"/>
        <cfvo type="percentile" val="50"/>
        <cfvo type="max"/>
        <color rgb="FFF8696B"/>
        <color rgb="FFFFEB84"/>
        <color rgb="FF63BE7B"/>
      </colorScale>
    </cfRule>
  </conditionalFormatting>
  <conditionalFormatting sqref="F38:F55">
    <cfRule type="colorScale" priority="5">
      <colorScale>
        <cfvo type="min"/>
        <cfvo type="percentile" val="50"/>
        <cfvo type="max"/>
        <color rgb="FFF8696B"/>
        <color rgb="FFFFEB84"/>
        <color rgb="FF63BE7B"/>
      </colorScale>
    </cfRule>
  </conditionalFormatting>
  <conditionalFormatting sqref="F39:F55">
    <cfRule type="colorScale" priority="7">
      <colorScale>
        <cfvo type="min"/>
        <cfvo type="percentile" val="50"/>
        <cfvo type="max"/>
        <color rgb="FFF8696B"/>
        <color rgb="FFFFEB84"/>
        <color rgb="FF63BE7B"/>
      </colorScale>
    </cfRule>
  </conditionalFormatting>
  <conditionalFormatting sqref="F38:G38 F39:F55">
    <cfRule type="colorScale" priority="8">
      <colorScale>
        <cfvo type="min"/>
        <cfvo type="percentile" val="50"/>
        <cfvo type="max"/>
        <color rgb="FF63BE7B"/>
        <color rgb="FFFFEB84"/>
        <color rgb="FFF8696B"/>
      </colorScale>
    </cfRule>
    <cfRule type="colorScale" priority="9">
      <colorScale>
        <cfvo type="min"/>
        <cfvo type="percentile" val="50"/>
        <cfvo type="max"/>
        <color rgb="FF63BE7B"/>
        <color rgb="FFFFEB84"/>
        <color rgb="FFF8696B"/>
      </colorScale>
    </cfRule>
  </conditionalFormatting>
  <conditionalFormatting sqref="G18:G35">
    <cfRule type="colorScale" priority="24">
      <colorScale>
        <cfvo type="min"/>
        <cfvo type="percentile" val="50"/>
        <cfvo type="max"/>
        <color rgb="FFF8696B"/>
        <color rgb="FFFFEB84"/>
        <color rgb="FF63BE7B"/>
      </colorScale>
    </cfRule>
  </conditionalFormatting>
  <conditionalFormatting sqref="G38:G55">
    <cfRule type="colorScale" priority="3">
      <colorScale>
        <cfvo type="min"/>
        <cfvo type="percentile" val="50"/>
        <cfvo type="max"/>
        <color rgb="FFF8696B"/>
        <color rgb="FFFFEB84"/>
        <color rgb="FF63BE7B"/>
      </colorScale>
    </cfRule>
  </conditionalFormatting>
  <conditionalFormatting sqref="G39:G55">
    <cfRule type="colorScale" priority="6">
      <colorScale>
        <cfvo type="min"/>
        <cfvo type="percentile" val="50"/>
        <cfvo type="max"/>
        <color rgb="FFF8696B"/>
        <color rgb="FFFFEB84"/>
        <color rgb="FF63BE7B"/>
      </colorScale>
    </cfRule>
  </conditionalFormatting>
  <conditionalFormatting sqref="H38:H55">
    <cfRule type="colorScale" priority="1">
      <colorScale>
        <cfvo type="min"/>
        <cfvo type="percentile" val="50"/>
        <cfvo type="max"/>
        <color rgb="FFF8696B"/>
        <color rgb="FFFFEB84"/>
        <color rgb="FF63BE7B"/>
      </colorScale>
    </cfRule>
  </conditionalFormatting>
  <conditionalFormatting sqref="I38:I55">
    <cfRule type="colorScale" priority="16">
      <colorScale>
        <cfvo type="min"/>
        <cfvo type="percentile" val="50"/>
        <cfvo type="max"/>
        <color rgb="FFF8696B"/>
        <color rgb="FFFFEB84"/>
        <color rgb="FF63BE7B"/>
      </colorScale>
    </cfRule>
    <cfRule type="colorScale" priority="17">
      <colorScale>
        <cfvo type="min"/>
        <cfvo type="percentile" val="50"/>
        <cfvo type="max"/>
        <color rgb="FF63BE7B"/>
        <color rgb="FFFFEB84"/>
        <color rgb="FFF8696B"/>
      </colorScale>
    </cfRule>
  </conditionalFormatting>
  <conditionalFormatting sqref="L38:L55">
    <cfRule type="colorScale" priority="14">
      <colorScale>
        <cfvo type="min"/>
        <cfvo type="percentile" val="50"/>
        <cfvo type="max"/>
        <color rgb="FFF8696B"/>
        <color rgb="FFFFEB84"/>
        <color rgb="FF63BE7B"/>
      </colorScale>
    </cfRule>
    <cfRule type="colorScale" priority="15">
      <colorScale>
        <cfvo type="min"/>
        <cfvo type="percentile" val="50"/>
        <cfvo type="max"/>
        <color rgb="FF63BE7B"/>
        <color rgb="FFFFEB84"/>
        <color rgb="FFF8696B"/>
      </colorScale>
    </cfRule>
  </conditionalFormatting>
  <conditionalFormatting sqref="O38:O55">
    <cfRule type="colorScale" priority="12">
      <colorScale>
        <cfvo type="min"/>
        <cfvo type="percentile" val="50"/>
        <cfvo type="max"/>
        <color rgb="FFF8696B"/>
        <color rgb="FFFFEB84"/>
        <color rgb="FF63BE7B"/>
      </colorScale>
    </cfRule>
    <cfRule type="colorScale" priority="13">
      <colorScale>
        <cfvo type="min"/>
        <cfvo type="percentile" val="50"/>
        <cfvo type="max"/>
        <color rgb="FF63BE7B"/>
        <color rgb="FFFFEB84"/>
        <color rgb="FFF8696B"/>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7F8CE-143A-44EF-A2AE-F94FA755C084}">
  <dimension ref="A1:E49"/>
  <sheetViews>
    <sheetView workbookViewId="0">
      <selection activeCell="E11" sqref="E11"/>
    </sheetView>
  </sheetViews>
  <sheetFormatPr defaultRowHeight="15" x14ac:dyDescent="0.25"/>
  <cols>
    <col min="1" max="1" width="17.28515625" bestFit="1" customWidth="1"/>
    <col min="2" max="2" width="20" bestFit="1" customWidth="1"/>
    <col min="3" max="3" width="52.7109375" style="28" customWidth="1"/>
    <col min="4" max="4" width="20.5703125" bestFit="1" customWidth="1"/>
    <col min="5" max="5" width="61.28515625" style="28" customWidth="1"/>
  </cols>
  <sheetData>
    <row r="1" spans="1:5" x14ac:dyDescent="0.25">
      <c r="A1" s="6" t="s">
        <v>879</v>
      </c>
      <c r="B1" s="6" t="s">
        <v>880</v>
      </c>
      <c r="C1" s="27" t="s">
        <v>881</v>
      </c>
      <c r="D1" s="6" t="s">
        <v>882</v>
      </c>
      <c r="E1" s="27" t="s">
        <v>883</v>
      </c>
    </row>
    <row r="2" spans="1:5" x14ac:dyDescent="0.25">
      <c r="A2" t="s">
        <v>889</v>
      </c>
      <c r="B2" t="s">
        <v>890</v>
      </c>
      <c r="C2" s="28" t="s">
        <v>1303</v>
      </c>
      <c r="D2" t="s">
        <v>891</v>
      </c>
      <c r="E2" s="28" t="s">
        <v>1182</v>
      </c>
    </row>
    <row r="3" spans="1:5" ht="30" x14ac:dyDescent="0.25">
      <c r="A3" t="s">
        <v>951</v>
      </c>
      <c r="B3" t="s">
        <v>1320</v>
      </c>
      <c r="C3" s="28" t="s">
        <v>1319</v>
      </c>
      <c r="D3" t="s">
        <v>926</v>
      </c>
      <c r="E3" s="28" t="s">
        <v>1171</v>
      </c>
    </row>
    <row r="4" spans="1:5" ht="45" x14ac:dyDescent="0.25">
      <c r="A4" t="s">
        <v>945</v>
      </c>
      <c r="B4" t="s">
        <v>947</v>
      </c>
      <c r="C4" s="28" t="s">
        <v>948</v>
      </c>
      <c r="D4" t="s">
        <v>949</v>
      </c>
      <c r="E4" s="28" t="s">
        <v>1190</v>
      </c>
    </row>
    <row r="5" spans="1:5" ht="30" x14ac:dyDescent="0.25">
      <c r="A5" t="s">
        <v>989</v>
      </c>
      <c r="B5" t="s">
        <v>1177</v>
      </c>
      <c r="C5" s="28" t="s">
        <v>1300</v>
      </c>
      <c r="D5" t="s">
        <v>1163</v>
      </c>
      <c r="E5" s="28" t="s">
        <v>1178</v>
      </c>
    </row>
    <row r="6" spans="1:5" ht="45" x14ac:dyDescent="0.25">
      <c r="A6" t="s">
        <v>956</v>
      </c>
      <c r="B6" t="s">
        <v>957</v>
      </c>
      <c r="C6" s="28" t="s">
        <v>1299</v>
      </c>
      <c r="D6" t="s">
        <v>961</v>
      </c>
      <c r="E6" s="28" t="s">
        <v>1172</v>
      </c>
    </row>
    <row r="7" spans="1:5" ht="30" x14ac:dyDescent="0.25">
      <c r="A7" t="s">
        <v>928</v>
      </c>
      <c r="B7" t="s">
        <v>929</v>
      </c>
      <c r="C7" s="28" t="s">
        <v>1321</v>
      </c>
      <c r="D7" t="s">
        <v>1134</v>
      </c>
      <c r="E7" s="28" t="s">
        <v>1301</v>
      </c>
    </row>
    <row r="8" spans="1:5" ht="60" x14ac:dyDescent="0.25">
      <c r="A8" t="s">
        <v>906</v>
      </c>
      <c r="B8" t="s">
        <v>931</v>
      </c>
      <c r="C8" s="28" t="s">
        <v>1269</v>
      </c>
      <c r="D8" t="s">
        <v>1312</v>
      </c>
      <c r="E8" s="28" t="s">
        <v>1313</v>
      </c>
    </row>
    <row r="9" spans="1:5" ht="45" x14ac:dyDescent="0.25">
      <c r="A9" t="s">
        <v>895</v>
      </c>
      <c r="B9" t="s">
        <v>1323</v>
      </c>
      <c r="C9" s="28" t="s">
        <v>1322</v>
      </c>
      <c r="D9" t="s">
        <v>1314</v>
      </c>
      <c r="E9" s="28" t="s">
        <v>1317</v>
      </c>
    </row>
    <row r="10" spans="1:5" ht="75" x14ac:dyDescent="0.25">
      <c r="A10" t="s">
        <v>985</v>
      </c>
      <c r="B10" t="s">
        <v>998</v>
      </c>
      <c r="C10" s="28" t="s">
        <v>1305</v>
      </c>
      <c r="D10" t="s">
        <v>997</v>
      </c>
      <c r="E10" s="28" t="s">
        <v>1306</v>
      </c>
    </row>
    <row r="11" spans="1:5" ht="30" x14ac:dyDescent="0.25">
      <c r="A11" t="s">
        <v>897</v>
      </c>
      <c r="B11" t="s">
        <v>972</v>
      </c>
      <c r="C11" s="30" t="s">
        <v>1233</v>
      </c>
      <c r="D11" t="s">
        <v>973</v>
      </c>
      <c r="E11" s="30" t="s">
        <v>1283</v>
      </c>
    </row>
    <row r="12" spans="1:5" ht="60" x14ac:dyDescent="0.25">
      <c r="A12" t="s">
        <v>935</v>
      </c>
      <c r="B12" t="s">
        <v>1318</v>
      </c>
      <c r="C12" s="28" t="s">
        <v>1325</v>
      </c>
      <c r="D12" t="s">
        <v>937</v>
      </c>
      <c r="E12" s="28" t="s">
        <v>1298</v>
      </c>
    </row>
    <row r="13" spans="1:5" ht="60" x14ac:dyDescent="0.25">
      <c r="A13" t="s">
        <v>907</v>
      </c>
      <c r="B13" t="s">
        <v>909</v>
      </c>
      <c r="C13" s="28" t="s">
        <v>1297</v>
      </c>
      <c r="D13" t="s">
        <v>912</v>
      </c>
      <c r="E13" s="28" t="s">
        <v>1307</v>
      </c>
    </row>
    <row r="14" spans="1:5" ht="45" x14ac:dyDescent="0.25">
      <c r="A14" t="s">
        <v>1302</v>
      </c>
      <c r="B14" t="s">
        <v>1228</v>
      </c>
      <c r="C14" s="28" t="s">
        <v>1250</v>
      </c>
      <c r="D14" t="s">
        <v>1229</v>
      </c>
      <c r="E14" s="28" t="s">
        <v>1251</v>
      </c>
    </row>
    <row r="15" spans="1:5" ht="60" x14ac:dyDescent="0.25">
      <c r="A15" t="s">
        <v>927</v>
      </c>
      <c r="B15" t="s">
        <v>930</v>
      </c>
      <c r="C15" s="28" t="s">
        <v>1131</v>
      </c>
      <c r="D15" t="s">
        <v>950</v>
      </c>
      <c r="E15" s="30" t="s">
        <v>1304</v>
      </c>
    </row>
    <row r="16" spans="1:5" ht="60" x14ac:dyDescent="0.25">
      <c r="A16" t="s">
        <v>946</v>
      </c>
      <c r="B16" t="s">
        <v>953</v>
      </c>
      <c r="C16" s="28" t="s">
        <v>1239</v>
      </c>
      <c r="D16" t="s">
        <v>1315</v>
      </c>
      <c r="E16" s="28" t="s">
        <v>1316</v>
      </c>
    </row>
    <row r="17" spans="1:5" ht="60" x14ac:dyDescent="0.25">
      <c r="A17" t="s">
        <v>884</v>
      </c>
      <c r="B17" t="s">
        <v>885</v>
      </c>
      <c r="C17" s="28" t="s">
        <v>1191</v>
      </c>
      <c r="D17" t="s">
        <v>1132</v>
      </c>
      <c r="E17" s="28" t="s">
        <v>1311</v>
      </c>
    </row>
    <row r="18" spans="1:5" ht="30" x14ac:dyDescent="0.25">
      <c r="A18" t="s">
        <v>983</v>
      </c>
      <c r="B18" t="s">
        <v>995</v>
      </c>
      <c r="C18" s="28" t="s">
        <v>1195</v>
      </c>
      <c r="D18" t="s">
        <v>994</v>
      </c>
      <c r="E18" s="28" t="s">
        <v>1225</v>
      </c>
    </row>
    <row r="19" spans="1:5" ht="45" x14ac:dyDescent="0.25">
      <c r="A19" t="s">
        <v>940</v>
      </c>
      <c r="B19" t="s">
        <v>971</v>
      </c>
      <c r="C19" s="28" t="s">
        <v>1192</v>
      </c>
      <c r="D19" t="s">
        <v>955</v>
      </c>
      <c r="E19" s="28" t="s">
        <v>1284</v>
      </c>
    </row>
    <row r="20" spans="1:5" ht="60" x14ac:dyDescent="0.25">
      <c r="A20" t="s">
        <v>1147</v>
      </c>
      <c r="B20" t="s">
        <v>1150</v>
      </c>
      <c r="C20" s="28" t="s">
        <v>1326</v>
      </c>
      <c r="D20" t="s">
        <v>1268</v>
      </c>
      <c r="E20" s="28" t="s">
        <v>1270</v>
      </c>
    </row>
    <row r="21" spans="1:5" ht="75" x14ac:dyDescent="0.25">
      <c r="A21" t="s">
        <v>958</v>
      </c>
      <c r="B21" t="s">
        <v>978</v>
      </c>
      <c r="C21" s="28" t="s">
        <v>1285</v>
      </c>
      <c r="D21" t="s">
        <v>962</v>
      </c>
      <c r="E21" s="28" t="s">
        <v>979</v>
      </c>
    </row>
    <row r="22" spans="1:5" ht="45" x14ac:dyDescent="0.25">
      <c r="A22" t="s">
        <v>903</v>
      </c>
      <c r="B22" t="s">
        <v>905</v>
      </c>
      <c r="C22" s="28" t="s">
        <v>1135</v>
      </c>
      <c r="D22" t="s">
        <v>954</v>
      </c>
      <c r="E22" s="28" t="s">
        <v>1136</v>
      </c>
    </row>
    <row r="23" spans="1:5" ht="45" x14ac:dyDescent="0.25">
      <c r="A23" t="s">
        <v>892</v>
      </c>
      <c r="B23" t="s">
        <v>893</v>
      </c>
      <c r="C23" s="28" t="s">
        <v>1160</v>
      </c>
      <c r="D23" t="s">
        <v>894</v>
      </c>
      <c r="E23" s="28" t="s">
        <v>1226</v>
      </c>
    </row>
    <row r="24" spans="1:5" ht="60" x14ac:dyDescent="0.25">
      <c r="A24" t="s">
        <v>941</v>
      </c>
      <c r="B24" t="s">
        <v>942</v>
      </c>
      <c r="C24" s="28" t="s">
        <v>1327</v>
      </c>
      <c r="D24" t="s">
        <v>1179</v>
      </c>
      <c r="E24" s="28" t="s">
        <v>1181</v>
      </c>
    </row>
    <row r="25" spans="1:5" ht="45" x14ac:dyDescent="0.25">
      <c r="A25" t="s">
        <v>904</v>
      </c>
      <c r="B25" t="s">
        <v>910</v>
      </c>
      <c r="C25" s="28" t="s">
        <v>1240</v>
      </c>
      <c r="D25" t="s">
        <v>911</v>
      </c>
      <c r="E25" s="28" t="s">
        <v>1148</v>
      </c>
    </row>
    <row r="26" spans="1:5" ht="30" x14ac:dyDescent="0.25">
      <c r="A26" t="s">
        <v>901</v>
      </c>
      <c r="B26" t="s">
        <v>902</v>
      </c>
      <c r="C26" s="28" t="s">
        <v>1241</v>
      </c>
      <c r="D26" t="s">
        <v>1280</v>
      </c>
      <c r="E26" s="28" t="s">
        <v>1279</v>
      </c>
    </row>
    <row r="27" spans="1:5" ht="30" x14ac:dyDescent="0.25">
      <c r="A27" t="s">
        <v>943</v>
      </c>
      <c r="B27" t="s">
        <v>944</v>
      </c>
      <c r="C27" s="28" t="s">
        <v>1264</v>
      </c>
      <c r="D27" t="s">
        <v>1230</v>
      </c>
      <c r="E27" s="28" t="s">
        <v>1231</v>
      </c>
    </row>
    <row r="28" spans="1:5" ht="75" x14ac:dyDescent="0.25">
      <c r="A28" t="s">
        <v>968</v>
      </c>
      <c r="B28" t="s">
        <v>969</v>
      </c>
      <c r="C28" s="28" t="s">
        <v>1328</v>
      </c>
      <c r="D28" t="s">
        <v>970</v>
      </c>
      <c r="E28" s="28" t="s">
        <v>1271</v>
      </c>
    </row>
    <row r="29" spans="1:5" ht="45" x14ac:dyDescent="0.25">
      <c r="A29" t="s">
        <v>981</v>
      </c>
      <c r="B29" t="s">
        <v>1180</v>
      </c>
      <c r="C29" s="28" t="s">
        <v>1281</v>
      </c>
      <c r="D29" t="s">
        <v>1001</v>
      </c>
      <c r="E29" s="28" t="s">
        <v>1130</v>
      </c>
    </row>
    <row r="30" spans="1:5" ht="30" x14ac:dyDescent="0.25">
      <c r="A30" t="s">
        <v>959</v>
      </c>
      <c r="B30" t="s">
        <v>960</v>
      </c>
      <c r="C30" s="30" t="s">
        <v>1296</v>
      </c>
      <c r="D30" t="s">
        <v>1162</v>
      </c>
      <c r="E30" s="28" t="s">
        <v>1161</v>
      </c>
    </row>
    <row r="31" spans="1:5" ht="60" x14ac:dyDescent="0.25">
      <c r="A31" t="s">
        <v>913</v>
      </c>
      <c r="B31" t="s">
        <v>988</v>
      </c>
      <c r="C31" s="28" t="s">
        <v>1232</v>
      </c>
      <c r="D31" t="s">
        <v>1133</v>
      </c>
      <c r="E31" s="28" t="s">
        <v>1149</v>
      </c>
    </row>
    <row r="32" spans="1:5" ht="45" x14ac:dyDescent="0.25">
      <c r="A32" t="s">
        <v>886</v>
      </c>
      <c r="B32" t="s">
        <v>887</v>
      </c>
      <c r="C32" s="28" t="s">
        <v>888</v>
      </c>
      <c r="D32" t="s">
        <v>1128</v>
      </c>
      <c r="E32" s="28" t="s">
        <v>1127</v>
      </c>
    </row>
    <row r="33" spans="1:5" ht="75" x14ac:dyDescent="0.25">
      <c r="A33" t="s">
        <v>914</v>
      </c>
      <c r="B33" t="s">
        <v>925</v>
      </c>
      <c r="C33" s="28" t="s">
        <v>1310</v>
      </c>
      <c r="D33" t="s">
        <v>1308</v>
      </c>
      <c r="E33" s="28" t="s">
        <v>1309</v>
      </c>
    </row>
    <row r="34" spans="1:5" ht="30" x14ac:dyDescent="0.25">
      <c r="A34" t="s">
        <v>496</v>
      </c>
      <c r="B34" t="s">
        <v>934</v>
      </c>
      <c r="C34" s="28" t="s">
        <v>1153</v>
      </c>
      <c r="D34" t="s">
        <v>1173</v>
      </c>
      <c r="E34" s="28" t="s">
        <v>1193</v>
      </c>
    </row>
    <row r="35" spans="1:5" ht="45" x14ac:dyDescent="0.25">
      <c r="A35" t="s">
        <v>984</v>
      </c>
      <c r="B35" t="s">
        <v>1000</v>
      </c>
      <c r="C35" s="28" t="s">
        <v>1295</v>
      </c>
      <c r="D35" t="s">
        <v>999</v>
      </c>
      <c r="E35" s="28" t="s">
        <v>1294</v>
      </c>
    </row>
    <row r="36" spans="1:5" ht="45" x14ac:dyDescent="0.25">
      <c r="A36" t="s">
        <v>919</v>
      </c>
      <c r="B36" t="s">
        <v>1286</v>
      </c>
      <c r="C36" s="28" t="s">
        <v>1287</v>
      </c>
      <c r="D36" t="s">
        <v>920</v>
      </c>
      <c r="E36" s="28" t="s">
        <v>1282</v>
      </c>
    </row>
    <row r="37" spans="1:5" ht="60" x14ac:dyDescent="0.25">
      <c r="A37" t="s">
        <v>898</v>
      </c>
      <c r="B37" t="s">
        <v>899</v>
      </c>
      <c r="C37" s="28" t="s">
        <v>1272</v>
      </c>
      <c r="D37" t="s">
        <v>900</v>
      </c>
      <c r="E37" s="28" t="s">
        <v>1151</v>
      </c>
    </row>
    <row r="38" spans="1:5" ht="60" x14ac:dyDescent="0.25">
      <c r="A38" t="s">
        <v>975</v>
      </c>
      <c r="B38" t="s">
        <v>976</v>
      </c>
      <c r="C38" s="28" t="s">
        <v>1129</v>
      </c>
      <c r="D38" t="s">
        <v>980</v>
      </c>
      <c r="E38" s="28" t="s">
        <v>1273</v>
      </c>
    </row>
    <row r="39" spans="1:5" ht="60" x14ac:dyDescent="0.25">
      <c r="A39" t="s">
        <v>982</v>
      </c>
      <c r="B39" t="s">
        <v>990</v>
      </c>
      <c r="C39" s="28" t="s">
        <v>1274</v>
      </c>
      <c r="D39" t="s">
        <v>1227</v>
      </c>
      <c r="E39" s="28" t="s">
        <v>1275</v>
      </c>
    </row>
    <row r="40" spans="1:5" ht="45" x14ac:dyDescent="0.25">
      <c r="A40" t="s">
        <v>896</v>
      </c>
      <c r="B40" t="s">
        <v>908</v>
      </c>
      <c r="C40" s="28" t="s">
        <v>1159</v>
      </c>
      <c r="D40" t="s">
        <v>1137</v>
      </c>
      <c r="E40" s="28" t="s">
        <v>1152</v>
      </c>
    </row>
    <row r="41" spans="1:5" ht="30" x14ac:dyDescent="0.25">
      <c r="A41" t="s">
        <v>921</v>
      </c>
      <c r="B41" t="s">
        <v>932</v>
      </c>
      <c r="C41" s="28" t="s">
        <v>1265</v>
      </c>
      <c r="D41" t="s">
        <v>923</v>
      </c>
      <c r="E41" s="28" t="s">
        <v>1184</v>
      </c>
    </row>
    <row r="42" spans="1:5" ht="30" x14ac:dyDescent="0.25">
      <c r="A42" t="s">
        <v>922</v>
      </c>
      <c r="B42" t="s">
        <v>933</v>
      </c>
      <c r="C42" s="28" t="s">
        <v>1266</v>
      </c>
      <c r="D42" t="s">
        <v>924</v>
      </c>
      <c r="E42" s="28" t="s">
        <v>1183</v>
      </c>
    </row>
    <row r="43" spans="1:5" ht="60" x14ac:dyDescent="0.25">
      <c r="A43" t="s">
        <v>915</v>
      </c>
      <c r="B43" t="s">
        <v>916</v>
      </c>
      <c r="C43" s="28" t="s">
        <v>1324</v>
      </c>
      <c r="D43" t="s">
        <v>917</v>
      </c>
      <c r="E43" s="28" t="s">
        <v>918</v>
      </c>
    </row>
    <row r="44" spans="1:5" ht="90" x14ac:dyDescent="0.25">
      <c r="A44" t="s">
        <v>986</v>
      </c>
      <c r="B44" t="s">
        <v>987</v>
      </c>
      <c r="C44" s="28" t="s">
        <v>1186</v>
      </c>
      <c r="D44" t="s">
        <v>1194</v>
      </c>
      <c r="E44" s="28" t="s">
        <v>1276</v>
      </c>
    </row>
    <row r="45" spans="1:5" ht="45" x14ac:dyDescent="0.25">
      <c r="A45" t="s">
        <v>938</v>
      </c>
      <c r="B45" t="s">
        <v>1157</v>
      </c>
      <c r="C45" s="28" t="s">
        <v>992</v>
      </c>
      <c r="D45" t="s">
        <v>939</v>
      </c>
      <c r="E45" s="28" t="s">
        <v>1174</v>
      </c>
    </row>
    <row r="46" spans="1:5" ht="30" x14ac:dyDescent="0.25">
      <c r="A46" t="s">
        <v>964</v>
      </c>
      <c r="B46" t="s">
        <v>991</v>
      </c>
      <c r="C46" s="28" t="s">
        <v>1176</v>
      </c>
      <c r="D46" t="s">
        <v>974</v>
      </c>
      <c r="E46" s="28" t="s">
        <v>1234</v>
      </c>
    </row>
    <row r="47" spans="1:5" ht="75" x14ac:dyDescent="0.25">
      <c r="A47" t="s">
        <v>963</v>
      </c>
      <c r="B47" t="s">
        <v>996</v>
      </c>
      <c r="C47" s="30" t="s">
        <v>1175</v>
      </c>
      <c r="D47" t="s">
        <v>977</v>
      </c>
      <c r="E47" s="30" t="s">
        <v>1267</v>
      </c>
    </row>
    <row r="48" spans="1:5" ht="45" x14ac:dyDescent="0.25">
      <c r="A48" t="s">
        <v>936</v>
      </c>
      <c r="B48" t="s">
        <v>1217</v>
      </c>
      <c r="C48" s="28" t="s">
        <v>1218</v>
      </c>
      <c r="D48" t="s">
        <v>1288</v>
      </c>
      <c r="E48" s="28" t="s">
        <v>1219</v>
      </c>
    </row>
    <row r="49" spans="1:5" ht="45" x14ac:dyDescent="0.25">
      <c r="A49" t="s">
        <v>1289</v>
      </c>
      <c r="B49" t="s">
        <v>1290</v>
      </c>
      <c r="C49" s="28" t="s">
        <v>1291</v>
      </c>
      <c r="D49" t="s">
        <v>1292</v>
      </c>
      <c r="E49" s="28" t="s">
        <v>1293</v>
      </c>
    </row>
  </sheetData>
  <sortState xmlns:xlrd2="http://schemas.microsoft.com/office/spreadsheetml/2017/richdata2" ref="A2:E48">
    <sortCondition ref="A2:A48"/>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pokemon</vt:lpstr>
      <vt:lpstr>moves</vt:lpstr>
      <vt:lpstr>analysis</vt:lpstr>
      <vt:lpstr>trainer_cards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Lloyd Clarke</dc:creator>
  <cp:lastModifiedBy>Lloyd Clarke</cp:lastModifiedBy>
  <dcterms:created xsi:type="dcterms:W3CDTF">2021-03-17T17:30:22Z</dcterms:created>
  <dcterms:modified xsi:type="dcterms:W3CDTF">2024-01-08T19:47:22Z</dcterms:modified>
</cp:coreProperties>
</file>